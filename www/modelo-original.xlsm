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updateLinks="never" codeName="EsteLivro"/>
  <mc:AlternateContent xmlns:mc="http://schemas.openxmlformats.org/markup-compatibility/2006">
    <mc:Choice Requires="x15">
      <x15ac:absPath xmlns:x15ac="http://schemas.microsoft.com/office/spreadsheetml/2010/11/ac" url="\\ip.pt\fs01\DRF\DEPARTAMENTO_EDIFICACOES\EDIFICACOES_NORTE\CC\Guarda\CONTRATO 10024058\EXECUÇÃO\REQUISIÇÕES\"/>
    </mc:Choice>
  </mc:AlternateContent>
  <xr:revisionPtr revIDLastSave="0" documentId="13_ncr:1_{3A135FEA-1C96-4C7D-B69A-63E8DC809B44}" xr6:coauthVersionLast="47" xr6:coauthVersionMax="47" xr10:uidLastSave="{00000000-0000-0000-0000-000000000000}"/>
  <bookViews>
    <workbookView xWindow="-120" yWindow="-120" windowWidth="29040" windowHeight="15720" activeTab="1" xr2:uid="{00000000-000D-0000-FFFF-FFFF00000000}"/>
  </bookViews>
  <sheets>
    <sheet name="Req (2)" sheetId="10" r:id="rId1"/>
    <sheet name="Req" sheetId="5" r:id="rId2"/>
    <sheet name="LPU Area de Coimbra" sheetId="7" r:id="rId3"/>
    <sheet name="Dados" sheetId="6" state="hidden" r:id="rId4"/>
  </sheets>
  <externalReferences>
    <externalReference r:id="rId5"/>
    <externalReference r:id="rId6"/>
    <externalReference r:id="rId7"/>
    <externalReference r:id="rId8"/>
  </externalReferences>
  <definedNames>
    <definedName name="_DAT1" localSheetId="2">#REF!</definedName>
    <definedName name="_DAT1">#REF!</definedName>
    <definedName name="_DAT10" localSheetId="2">#REF!</definedName>
    <definedName name="_DAT10">#REF!</definedName>
    <definedName name="_DAT11" localSheetId="2">#REF!</definedName>
    <definedName name="_DAT11">#REF!</definedName>
    <definedName name="_DAT12" localSheetId="2">#REF!</definedName>
    <definedName name="_DAT12">#REF!</definedName>
    <definedName name="_DAT13" localSheetId="2">#REF!</definedName>
    <definedName name="_DAT13">#REF!</definedName>
    <definedName name="_DAT14" localSheetId="2">#REF!</definedName>
    <definedName name="_DAT14">#REF!</definedName>
    <definedName name="_DAT15" localSheetId="2">#REF!</definedName>
    <definedName name="_DAT15">#REF!</definedName>
    <definedName name="_DAT16" localSheetId="2">#REF!</definedName>
    <definedName name="_DAT16">#REF!</definedName>
    <definedName name="_DAT17" localSheetId="2">#REF!</definedName>
    <definedName name="_DAT17">#REF!</definedName>
    <definedName name="_DAT18" localSheetId="2">#REF!</definedName>
    <definedName name="_DAT18">#REF!</definedName>
    <definedName name="_DAT19" localSheetId="2">#REF!</definedName>
    <definedName name="_DAT19">#REF!</definedName>
    <definedName name="_DAT2" localSheetId="2">#REF!</definedName>
    <definedName name="_DAT2">#REF!</definedName>
    <definedName name="_DAT20" localSheetId="2">#REF!</definedName>
    <definedName name="_DAT20">#REF!</definedName>
    <definedName name="_DAT21" localSheetId="2">#REF!</definedName>
    <definedName name="_DAT21">#REF!</definedName>
    <definedName name="_DAT22" localSheetId="2">#REF!</definedName>
    <definedName name="_DAT22">#REF!</definedName>
    <definedName name="_DAT23" localSheetId="2">#REF!</definedName>
    <definedName name="_DAT23">#REF!</definedName>
    <definedName name="_DAT24" localSheetId="2">#REF!</definedName>
    <definedName name="_DAT24">#REF!</definedName>
    <definedName name="_DAT25" localSheetId="2">#REF!</definedName>
    <definedName name="_DAT25">#REF!</definedName>
    <definedName name="_DAT26" localSheetId="2">#REF!</definedName>
    <definedName name="_DAT26">#REF!</definedName>
    <definedName name="_DAT27" localSheetId="2">#REF!</definedName>
    <definedName name="_DAT27">#REF!</definedName>
    <definedName name="_DAT28" localSheetId="2">#REF!</definedName>
    <definedName name="_DAT28">#REF!</definedName>
    <definedName name="_DAT29" localSheetId="2">#REF!</definedName>
    <definedName name="_DAT29">#REF!</definedName>
    <definedName name="_DAT3" localSheetId="2">#REF!</definedName>
    <definedName name="_DAT3">#REF!</definedName>
    <definedName name="_DAT30" localSheetId="2">#REF!</definedName>
    <definedName name="_DAT30">#REF!</definedName>
    <definedName name="_DAT31" localSheetId="2">#REF!</definedName>
    <definedName name="_DAT31">#REF!</definedName>
    <definedName name="_DAT32" localSheetId="2">#REF!</definedName>
    <definedName name="_DAT32">#REF!</definedName>
    <definedName name="_DAT33" localSheetId="2">#REF!</definedName>
    <definedName name="_DAT33">#REF!</definedName>
    <definedName name="_DAT34" localSheetId="2">#REF!</definedName>
    <definedName name="_DAT34">#REF!</definedName>
    <definedName name="_DAT35" localSheetId="2">#REF!</definedName>
    <definedName name="_DAT35">#REF!</definedName>
    <definedName name="_DAT36" localSheetId="2">#REF!</definedName>
    <definedName name="_DAT36">#REF!</definedName>
    <definedName name="_DAT37" localSheetId="2">#REF!</definedName>
    <definedName name="_DAT37">#REF!</definedName>
    <definedName name="_DAT38" localSheetId="2">#REF!</definedName>
    <definedName name="_DAT38">#REF!</definedName>
    <definedName name="_DAT39" localSheetId="2">#REF!</definedName>
    <definedName name="_DAT39">#REF!</definedName>
    <definedName name="_DAT4" localSheetId="2">#REF!</definedName>
    <definedName name="_DAT4">#REF!</definedName>
    <definedName name="_DAT40" localSheetId="2">#REF!</definedName>
    <definedName name="_DAT40">#REF!</definedName>
    <definedName name="_DAT41" localSheetId="2">#REF!</definedName>
    <definedName name="_DAT41">#REF!</definedName>
    <definedName name="_DAT42" localSheetId="2">#REF!</definedName>
    <definedName name="_DAT42">#REF!</definedName>
    <definedName name="_DAT43" localSheetId="2">#REF!</definedName>
    <definedName name="_DAT43">#REF!</definedName>
    <definedName name="_DAT44" localSheetId="2">#REF!</definedName>
    <definedName name="_DAT44">#REF!</definedName>
    <definedName name="_DAT45" localSheetId="2">#REF!</definedName>
    <definedName name="_DAT45">#REF!</definedName>
    <definedName name="_DAT46" localSheetId="2">#REF!</definedName>
    <definedName name="_DAT46">#REF!</definedName>
    <definedName name="_DAT47" localSheetId="2">#REF!</definedName>
    <definedName name="_DAT47">#REF!</definedName>
    <definedName name="_DAT48" localSheetId="2">#REF!</definedName>
    <definedName name="_DAT48">#REF!</definedName>
    <definedName name="_DAT49" localSheetId="2">#REF!</definedName>
    <definedName name="_DAT49">#REF!</definedName>
    <definedName name="_DAT5" localSheetId="2">#REF!</definedName>
    <definedName name="_DAT5">#REF!</definedName>
    <definedName name="_DAT50" localSheetId="2">#REF!</definedName>
    <definedName name="_DAT50">#REF!</definedName>
    <definedName name="_DAT51" localSheetId="2">#REF!</definedName>
    <definedName name="_DAT51">#REF!</definedName>
    <definedName name="_DAT52" localSheetId="2">#REF!</definedName>
    <definedName name="_DAT52">#REF!</definedName>
    <definedName name="_DAT53" localSheetId="2">#REF!</definedName>
    <definedName name="_DAT53">#REF!</definedName>
    <definedName name="_DAT54" localSheetId="2">#REF!</definedName>
    <definedName name="_DAT54">#REF!</definedName>
    <definedName name="_DAT55" localSheetId="2">#REF!</definedName>
    <definedName name="_DAT55">#REF!</definedName>
    <definedName name="_DAT56" localSheetId="2">#REF!</definedName>
    <definedName name="_DAT56">#REF!</definedName>
    <definedName name="_DAT57" localSheetId="2">#REF!</definedName>
    <definedName name="_DAT57">#REF!</definedName>
    <definedName name="_DAT58" localSheetId="2">#REF!</definedName>
    <definedName name="_DAT58">#REF!</definedName>
    <definedName name="_DAT59" localSheetId="2">#REF!</definedName>
    <definedName name="_DAT59">#REF!</definedName>
    <definedName name="_DAT6" localSheetId="2">#REF!</definedName>
    <definedName name="_DAT6">#REF!</definedName>
    <definedName name="_DAT60" localSheetId="2">#REF!</definedName>
    <definedName name="_DAT60">#REF!</definedName>
    <definedName name="_DAT61" localSheetId="2">#REF!</definedName>
    <definedName name="_DAT61">#REF!</definedName>
    <definedName name="_DAT62" localSheetId="2">#REF!</definedName>
    <definedName name="_DAT62">#REF!</definedName>
    <definedName name="_DAT63" localSheetId="2">#REF!</definedName>
    <definedName name="_DAT63">#REF!</definedName>
    <definedName name="_DAT64" localSheetId="2">#REF!</definedName>
    <definedName name="_DAT64">#REF!</definedName>
    <definedName name="_DAT65" localSheetId="2">#REF!</definedName>
    <definedName name="_DAT65">#REF!</definedName>
    <definedName name="_DAT66" localSheetId="2">#REF!</definedName>
    <definedName name="_DAT66">#REF!</definedName>
    <definedName name="_DAT67" localSheetId="2">#REF!</definedName>
    <definedName name="_DAT67">#REF!</definedName>
    <definedName name="_DAT68" localSheetId="2">#REF!</definedName>
    <definedName name="_DAT68">#REF!</definedName>
    <definedName name="_DAT69" localSheetId="2">#REF!</definedName>
    <definedName name="_DAT69">#REF!</definedName>
    <definedName name="_DAT7" localSheetId="2">#REF!</definedName>
    <definedName name="_DAT7">#REF!</definedName>
    <definedName name="_DAT70" localSheetId="2">#REF!</definedName>
    <definedName name="_DAT70">#REF!</definedName>
    <definedName name="_DAT71" localSheetId="2">#REF!</definedName>
    <definedName name="_DAT71">#REF!</definedName>
    <definedName name="_DAT72" localSheetId="2">#REF!</definedName>
    <definedName name="_DAT72">#REF!</definedName>
    <definedName name="_DAT73" localSheetId="2">#REF!</definedName>
    <definedName name="_DAT73">#REF!</definedName>
    <definedName name="_DAT74" localSheetId="2">#REF!</definedName>
    <definedName name="_DAT74">#REF!</definedName>
    <definedName name="_DAT75" localSheetId="2">#REF!</definedName>
    <definedName name="_DAT75">#REF!</definedName>
    <definedName name="_DAT8" localSheetId="2">#REF!</definedName>
    <definedName name="_DAT8">#REF!</definedName>
    <definedName name="_DAT9" localSheetId="2">#REF!</definedName>
    <definedName name="_DAT9">#REF!</definedName>
    <definedName name="_xlnm._FilterDatabase" localSheetId="2" hidden="1">'LPU Area de Coimbra'!$A$5:$E$1445</definedName>
    <definedName name="_xlnm.Print_Area" localSheetId="1">Req!$B$4:$G$67</definedName>
    <definedName name="_xlnm.Print_Area" localSheetId="0">'Req (2)'!$B$4:$G$67</definedName>
    <definedName name="Grupos" localSheetId="2">[1]Folha1!#REF!</definedName>
    <definedName name="Grupos">[1]Folha1!#REF!</definedName>
    <definedName name="helpRow">#REF!</definedName>
    <definedName name="Lista" localSheetId="2">#REF!</definedName>
    <definedName name="Lista">#REF!</definedName>
    <definedName name="Mapa" localSheetId="1">[2]D!$B$16:$F$1129</definedName>
    <definedName name="Mapa" localSheetId="0">[2]D!$B$16:$F$1129</definedName>
    <definedName name="Mapa">#REF!</definedName>
    <definedName name="MQT">'LPU Area de Coimbra'!$A$6:$E$1445</definedName>
    <definedName name="quant" localSheetId="2">'LPU Area de Coimbra'!#REF!</definedName>
    <definedName name="quant">'[3]Anexo C'!#REF!</definedName>
    <definedName name="Requerentes" localSheetId="1">Req!#REF!</definedName>
    <definedName name="Requerentes" localSheetId="0">'Req (2)'!#REF!</definedName>
    <definedName name="Requerentes">#REF!</definedName>
    <definedName name="TABELA_OE">'[4]Sheet1 (2)'!$A$1:$B$88</definedName>
    <definedName name="Tempos" localSheetId="1">Req!#REF!</definedName>
    <definedName name="Tempos" localSheetId="0">'Req (2)'!#REF!</definedName>
    <definedName name="Tempos">#REF!</definedName>
    <definedName name="Tempos1" localSheetId="1">Req!#REF!</definedName>
    <definedName name="Tempos1" localSheetId="0">'Req (2)'!#REF!</definedName>
    <definedName name="Tempos1">#REF!</definedName>
    <definedName name="TEST1" localSheetId="2">#REF!</definedName>
    <definedName name="TEST1">#REF!</definedName>
    <definedName name="TEST10" localSheetId="2">#REF!</definedName>
    <definedName name="TEST10">#REF!</definedName>
    <definedName name="TEST11" localSheetId="2">#REF!</definedName>
    <definedName name="TEST11">#REF!</definedName>
    <definedName name="TEST12" localSheetId="2">#REF!</definedName>
    <definedName name="TEST12">#REF!</definedName>
    <definedName name="TEST13" localSheetId="2">#REF!</definedName>
    <definedName name="TEST13">#REF!</definedName>
    <definedName name="TEST14" localSheetId="2">#REF!</definedName>
    <definedName name="TEST14">#REF!</definedName>
    <definedName name="TEST15" localSheetId="2">#REF!</definedName>
    <definedName name="TEST15">#REF!</definedName>
    <definedName name="TEST16" localSheetId="2">#REF!</definedName>
    <definedName name="TEST16">#REF!</definedName>
    <definedName name="TEST17" localSheetId="2">#REF!</definedName>
    <definedName name="TEST17">#REF!</definedName>
    <definedName name="TEST18" localSheetId="2">#REF!</definedName>
    <definedName name="TEST18">#REF!</definedName>
    <definedName name="TEST19" localSheetId="2">#REF!</definedName>
    <definedName name="TEST19">#REF!</definedName>
    <definedName name="TEST2" localSheetId="2">#REF!</definedName>
    <definedName name="TEST2">#REF!</definedName>
    <definedName name="TEST20" localSheetId="2">#REF!</definedName>
    <definedName name="TEST20">#REF!</definedName>
    <definedName name="TEST21" localSheetId="2">#REF!</definedName>
    <definedName name="TEST21">#REF!</definedName>
    <definedName name="TEST22" localSheetId="2">#REF!</definedName>
    <definedName name="TEST22">#REF!</definedName>
    <definedName name="TEST23" localSheetId="2">#REF!</definedName>
    <definedName name="TEST23">#REF!</definedName>
    <definedName name="TEST24" localSheetId="2">#REF!</definedName>
    <definedName name="TEST24">#REF!</definedName>
    <definedName name="TEST25" localSheetId="2">#REF!</definedName>
    <definedName name="TEST25">#REF!</definedName>
    <definedName name="TEST26" localSheetId="2">#REF!</definedName>
    <definedName name="TEST26">#REF!</definedName>
    <definedName name="TEST27" localSheetId="2">#REF!</definedName>
    <definedName name="TEST27">#REF!</definedName>
    <definedName name="TEST28" localSheetId="2">#REF!</definedName>
    <definedName name="TEST28">#REF!</definedName>
    <definedName name="TEST29" localSheetId="2">#REF!</definedName>
    <definedName name="TEST29">#REF!</definedName>
    <definedName name="TEST3" localSheetId="2">#REF!</definedName>
    <definedName name="TEST3">#REF!</definedName>
    <definedName name="TEST30" localSheetId="2">#REF!</definedName>
    <definedName name="TEST30">#REF!</definedName>
    <definedName name="TEST31" localSheetId="2">#REF!</definedName>
    <definedName name="TEST31">#REF!</definedName>
    <definedName name="TEST32" localSheetId="2">#REF!</definedName>
    <definedName name="TEST32">#REF!</definedName>
    <definedName name="TEST33" localSheetId="2">#REF!</definedName>
    <definedName name="TEST33">#REF!</definedName>
    <definedName name="TEST34" localSheetId="2">#REF!</definedName>
    <definedName name="TEST34">#REF!</definedName>
    <definedName name="TEST35" localSheetId="2">#REF!</definedName>
    <definedName name="TEST35">#REF!</definedName>
    <definedName name="TEST36" localSheetId="2">#REF!</definedName>
    <definedName name="TEST36">#REF!</definedName>
    <definedName name="TEST37" localSheetId="2">#REF!</definedName>
    <definedName name="TEST37">#REF!</definedName>
    <definedName name="TEST38" localSheetId="2">#REF!</definedName>
    <definedName name="TEST38">#REF!</definedName>
    <definedName name="TEST39" localSheetId="2">#REF!</definedName>
    <definedName name="TEST39">#REF!</definedName>
    <definedName name="TEST4" localSheetId="2">#REF!</definedName>
    <definedName name="TEST4">#REF!</definedName>
    <definedName name="TEST40" localSheetId="2">#REF!</definedName>
    <definedName name="TEST40">#REF!</definedName>
    <definedName name="TEST41" localSheetId="2">#REF!</definedName>
    <definedName name="TEST41">#REF!</definedName>
    <definedName name="TEST42" localSheetId="2">#REF!</definedName>
    <definedName name="TEST42">#REF!</definedName>
    <definedName name="TEST43" localSheetId="2">#REF!</definedName>
    <definedName name="TEST43">#REF!</definedName>
    <definedName name="TEST44" localSheetId="2">#REF!</definedName>
    <definedName name="TEST44">#REF!</definedName>
    <definedName name="TEST45" localSheetId="2">#REF!</definedName>
    <definedName name="TEST45">#REF!</definedName>
    <definedName name="TEST46" localSheetId="2">#REF!</definedName>
    <definedName name="TEST46">#REF!</definedName>
    <definedName name="TEST47" localSheetId="2">#REF!</definedName>
    <definedName name="TEST47">#REF!</definedName>
    <definedName name="TEST48" localSheetId="2">#REF!</definedName>
    <definedName name="TEST48">#REF!</definedName>
    <definedName name="TEST49" localSheetId="2">#REF!</definedName>
    <definedName name="TEST49">#REF!</definedName>
    <definedName name="TEST5" localSheetId="2">#REF!</definedName>
    <definedName name="TEST5">#REF!</definedName>
    <definedName name="TEST50" localSheetId="2">#REF!</definedName>
    <definedName name="TEST50">#REF!</definedName>
    <definedName name="TEST51" localSheetId="2">#REF!</definedName>
    <definedName name="TEST51">#REF!</definedName>
    <definedName name="TEST52" localSheetId="2">#REF!</definedName>
    <definedName name="TEST52">#REF!</definedName>
    <definedName name="TEST53" localSheetId="2">#REF!</definedName>
    <definedName name="TEST53">#REF!</definedName>
    <definedName name="TEST54" localSheetId="2">#REF!</definedName>
    <definedName name="TEST54">#REF!</definedName>
    <definedName name="TEST55" localSheetId="2">#REF!</definedName>
    <definedName name="TEST55">#REF!</definedName>
    <definedName name="TEST56" localSheetId="2">#REF!</definedName>
    <definedName name="TEST56">#REF!</definedName>
    <definedName name="TEST57" localSheetId="2">#REF!</definedName>
    <definedName name="TEST57">#REF!</definedName>
    <definedName name="TEST58" localSheetId="2">#REF!</definedName>
    <definedName name="TEST58">#REF!</definedName>
    <definedName name="TEST59" localSheetId="2">#REF!</definedName>
    <definedName name="TEST59">#REF!</definedName>
    <definedName name="TEST6" localSheetId="2">#REF!</definedName>
    <definedName name="TEST6">#REF!</definedName>
    <definedName name="TEST7" localSheetId="2">#REF!</definedName>
    <definedName name="TEST7">#REF!</definedName>
    <definedName name="TEST8" localSheetId="2">#REF!</definedName>
    <definedName name="TEST8">#REF!</definedName>
    <definedName name="TEST9" localSheetId="2">#REF!</definedName>
    <definedName name="TEST9">#REF!</definedName>
    <definedName name="TESTHKEY" localSheetId="2">#REF!</definedName>
    <definedName name="TESTHKEY">#REF!</definedName>
    <definedName name="TESTKEYS" localSheetId="2">#REF!</definedName>
    <definedName name="TESTKEYS">#REF!</definedName>
    <definedName name="TESTVKEY" localSheetId="2">#REF!</definedName>
    <definedName name="TESTVKEY">#REF!</definedName>
    <definedName name="_xlnm.Print_Titles" localSheetId="1">Req!$4:$21</definedName>
    <definedName name="_xlnm.Print_Titles" localSheetId="0">'Req (2)'!$4:$21</definedName>
    <definedName name="validação" localSheetId="2">[1]Folha1!#REF!</definedName>
    <definedName name="validação">[1]Folha1!#REF!</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7" i="10" l="1"/>
  <c r="G65" i="10"/>
  <c r="F65" i="10"/>
  <c r="D65" i="10"/>
  <c r="C65" i="10"/>
  <c r="G64" i="10"/>
  <c r="F64" i="10"/>
  <c r="D64" i="10"/>
  <c r="C64" i="10"/>
  <c r="G63" i="10"/>
  <c r="F63" i="10"/>
  <c r="D63" i="10"/>
  <c r="C63" i="10"/>
  <c r="G62" i="10"/>
  <c r="F62" i="10"/>
  <c r="D62" i="10"/>
  <c r="C62" i="10"/>
  <c r="G61" i="10"/>
  <c r="F61" i="10"/>
  <c r="D61" i="10"/>
  <c r="C61" i="10"/>
  <c r="G60" i="10"/>
  <c r="F60" i="10"/>
  <c r="D60" i="10"/>
  <c r="C60" i="10"/>
  <c r="G59" i="10"/>
  <c r="F59" i="10"/>
  <c r="D59" i="10"/>
  <c r="C59" i="10"/>
  <c r="G58" i="10"/>
  <c r="F58" i="10"/>
  <c r="D58" i="10"/>
  <c r="C58" i="10"/>
  <c r="G57" i="10"/>
  <c r="F57" i="10"/>
  <c r="D57" i="10"/>
  <c r="C57" i="10"/>
  <c r="G56" i="10"/>
  <c r="F56" i="10"/>
  <c r="D56" i="10"/>
  <c r="C56" i="10"/>
  <c r="G55" i="10"/>
  <c r="F55" i="10"/>
  <c r="D55" i="10"/>
  <c r="C55" i="10"/>
  <c r="G54" i="10"/>
  <c r="F54" i="10"/>
  <c r="D54" i="10"/>
  <c r="C54" i="10"/>
  <c r="G53" i="10"/>
  <c r="F53" i="10"/>
  <c r="D53" i="10"/>
  <c r="C53" i="10"/>
  <c r="G52" i="10"/>
  <c r="F52" i="10"/>
  <c r="D52" i="10"/>
  <c r="C52" i="10"/>
  <c r="G51" i="10"/>
  <c r="F51" i="10"/>
  <c r="D51" i="10"/>
  <c r="C51" i="10"/>
  <c r="G50" i="10"/>
  <c r="F50" i="10"/>
  <c r="D50" i="10"/>
  <c r="C50" i="10"/>
  <c r="G49" i="10"/>
  <c r="F49" i="10"/>
  <c r="D49" i="10"/>
  <c r="C49" i="10"/>
  <c r="G48" i="10"/>
  <c r="F48" i="10"/>
  <c r="D48" i="10"/>
  <c r="C48" i="10"/>
  <c r="G47" i="10"/>
  <c r="F47" i="10"/>
  <c r="D47" i="10"/>
  <c r="C47" i="10"/>
  <c r="G46" i="10"/>
  <c r="F46" i="10"/>
  <c r="D46" i="10"/>
  <c r="C46" i="10"/>
  <c r="G45" i="10"/>
  <c r="F45" i="10"/>
  <c r="D45" i="10"/>
  <c r="C45" i="10"/>
  <c r="G44" i="10"/>
  <c r="F44" i="10"/>
  <c r="D44" i="10"/>
  <c r="C44" i="10"/>
  <c r="G43" i="10"/>
  <c r="F43" i="10"/>
  <c r="D43" i="10"/>
  <c r="C43" i="10"/>
  <c r="G42" i="10"/>
  <c r="F42" i="10"/>
  <c r="D42" i="10"/>
  <c r="C42" i="10"/>
  <c r="G41" i="10"/>
  <c r="F41" i="10"/>
  <c r="D41" i="10"/>
  <c r="C41" i="10"/>
  <c r="G40" i="10"/>
  <c r="F40" i="10"/>
  <c r="D40" i="10"/>
  <c r="C40" i="10"/>
  <c r="G39" i="10"/>
  <c r="F39" i="10"/>
  <c r="D39" i="10"/>
  <c r="C39" i="10"/>
  <c r="G38" i="10"/>
  <c r="F38" i="10"/>
  <c r="D38" i="10"/>
  <c r="C38" i="10"/>
  <c r="G37" i="10"/>
  <c r="F37" i="10"/>
  <c r="D37" i="10"/>
  <c r="C37" i="10"/>
  <c r="G36" i="10"/>
  <c r="F36" i="10"/>
  <c r="D36" i="10"/>
  <c r="C36" i="10"/>
  <c r="G35" i="10"/>
  <c r="F35" i="10"/>
  <c r="D35" i="10"/>
  <c r="C35" i="10"/>
  <c r="G34" i="10"/>
  <c r="F34" i="10"/>
  <c r="D34" i="10"/>
  <c r="C34" i="10"/>
  <c r="G33" i="10"/>
  <c r="F33" i="10"/>
  <c r="D33" i="10"/>
  <c r="C33" i="10"/>
  <c r="G32" i="10"/>
  <c r="F32" i="10"/>
  <c r="D32" i="10"/>
  <c r="C32" i="10"/>
  <c r="G31" i="10"/>
  <c r="F31" i="10"/>
  <c r="D31" i="10"/>
  <c r="C31" i="10"/>
  <c r="G30" i="10"/>
  <c r="F30" i="10"/>
  <c r="D30" i="10"/>
  <c r="C30" i="10"/>
  <c r="G29" i="10"/>
  <c r="F29" i="10"/>
  <c r="D29" i="10"/>
  <c r="C29" i="10"/>
  <c r="G28" i="10"/>
  <c r="F28" i="10"/>
  <c r="D28" i="10"/>
  <c r="C28" i="10"/>
  <c r="G27" i="10"/>
  <c r="F27" i="10"/>
  <c r="D27" i="10"/>
  <c r="C27" i="10"/>
  <c r="G26" i="10"/>
  <c r="F26" i="10"/>
  <c r="D26" i="10"/>
  <c r="C26" i="10"/>
  <c r="G25" i="10"/>
  <c r="F25" i="10"/>
  <c r="D25" i="10"/>
  <c r="C25" i="10"/>
  <c r="G24" i="10"/>
  <c r="F24" i="10"/>
  <c r="D24" i="10"/>
  <c r="C24" i="10"/>
  <c r="G23" i="10"/>
  <c r="F23" i="10"/>
  <c r="D23" i="10"/>
  <c r="C23" i="10"/>
  <c r="G22" i="10"/>
  <c r="F22" i="10"/>
  <c r="D22" i="10"/>
  <c r="C22" i="10"/>
  <c r="G2" i="10"/>
  <c r="F2" i="10"/>
  <c r="D2" i="10"/>
  <c r="C2" i="10"/>
  <c r="G65" i="5"/>
  <c r="F65" i="5"/>
  <c r="D65" i="5"/>
  <c r="C65" i="5"/>
  <c r="G64" i="5"/>
  <c r="F64" i="5"/>
  <c r="D64" i="5"/>
  <c r="C64" i="5"/>
  <c r="F63" i="5"/>
  <c r="G63" i="5" s="1"/>
  <c r="D63" i="5"/>
  <c r="C63" i="5"/>
  <c r="F62" i="5"/>
  <c r="G62" i="5" s="1"/>
  <c r="D62" i="5"/>
  <c r="C62" i="5"/>
  <c r="F61" i="5"/>
  <c r="G61" i="5" s="1"/>
  <c r="D61" i="5"/>
  <c r="C61" i="5"/>
  <c r="F60" i="5"/>
  <c r="G60" i="5" s="1"/>
  <c r="D60" i="5"/>
  <c r="C60" i="5"/>
  <c r="F59" i="5"/>
  <c r="G59" i="5" s="1"/>
  <c r="D59" i="5"/>
  <c r="C59" i="5"/>
  <c r="F58" i="5"/>
  <c r="G58" i="5" s="1"/>
  <c r="D58" i="5"/>
  <c r="C58" i="5"/>
  <c r="F57" i="5"/>
  <c r="G57" i="5" s="1"/>
  <c r="D57" i="5"/>
  <c r="C57" i="5"/>
  <c r="F56" i="5"/>
  <c r="G56" i="5" s="1"/>
  <c r="D56" i="5"/>
  <c r="C56" i="5"/>
  <c r="F55" i="5"/>
  <c r="G55" i="5" s="1"/>
  <c r="D55" i="5"/>
  <c r="C55" i="5"/>
  <c r="F54" i="5"/>
  <c r="G54" i="5" s="1"/>
  <c r="D54" i="5"/>
  <c r="C54" i="5"/>
  <c r="F53" i="5"/>
  <c r="G53" i="5" s="1"/>
  <c r="D53" i="5"/>
  <c r="C53" i="5"/>
  <c r="F52" i="5"/>
  <c r="G52" i="5" s="1"/>
  <c r="D52" i="5"/>
  <c r="C52" i="5"/>
  <c r="F51" i="5"/>
  <c r="G51" i="5" s="1"/>
  <c r="D51" i="5"/>
  <c r="C51" i="5"/>
  <c r="F50" i="5"/>
  <c r="G50" i="5" s="1"/>
  <c r="D50" i="5"/>
  <c r="C50" i="5"/>
  <c r="F49" i="5"/>
  <c r="G49" i="5" s="1"/>
  <c r="D49" i="5"/>
  <c r="C49" i="5"/>
  <c r="F48" i="5"/>
  <c r="G48" i="5" s="1"/>
  <c r="D48" i="5"/>
  <c r="C48" i="5"/>
  <c r="F47" i="5"/>
  <c r="G47" i="5" s="1"/>
  <c r="D47" i="5"/>
  <c r="C47" i="5"/>
  <c r="F46" i="5"/>
  <c r="G46" i="5" s="1"/>
  <c r="D46" i="5"/>
  <c r="C46" i="5"/>
  <c r="F45" i="5"/>
  <c r="G45" i="5" s="1"/>
  <c r="D45" i="5"/>
  <c r="C45" i="5"/>
  <c r="F44" i="5"/>
  <c r="G44" i="5" s="1"/>
  <c r="D44" i="5"/>
  <c r="C44" i="5"/>
  <c r="F43" i="5"/>
  <c r="G43" i="5" s="1"/>
  <c r="D43" i="5"/>
  <c r="C43" i="5"/>
  <c r="F42" i="5"/>
  <c r="G42" i="5" s="1"/>
  <c r="D42" i="5"/>
  <c r="C42" i="5"/>
  <c r="F41" i="5"/>
  <c r="G41" i="5" s="1"/>
  <c r="D41" i="5"/>
  <c r="C41" i="5"/>
  <c r="F40" i="5"/>
  <c r="G40" i="5" s="1"/>
  <c r="D40" i="5"/>
  <c r="C40" i="5"/>
  <c r="C34" i="5"/>
  <c r="F13" i="10" l="1"/>
  <c r="F39" i="5"/>
  <c r="G39" i="5" s="1"/>
  <c r="D39" i="5"/>
  <c r="C39" i="5"/>
  <c r="F38" i="5"/>
  <c r="G38" i="5" s="1"/>
  <c r="D38" i="5"/>
  <c r="C38" i="5"/>
  <c r="F37" i="5"/>
  <c r="G37" i="5" s="1"/>
  <c r="D37" i="5"/>
  <c r="C37" i="5"/>
  <c r="F36" i="5"/>
  <c r="G36" i="5" s="1"/>
  <c r="D36" i="5"/>
  <c r="C36" i="5"/>
  <c r="C31" i="5"/>
  <c r="D31" i="5"/>
  <c r="F31" i="5"/>
  <c r="G31" i="5" s="1"/>
  <c r="C32" i="5"/>
  <c r="D32" i="5"/>
  <c r="F32" i="5"/>
  <c r="G32" i="5" s="1"/>
  <c r="C33" i="5"/>
  <c r="D33" i="5"/>
  <c r="F33" i="5"/>
  <c r="G33" i="5" s="1"/>
  <c r="D34" i="5"/>
  <c r="F34" i="5"/>
  <c r="G34" i="5" s="1"/>
  <c r="C35" i="5"/>
  <c r="D35" i="5"/>
  <c r="F35" i="5"/>
  <c r="G35" i="5" s="1"/>
  <c r="D30" i="5"/>
  <c r="F30" i="5"/>
  <c r="G30" i="5" s="1"/>
  <c r="C30" i="5"/>
  <c r="C25" i="5"/>
  <c r="F29" i="5" l="1"/>
  <c r="G29" i="5" s="1"/>
  <c r="D29" i="5"/>
  <c r="C29" i="5"/>
  <c r="F28" i="5"/>
  <c r="G28" i="5" s="1"/>
  <c r="D28" i="5"/>
  <c r="C28" i="5"/>
  <c r="F27" i="5"/>
  <c r="G27" i="5" s="1"/>
  <c r="D27" i="5"/>
  <c r="C27" i="5"/>
  <c r="F26" i="5"/>
  <c r="G26" i="5" s="1"/>
  <c r="D26" i="5"/>
  <c r="C26" i="5"/>
  <c r="F25" i="5"/>
  <c r="G25" i="5" s="1"/>
  <c r="D25" i="5"/>
  <c r="F24" i="5"/>
  <c r="G24" i="5" s="1"/>
  <c r="D24" i="5"/>
  <c r="C24" i="5"/>
  <c r="F23" i="5"/>
  <c r="G23" i="5" s="1"/>
  <c r="D23" i="5"/>
  <c r="C23" i="5"/>
  <c r="F22" i="5"/>
  <c r="G22" i="5" s="1"/>
  <c r="D22" i="5"/>
  <c r="C22" i="5"/>
  <c r="C2" i="5"/>
  <c r="B67" i="5"/>
  <c r="F2" i="5" l="1"/>
  <c r="D2" i="5"/>
  <c r="G2" i="5" l="1"/>
  <c r="F13"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Afelix</author>
  </authors>
  <commentList>
    <comment ref="F9" authorId="0" shapeId="0" xr:uid="{B98FCAEF-C491-467A-A0AD-440051748F72}">
      <text>
        <r>
          <rPr>
            <b/>
            <sz val="8"/>
            <color indexed="81"/>
            <rFont val="Tahoma"/>
            <family val="2"/>
          </rPr>
          <t>Afelix:</t>
        </r>
        <r>
          <rPr>
            <sz val="8"/>
            <color indexed="81"/>
            <rFont val="Tahoma"/>
            <family val="2"/>
          </rPr>
          <t xml:space="preserve">
Inserir apenas o numero simples (inteiro)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Afelix</author>
  </authors>
  <commentList>
    <comment ref="F9" authorId="0" shapeId="0" xr:uid="{639B5213-86A0-41D8-A950-9B45004542BA}">
      <text>
        <r>
          <rPr>
            <b/>
            <sz val="8"/>
            <color indexed="81"/>
            <rFont val="Tahoma"/>
            <family val="2"/>
          </rPr>
          <t>Afelix:</t>
        </r>
        <r>
          <rPr>
            <sz val="8"/>
            <color indexed="81"/>
            <rFont val="Tahoma"/>
            <family val="2"/>
          </rPr>
          <t xml:space="preserve">
Inserir apenas o numero simples (inteiro)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Pedro Miguel Coelho Almeida Santos</author>
  </authors>
  <commentList>
    <comment ref="B878" authorId="0" shapeId="0" xr:uid="{7E5ABB66-A499-4EF6-A404-E7B8AC21C5EC}">
      <text>
        <r>
          <rPr>
            <b/>
            <sz val="9"/>
            <color indexed="81"/>
            <rFont val="Tahoma"/>
            <family val="2"/>
          </rPr>
          <t>Pedro Miguel Coelho Almeida Santos:</t>
        </r>
        <r>
          <rPr>
            <sz val="9"/>
            <color indexed="81"/>
            <rFont val="Tahoma"/>
            <family val="2"/>
          </rPr>
          <t xml:space="preserve">
Anexar desenhos tipo</t>
        </r>
      </text>
    </comment>
    <comment ref="B880" authorId="0" shapeId="0" xr:uid="{DF7AC363-BAED-47FF-9E01-18317B1E70DF}">
      <text>
        <r>
          <rPr>
            <b/>
            <sz val="9"/>
            <color indexed="81"/>
            <rFont val="Tahoma"/>
            <family val="2"/>
          </rPr>
          <t>Pedro Miguel Coelho Almeida Santos:</t>
        </r>
        <r>
          <rPr>
            <sz val="9"/>
            <color indexed="81"/>
            <rFont val="Tahoma"/>
            <family val="2"/>
          </rPr>
          <t xml:space="preserve">
Anexar desenhos tipo</t>
        </r>
      </text>
    </comment>
    <comment ref="B926" authorId="0" shapeId="0" xr:uid="{D1152DCE-F5B1-49BA-A3E4-B0DC54D5E250}">
      <text>
        <r>
          <rPr>
            <b/>
            <sz val="9"/>
            <color indexed="81"/>
            <rFont val="Tahoma"/>
            <family val="2"/>
          </rPr>
          <t>Pedro Miguel Coelho Almeida Santos:</t>
        </r>
        <r>
          <rPr>
            <sz val="9"/>
            <color indexed="81"/>
            <rFont val="Tahoma"/>
            <family val="2"/>
          </rPr>
          <t xml:space="preserve">
inserir desenho tipo em anexo</t>
        </r>
      </text>
    </comment>
  </commentList>
</comments>
</file>

<file path=xl/sharedStrings.xml><?xml version="1.0" encoding="utf-8"?>
<sst xmlns="http://schemas.openxmlformats.org/spreadsheetml/2006/main" count="5687" uniqueCount="2732">
  <si>
    <t>Nota 2: Não pode ser ultrapassado o Valor Base sob pena de exclusão da proposta.</t>
  </si>
  <si>
    <t>Nota 1: Não podem ser ultrapassados os valores dos preços máximos dos itens, sob pena de exclusão da proposta.</t>
  </si>
  <si>
    <t>OBSERVAÇÕES:</t>
  </si>
  <si>
    <t>0 anos</t>
  </si>
  <si>
    <t>un</t>
  </si>
  <si>
    <t>Ativação da Manutenção Corretiva Emergência - Coroa 4 (acima de 150 Kms)</t>
  </si>
  <si>
    <t>F.12.08.01.17.08</t>
  </si>
  <si>
    <t>Ativação da Manutenção Corretiva Emergência - Coroa 3 (de 100 a 150 Kms)</t>
  </si>
  <si>
    <t>F.12.08.01.17.07</t>
  </si>
  <si>
    <t>Ativação da Manutenção Corretiva Emergência - Coroa 2 (de 50 a 100 Kms)</t>
  </si>
  <si>
    <t>F.12.08.01.17.06</t>
  </si>
  <si>
    <t>Ativação da Manutenção Corretiva Emergência - Coroa 1 (até 50 Kms)</t>
  </si>
  <si>
    <t>F.12.08.01.17.05</t>
  </si>
  <si>
    <t>Ativação da Manutenção Corretiva Normal - Coroa 4 (acima de 150 Kms)</t>
  </si>
  <si>
    <t>F.12.08.01.17.04</t>
  </si>
  <si>
    <t>Ativação da Manutenção Corretiva Normal - Coroa 3 (de 100 a 150 Kms)</t>
  </si>
  <si>
    <t>F.12.08.01.17.03</t>
  </si>
  <si>
    <t>Ativação da Manutenção Corretiva Normal - Coroa 2 (de 50 a 100 Kms)</t>
  </si>
  <si>
    <t>F.12.08.01.17.02</t>
  </si>
  <si>
    <t>Ativação da Manutenção Corretiva Normal - Coroa 1 (até 50 Kms)</t>
  </si>
  <si>
    <t>F.12.08.01.17.01</t>
  </si>
  <si>
    <t>Taxa de Mobilização TMB  - ativação da Manutenção Corretiva Normal ou de  Emergência:</t>
  </si>
  <si>
    <t>F.12.08.01.17.</t>
  </si>
  <si>
    <t>mês</t>
  </si>
  <si>
    <t>Ativo Tipo D3</t>
  </si>
  <si>
    <t>F.12.08.01.16.12</t>
  </si>
  <si>
    <t>Ativo Tipo D2</t>
  </si>
  <si>
    <t>F.12.08.01.16.11</t>
  </si>
  <si>
    <t>Ativo Tipo D1</t>
  </si>
  <si>
    <t>F.12.08.01.16.10</t>
  </si>
  <si>
    <t>Ativo Tipo C3</t>
  </si>
  <si>
    <t>F.12.08.01.16.09</t>
  </si>
  <si>
    <t>Ativo Tipo C2</t>
  </si>
  <si>
    <t>F.12.08.01.16.08</t>
  </si>
  <si>
    <t>Ativo Tipo C1</t>
  </si>
  <si>
    <t>F.12.08.01.16.07</t>
  </si>
  <si>
    <t>Ativo Tipo B3</t>
  </si>
  <si>
    <t>F.12.08.01.16.06</t>
  </si>
  <si>
    <t>Ativo Tipo B2</t>
  </si>
  <si>
    <t>F.12.08.01.16.05</t>
  </si>
  <si>
    <t>Ativo Tipo B1</t>
  </si>
  <si>
    <t>F.12.08.01.16.04</t>
  </si>
  <si>
    <t>Ativo Tipo A3</t>
  </si>
  <si>
    <t>F.12.08.01.16.03</t>
  </si>
  <si>
    <t>Ativo Tipo A2</t>
  </si>
  <si>
    <t>F.12.08.01.16.02</t>
  </si>
  <si>
    <t>Ativo Tipo A1</t>
  </si>
  <si>
    <t>F.12.08.01.16.01</t>
  </si>
  <si>
    <t>Manutenção Preventiva Sistemática da Infraestrutura - Execução das tarefas definidas no anexo D</t>
  </si>
  <si>
    <t>F.12.08.01.16</t>
  </si>
  <si>
    <t>Encargos com ocupação da via pública (licenciamento, taxas, policiamento, etc)</t>
  </si>
  <si>
    <t>F.12.08.01.15.01.</t>
  </si>
  <si>
    <t>Diversos</t>
  </si>
  <si>
    <t xml:space="preserve">F.12.08.01.15. </t>
  </si>
  <si>
    <t>h</t>
  </si>
  <si>
    <t>Ajudante</t>
  </si>
  <si>
    <t>F.12.08.01.14.02.03.</t>
  </si>
  <si>
    <t>Operário</t>
  </si>
  <si>
    <t>F.12.08.01.14.02.02.</t>
  </si>
  <si>
    <t>Encarregado</t>
  </si>
  <si>
    <t>F.12.08.01.14.02.01.</t>
  </si>
  <si>
    <t>horário Pós Laboral, Fim de Semana e Feriados</t>
  </si>
  <si>
    <t xml:space="preserve">F.12.08.01.14.02. </t>
  </si>
  <si>
    <t>F.12.08.01.14.01.03.</t>
  </si>
  <si>
    <t>F.12.08.01.14.01.02.</t>
  </si>
  <si>
    <t>F.12.08.01.14.01.01.</t>
  </si>
  <si>
    <t>horário Normal</t>
  </si>
  <si>
    <t xml:space="preserve">F.12.08.01.14.01. </t>
  </si>
  <si>
    <t>Mão de Obra / Construção Civil</t>
  </si>
  <si>
    <t xml:space="preserve">F.12.08.01.14. </t>
  </si>
  <si>
    <t>m3</t>
  </si>
  <si>
    <t>Fornecimento de balastro de origem granítica</t>
  </si>
  <si>
    <t>F.12.08.01.13.02.08.</t>
  </si>
  <si>
    <t>Fornecimento de Tout-venant</t>
  </si>
  <si>
    <t>F.12.08.01.13.02.07.</t>
  </si>
  <si>
    <t>Fornecimento de pó de pedra</t>
  </si>
  <si>
    <t>F.12.08.01.13.02.06.</t>
  </si>
  <si>
    <t>Fornecimento de areia do rio lavada</t>
  </si>
  <si>
    <t>F.12.08.01.13.02.05.</t>
  </si>
  <si>
    <t>l</t>
  </si>
  <si>
    <t>Fornecimento de tintas de esmalte</t>
  </si>
  <si>
    <t>F.12.08.01.13.02.04.</t>
  </si>
  <si>
    <t>Fornecimento de tintas plásticas</t>
  </si>
  <si>
    <t>F.12.08.01.13.02.03.</t>
  </si>
  <si>
    <t>Fornecimento de brita</t>
  </si>
  <si>
    <t>F.12.08.01.13.02.02.</t>
  </si>
  <si>
    <t>Fornecimento de sacos de cimento</t>
  </si>
  <si>
    <t>F.12.08.01.13.02.01.</t>
  </si>
  <si>
    <t>Fornecimento de Materiais</t>
  </si>
  <si>
    <t xml:space="preserve">F.12.08.01.13.02. </t>
  </si>
  <si>
    <t>Plataforma elevatória para alturas superiores a 10 metros</t>
  </si>
  <si>
    <t>F.12.08.01.13.01.24.</t>
  </si>
  <si>
    <t>Plataforma elevatória até 10 metros</t>
  </si>
  <si>
    <t>F.12.08.01.13.01.23.</t>
  </si>
  <si>
    <t>Grua até 10 Ton</t>
  </si>
  <si>
    <t>F.12.08.01.13.01.22.</t>
  </si>
  <si>
    <t>Grua até 5 Ton</t>
  </si>
  <si>
    <t>F.12.08.01.13.01.21.</t>
  </si>
  <si>
    <t>Camião grua até 22 ton</t>
  </si>
  <si>
    <t>F.12.08.01.13.01.20.</t>
  </si>
  <si>
    <t>Betoneira motor a gasolina com balde de 130 litros</t>
  </si>
  <si>
    <t>F.12.08.01.13.01.19.</t>
  </si>
  <si>
    <t>Máquina giratória com balde de 0.75m3</t>
  </si>
  <si>
    <t>F.12.08.01.13.01.18.</t>
  </si>
  <si>
    <t>Gerador elétrico de 5 KVA</t>
  </si>
  <si>
    <t>F.12.08.01.13.01.17.</t>
  </si>
  <si>
    <t>Gerador elétrico de 2,5 KVA</t>
  </si>
  <si>
    <t>F.12.08.01.13.01.16.</t>
  </si>
  <si>
    <t>Máquina de corte para pavimento betuminoso e/ou betão</t>
  </si>
  <si>
    <t>F.12.08.01.13.01.15.</t>
  </si>
  <si>
    <t>Compactador (saltitão)</t>
  </si>
  <si>
    <t>F.12.08.01.13.01.14.</t>
  </si>
  <si>
    <t>Bomba elétrica de elevação de 2"</t>
  </si>
  <si>
    <t>F.12.08.01.13.01.13.</t>
  </si>
  <si>
    <t>Retificadora/rebarbadora elétrica para trabalhos de serralharia e outros</t>
  </si>
  <si>
    <t>F.12.08.01.13.01.12.</t>
  </si>
  <si>
    <t>Martelo elétrico, incluindo grilho e demais acessórios</t>
  </si>
  <si>
    <t>F.12.08.01.13.01.11.</t>
  </si>
  <si>
    <t>Viatura mista tipo pick-up até 3500 Kg PB</t>
  </si>
  <si>
    <t>F.12.08.01.13.01.10.</t>
  </si>
  <si>
    <t>Camião superior a 26t basculante</t>
  </si>
  <si>
    <t>F.12.08.01.13.01.09.</t>
  </si>
  <si>
    <t>Camião de 12t basculante</t>
  </si>
  <si>
    <t>F.12.08.01.13.01.08.</t>
  </si>
  <si>
    <t>Pá carregadora</t>
  </si>
  <si>
    <t>F.12.08.01.13.01.07.</t>
  </si>
  <si>
    <t>Cilindro vibrador</t>
  </si>
  <si>
    <t>F.12.08.01.13.01.06.</t>
  </si>
  <si>
    <t>Compressor</t>
  </si>
  <si>
    <t>F.12.08.01.13.01.05.</t>
  </si>
  <si>
    <t>Giratória tipo Cat 325</t>
  </si>
  <si>
    <t>F.12.08.01.13.01.04.</t>
  </si>
  <si>
    <t>Retro escavadora pequena (tipo Bob-Cat)</t>
  </si>
  <si>
    <t>F.12.08.01.13.01.03.</t>
  </si>
  <si>
    <t>Retro escavadora</t>
  </si>
  <si>
    <t>F.12.08.01.13.01.02.</t>
  </si>
  <si>
    <t>m2</t>
  </si>
  <si>
    <t>Montagem/desmontagem de andaimes em tubo metálico de acordo com o estabelecido com o art.º 40º do Decreto-Lei 50/2005</t>
  </si>
  <si>
    <t>F.12.08.01.13.01.01.</t>
  </si>
  <si>
    <t>Aluguer de Equipamento</t>
  </si>
  <si>
    <t xml:space="preserve">F.12.08.01.13.01. </t>
  </si>
  <si>
    <t>Aluguer de Equipamento e Fornecimento de Materiais</t>
  </si>
  <si>
    <t>F.12.08.01.13.</t>
  </si>
  <si>
    <t>m</t>
  </si>
  <si>
    <t xml:space="preserve">Poda de sebes </t>
  </si>
  <si>
    <t>F.12.08.01.12.08.</t>
  </si>
  <si>
    <t>Corte de relvados</t>
  </si>
  <si>
    <t>F.12.08.01.12.07.</t>
  </si>
  <si>
    <t>Poda de arbusto</t>
  </si>
  <si>
    <t>F.12.08.01.12.06.</t>
  </si>
  <si>
    <t>Fornecimento e aplicação de casca de carvalho em jardins</t>
  </si>
  <si>
    <t xml:space="preserve">F.12.08.01.12.04. </t>
  </si>
  <si>
    <t>Fornecimento e aplicação de tela anti germinante</t>
  </si>
  <si>
    <t xml:space="preserve">F.12.08.01.12.03. </t>
  </si>
  <si>
    <t>Fornecimento e aplicação de terra vegetal em jardins, canteiros ou floreiras</t>
  </si>
  <si>
    <t xml:space="preserve">F.12.08.01.12.02. </t>
  </si>
  <si>
    <t>Renovação de áreas relvadas</t>
  </si>
  <si>
    <t xml:space="preserve">F.12.08.01.12.01. </t>
  </si>
  <si>
    <t>Manutenção de Zonas Verdes (inclui a recolha e o encaminhamento dos sobrantes/ resíduos a destino final autorizado/ licenciado, bem como, o cumprimento das disposições legais inerentes).</t>
  </si>
  <si>
    <t>F.12.08.01.12.</t>
  </si>
  <si>
    <t>5 anos</t>
  </si>
  <si>
    <t>Reparação de vedação constituída por painéis de rede em aço electrosoldados de acordo com IT_CCE_004, tipologia II, incluindo prumos</t>
  </si>
  <si>
    <t>F.12.08.01.11.27.</t>
  </si>
  <si>
    <t>Reparação de vedação constituída por painéis de rede em aço electrosoldados de acordo com IT_CCE_004, tipologia I, incluindo prumos</t>
  </si>
  <si>
    <t>F.12.08.01.11.26.</t>
  </si>
  <si>
    <t>Reparação de  vedação constituída por painéis de rede em aço electrosoldados de acordo com IT_CCE_003, incluindo prumos</t>
  </si>
  <si>
    <t>F.12.08.01.11.25.</t>
  </si>
  <si>
    <t>Fornecimento e colocação de vedação constituida por paineis de rede com a altura de 1,70m e largura 3,00m, em varões de aço de 8mm electrosoldados, em malha rectangular 200mmx80mm, envolvidos por cantoneira em LNP 30*30*5mm, apoiados em postes, igualmente em aço de secção circular (2''), incluindo metalização, pintura a tinta de esmalte, todos os trabalhos e acessórios necessários. Será ainda executada a ligação à terra através de piquetes, devendo todas as partes metálicas estar interligadas entre si.</t>
  </si>
  <si>
    <t>F.12.08.01.11.24.</t>
  </si>
  <si>
    <t>Fornecimento e colocação de vedação constituida por paineis de rede com a altura de 1,50m e largura 2,00m, em varões de aço de 8mm electrosoldados, em malha rectangular 200mmx80mm, envolvidos por cantoneira em LNP 30*30*5mm, apoiados em postes, igualmente em aço de secção circular (2''), incluindo metalização, pintura a tinta de esmalte, todos os trabalhos e acessórios necessários. Será ainda executada a ligação à terra através de piquetes, devendo todas as partes metálicas estar interligadas entre si.</t>
  </si>
  <si>
    <t>F.12.08.01.11.23.</t>
  </si>
  <si>
    <t>Fornecimento e aplicação de guardas metálicas rodoviárias</t>
  </si>
  <si>
    <t>F.12.08.01.11.22.</t>
  </si>
  <si>
    <t>2 anos</t>
  </si>
  <si>
    <t>Reparação de vedação elástica DIN</t>
  </si>
  <si>
    <t>F.12.08.01.11.21.</t>
  </si>
  <si>
    <t>Fornecimento e colocação de rede elástica DIN plastificada</t>
  </si>
  <si>
    <t>F.12.08.01.11.20.</t>
  </si>
  <si>
    <t>Fornecimento e aplicação de pilares pré-fabricados em betão armado para vedação tipo CP</t>
  </si>
  <si>
    <t xml:space="preserve">F.12.08.01.11.19. </t>
  </si>
  <si>
    <t>Fornecimento e aplicação de placas de vedação pré-fabricadas em betão armado tipo CP, maciças</t>
  </si>
  <si>
    <t xml:space="preserve">F.12.08.01.11.18. </t>
  </si>
  <si>
    <t>Fornecimento e aplicação de placas de vedação pré-fabricadas em betão armado tipo CP estilo gradeado ou recortado</t>
  </si>
  <si>
    <t>F.12.08.01.11.17.</t>
  </si>
  <si>
    <t>Fornecimento e aplicação de vedação em betão armado tipo barra-cama</t>
  </si>
  <si>
    <t>F.12.08.01.11.16.</t>
  </si>
  <si>
    <t>Reparação da fixação de painéis de vedações em rede electrossoldada aos postes</t>
  </si>
  <si>
    <t xml:space="preserve">F.12.08.01.11.15. </t>
  </si>
  <si>
    <t>Desempeno e reparação de portão de homem em vedação.</t>
  </si>
  <si>
    <t>F.12.08.01.11.14.</t>
  </si>
  <si>
    <t>Fornecimento e montagem de portão de homem em vedação de plena via em zona rural, conforme IT.CCE.005</t>
  </si>
  <si>
    <t>F.12.08.01.11.13.</t>
  </si>
  <si>
    <t>Desempeno e reparação de portão de viaturas em vedação.</t>
  </si>
  <si>
    <t xml:space="preserve">F.12.08.01.11.12. </t>
  </si>
  <si>
    <t>Fornecimento e montagem de portão de viaturas em vedação de plena via em zona rural, conforme IT.CCE.005</t>
  </si>
  <si>
    <t xml:space="preserve">F.12.08.01.11.11. </t>
  </si>
  <si>
    <t>Fornecimento e montagem de portão para viaturas em vedações de estações e apeadeiros, conforme IT.CCE.003.</t>
  </si>
  <si>
    <t>F.12.08.01.11.10.</t>
  </si>
  <si>
    <t>Fornecimento e montagem de portão de vedação em madeira em rede progressiva, de duas folhas, com as dimensões de 4,00m*1,50m</t>
  </si>
  <si>
    <t>F.12.08.01.11.09.</t>
  </si>
  <si>
    <t>Reparação de rede de vedação de plena via em zona rural</t>
  </si>
  <si>
    <t xml:space="preserve">F.12.08.01.11.08. </t>
  </si>
  <si>
    <t>Fornecimento e montagem de vedação de plena via em zona rural, conforme IT.CCE.005</t>
  </si>
  <si>
    <t>F.12.08.01.11.07.</t>
  </si>
  <si>
    <t>Fornecimento e montagem de vedação em rede progressiva, de acordo com IT_CCE_005</t>
  </si>
  <si>
    <t>F.12.08.01.11.06.</t>
  </si>
  <si>
    <t>Fornecimento e colocação de fixadores em prumos metálicos de vedação constituída por painéis de rede em aço electrosoldados de acordo com IT_CCE_004, tipologia I</t>
  </si>
  <si>
    <t>F.12.08.01.11.05.</t>
  </si>
  <si>
    <t>Fornecimento e montagem de prumos de madeira de secção 8,5/10 com 2,30m de altura, de acordo com IT_CCE_005</t>
  </si>
  <si>
    <t>F.12.08.01.11.04.</t>
  </si>
  <si>
    <t>Fornecimento e colocação de vedação constituída por painéis de rede em aço electrosoldados de acordo com IT_CCE_004, tipologia II, incluíndo prumos.</t>
  </si>
  <si>
    <t xml:space="preserve">F.12.08.01.11.03. </t>
  </si>
  <si>
    <t>Fornecimento e colocação de vedação constituída por painéis de rede em aço electrosoldados de acordo com IT_CCE_004, tipologia I, incluindo prumos</t>
  </si>
  <si>
    <t>F.12.08.01.11.02.</t>
  </si>
  <si>
    <t>Fornecimento e colocação de vedação constituída por painéis de rede em aço electrosoldados de acordo com IT_CCE_003, incluindo prumos</t>
  </si>
  <si>
    <t xml:space="preserve">F.12.08.01.11.01. </t>
  </si>
  <si>
    <t>Vedações (Nota: Nas vedações com elementos metálicos, referenciadas neste capítulo, deverá ser considerado o fornecimento e aplicação dos materiais para efetuar as ligações à terra através de piquetes, de acordo com o estabelecido nas IT mencionadas.)</t>
  </si>
  <si>
    <t>F.12.08.01.11.</t>
  </si>
  <si>
    <t>Fornecimento e aplicação de grelhas de ferro fundido em aros existente para caleiras de pavimento contínuas tipo "ACO", ou equivalente</t>
  </si>
  <si>
    <t>F.12.08.01.10.08.08.</t>
  </si>
  <si>
    <t>Fornecimento e colocação/assentamento de conjunto aro/grelha em aço metalizado e executados por medida para tapamento de caleiras e sargetas</t>
  </si>
  <si>
    <t>F.12.08.01.10.08.07.</t>
  </si>
  <si>
    <t>Fornecimento e aplicação de grelhas para sumidouros construídas por medida em perfis em aço laminado a quente (tipo UPN, L, LD, T, etc., soldadas e galvanizadas</t>
  </si>
  <si>
    <t>F.12.08.01.10.08.06.</t>
  </si>
  <si>
    <t>0,30m de largura</t>
  </si>
  <si>
    <t xml:space="preserve">F.12.08.01.10.08.05.05. </t>
  </si>
  <si>
    <t>0,25m de largura</t>
  </si>
  <si>
    <t>F.12.08.01.10.08.05.04.</t>
  </si>
  <si>
    <t>0,20m de largura</t>
  </si>
  <si>
    <t>F.12.08.01.10.08.05.03.</t>
  </si>
  <si>
    <t>0,15m de largura</t>
  </si>
  <si>
    <t>F.12.08.01.10.08.05.02.</t>
  </si>
  <si>
    <t>0,10m de largura</t>
  </si>
  <si>
    <t xml:space="preserve">F.12.08.01.10.08.05.01. </t>
  </si>
  <si>
    <t>Fornecimento e aplicação de grelhas em chapa zincada tipo POLYDRAIN com:</t>
  </si>
  <si>
    <t>F.12.08.01.10.08.05.</t>
  </si>
  <si>
    <t>Fornecimento e assentamento de conjunto grelha e aro em ferro fundido para sumidouro, com dimensão 60x350mm, classe C250</t>
  </si>
  <si>
    <t xml:space="preserve">F.12.08.01.10.08.04.04. </t>
  </si>
  <si>
    <t>Fornecimento e assentamento de tampas/grelha circulares, em ferro fundido, classe D400, diâm 60cm</t>
  </si>
  <si>
    <t>F.12.08.01.10.08.04.03.</t>
  </si>
  <si>
    <t>De dimensão 60x35cm, classe D400</t>
  </si>
  <si>
    <t xml:space="preserve">F.12.08.01.10.08.04.02. </t>
  </si>
  <si>
    <t>De dimensão 60x35cm, classe C250</t>
  </si>
  <si>
    <t>F.12.08.01.10.08.04.01.</t>
  </si>
  <si>
    <t>Fornecimento e colocação/assentamento de conjunto aro/grelha de sumidouro com sistema anti roubo:</t>
  </si>
  <si>
    <t>F.12.08.01.10.08.04.</t>
  </si>
  <si>
    <t>De diâm. 60cm</t>
  </si>
  <si>
    <t>F.12.08.01.10.08.03.03.</t>
  </si>
  <si>
    <t>De diâm. 55cm</t>
  </si>
  <si>
    <t>F.12.08.01.10.08.03.02.</t>
  </si>
  <si>
    <t>De diâm. 40cm</t>
  </si>
  <si>
    <t xml:space="preserve">F.12.08.01.10.08.03.01. </t>
  </si>
  <si>
    <t>Fornecimento e colocação de conjunto tampa e aro em ferro fundido, circulares ou de secção equivalente, classe D400</t>
  </si>
  <si>
    <t>F.12.08.01.10.08.03.</t>
  </si>
  <si>
    <t>De diâm. 80cm</t>
  </si>
  <si>
    <t xml:space="preserve">F.12.08.01.10.08.02.04. </t>
  </si>
  <si>
    <t>F.12.08.01.10.08.02.03.</t>
  </si>
  <si>
    <t xml:space="preserve">F.12.08.01.10.08.02.02. </t>
  </si>
  <si>
    <t xml:space="preserve">F.12.08.01.10.08.02.01. </t>
  </si>
  <si>
    <t>Fornecimento e colocação de conjunto tampa e aro em ferro fundido, circulares ou de secção equivalente, classe C250</t>
  </si>
  <si>
    <t>F.12.08.01.10.08.02.</t>
  </si>
  <si>
    <t>F.12.08.01.10.08.01.03.</t>
  </si>
  <si>
    <t xml:space="preserve">F.12.08.01.10.08.01.02. </t>
  </si>
  <si>
    <t xml:space="preserve">F.12.08.01.10.08.01.01. </t>
  </si>
  <si>
    <t>Fornecimento e colocação de conjunto tampa e aro em ferro fundido, circulares ou de secção equivalente, classe B125</t>
  </si>
  <si>
    <t>F.12.08.01.10.08.01.</t>
  </si>
  <si>
    <t>Tampas para caixas de visita e Sumidouros / Sarjetas</t>
  </si>
  <si>
    <t>F.12.08.01.10.08.</t>
  </si>
  <si>
    <t>Limpeza e esvaziamento de separador de hidrocarbonetos, por meios mecânicos de bombagem, qualquer que seja a dimensão, com recurso a empresas especializadas, incluindo tratamento dos resíduos líquidos e sólidos e limpeza das superfícies.</t>
  </si>
  <si>
    <t>F.12.08.01.10.07.10.</t>
  </si>
  <si>
    <t>Volume adicional ao artigo anterior em m3</t>
  </si>
  <si>
    <t xml:space="preserve">F.12.08.01.10.07.09.02. </t>
  </si>
  <si>
    <t>Mobilização dos meios</t>
  </si>
  <si>
    <t>F.12.08.01.10.07.09.01.</t>
  </si>
  <si>
    <t>Limpeza e esvaziamento de caixas de separação de gorduras, por meios mecânicos de bombagem, qualquer que seja a dimensão, com recurso a empresas especializadas, incluindo tratamento dos resíduos (mistura com gorduras):</t>
  </si>
  <si>
    <t>F.12.08.01.10.07.09.</t>
  </si>
  <si>
    <t xml:space="preserve">F.12.08.01.10.07.08.02. </t>
  </si>
  <si>
    <t xml:space="preserve">F.12.08.01.10.07.08.01. </t>
  </si>
  <si>
    <t>Limpeza e esvaziamento de fossas séticas, por meios mecânicos de bombagem, qualquer que seja a dimensão, com recurso a empresas especializadas:</t>
  </si>
  <si>
    <t>F.12.08.01.10.07.08.</t>
  </si>
  <si>
    <t>horas adicionais</t>
  </si>
  <si>
    <t xml:space="preserve">F.12.08.01.10.07.07.02. </t>
  </si>
  <si>
    <t xml:space="preserve">F.12.08.01.10.07.07.01. </t>
  </si>
  <si>
    <t>Desobstrução de canalizações de esgotos ou de outra natureza por meios mecânicos de bombagem ou injeção, qualquer que seja a extensão, com recurso a empresas especializadas:</t>
  </si>
  <si>
    <t>F.12.08.01.10.07.07.</t>
  </si>
  <si>
    <t>Idem em tubos de queda</t>
  </si>
  <si>
    <t>F.12.08.01.10.07.06.</t>
  </si>
  <si>
    <t>Idem em urinóis</t>
  </si>
  <si>
    <t>F.12.08.01.10.07.05.</t>
  </si>
  <si>
    <t>Idem em caixas de visita</t>
  </si>
  <si>
    <t>F.12.08.01.10.07.04.</t>
  </si>
  <si>
    <t>Idem em lavatórios e bidés</t>
  </si>
  <si>
    <t>F.12.08.01.10.07.03.</t>
  </si>
  <si>
    <t>Desobstrução de esgotos de sanitas e turcas</t>
  </si>
  <si>
    <t>F.12.08.01.10.07.02.</t>
  </si>
  <si>
    <t>Reparação ou desobstrução de canalizações de esgotos, não incluindo abertura de roços ou valas de sanitas e turcas</t>
  </si>
  <si>
    <t>F.12.08.01.10.07.01.</t>
  </si>
  <si>
    <t>Limpezas e Desobstruções</t>
  </si>
  <si>
    <t>F.12.08.01.10.07.</t>
  </si>
  <si>
    <t>Fornecimento e aplicação de muda fraldas rebatível em polietileno, horizontal de parede</t>
  </si>
  <si>
    <t>F.12.08.01.10.06.21.</t>
  </si>
  <si>
    <t>Fornecimento e aplicação de barra de apoio rebatível em aço inoxidável AISI 304</t>
  </si>
  <si>
    <t>F.12.08.01.10.06.20.</t>
  </si>
  <si>
    <t>Fornecimento e aplicação de barra de apoio reto com campânula de proteção</t>
  </si>
  <si>
    <t>F.12.08.01.10.06.19.</t>
  </si>
  <si>
    <t>Fornecimento e aplicação de separadores de urinóis, do tipo "Geberit", ou equivalente, com as dimensões de 740mm*440mm</t>
  </si>
  <si>
    <t>F.12.08.01.10.06.18.</t>
  </si>
  <si>
    <t>Idem, cortinados plastificados para balneários</t>
  </si>
  <si>
    <t>F.12.08.01.10.06.17.</t>
  </si>
  <si>
    <t>Idem, varões para cortinados</t>
  </si>
  <si>
    <t>F.12.08.01.10.06.16.</t>
  </si>
  <si>
    <t>Idem, porta-toalhetes em plástico ABS</t>
  </si>
  <si>
    <t>F.12.08.01.10.06.15.</t>
  </si>
  <si>
    <t>Idem, porta-toalhetes em aço inoxidável</t>
  </si>
  <si>
    <t>F.12.08.01.10.06.14.</t>
  </si>
  <si>
    <t>Idem, doseador de sabonete líquido em plástico ABS</t>
  </si>
  <si>
    <t>F.12.08.01.10.06.13.</t>
  </si>
  <si>
    <t>Idem, doseador de sabonete líquido em aço inoxidável</t>
  </si>
  <si>
    <t>F.12.08.01.10.06.12.</t>
  </si>
  <si>
    <t>Idem, tampas de sanita</t>
  </si>
  <si>
    <t>F.12.08.01.10.06.11.</t>
  </si>
  <si>
    <t>Idem, tampas de saneamento com 50x50 ou 60x60</t>
  </si>
  <si>
    <t>F.12.08.01.10.06.10.</t>
  </si>
  <si>
    <t>Idem, recipiente de lixo para wc</t>
  </si>
  <si>
    <t>F.12.08.01.10.06.09.</t>
  </si>
  <si>
    <t>Idem, espelho de lavatório com 0.40x0.60m</t>
  </si>
  <si>
    <t>F.12.08.01.10.06.08.</t>
  </si>
  <si>
    <t>Idem, conjunto suporte e piaçaba</t>
  </si>
  <si>
    <t>F.12.08.01.10.06.07.</t>
  </si>
  <si>
    <t>Idem, em plástico ABS</t>
  </si>
  <si>
    <t>F.12.08.01.10.06.06.</t>
  </si>
  <si>
    <t>Idem, porta-rolos para papel higiénico convencional, em aço inoxidável</t>
  </si>
  <si>
    <t>F.12.08.01.10.06.05.</t>
  </si>
  <si>
    <t>F.12.08.01.10.06.04.</t>
  </si>
  <si>
    <t>Idem, porta-rolos para papel higiénico, em aço inox, circulares, diâm. 260mm</t>
  </si>
  <si>
    <t>F.12.08.01.10.06.03.</t>
  </si>
  <si>
    <t>F.12.08.01.10.06.02.</t>
  </si>
  <si>
    <t>Fornecimento e aplicação de toalheiro para lavatório em aço inoxidável</t>
  </si>
  <si>
    <t>F.12.08.01.10.06.01.</t>
  </si>
  <si>
    <t>Acessórios Sanitários</t>
  </si>
  <si>
    <t>F.12.08.01.10.06.</t>
  </si>
  <si>
    <t>Tipo NS10  c/ tampas</t>
  </si>
  <si>
    <t xml:space="preserve">F.12.08.01.10.05.57.04. </t>
  </si>
  <si>
    <t>Tipo NS6  c/ tampas</t>
  </si>
  <si>
    <t>F.12.08.01.10.05.57.03.</t>
  </si>
  <si>
    <t>Tipo NS4 c/ tampas</t>
  </si>
  <si>
    <t xml:space="preserve">F.12.08.01.10.05.57.02. </t>
  </si>
  <si>
    <t>Tipo NS2 c/ tampas</t>
  </si>
  <si>
    <t xml:space="preserve">F.12.08.01.10.05.57.01. </t>
  </si>
  <si>
    <t>Fornecimento e colocação/instalação de caixas de separação de gorduras tipo GORTECh da ECODEPUR</t>
  </si>
  <si>
    <t>F.12.08.01.10.05.57.</t>
  </si>
  <si>
    <t>Fornecimento e aplicação de tampa cromada para caixas de pavimento</t>
  </si>
  <si>
    <t>F.12.08.01.10.05.56.</t>
  </si>
  <si>
    <t>Fornecimento e aplicação de manómetro em rede existente</t>
  </si>
  <si>
    <t>F.12.08.01.10.05.55.</t>
  </si>
  <si>
    <t>Idem, de 2"</t>
  </si>
  <si>
    <t>F.12.08.01.10.05.54.</t>
  </si>
  <si>
    <t>Idem, de 1 1/2"</t>
  </si>
  <si>
    <t>F.12.08.01.10.05.53.</t>
  </si>
  <si>
    <t>Idem, de 1"</t>
  </si>
  <si>
    <t>F.12.08.01.10.05.52.</t>
  </si>
  <si>
    <t>Idem, de 3/4"</t>
  </si>
  <si>
    <t>F.12.08.01.10.05.51.</t>
  </si>
  <si>
    <t>Fornecimento e instalação de contadores de água, em latão, de 1/2''</t>
  </si>
  <si>
    <t>F.12.08.01.10.05.50.</t>
  </si>
  <si>
    <t>Idem, de 100lt</t>
  </si>
  <si>
    <t>F.12.08.01.10.05.49.</t>
  </si>
  <si>
    <t>Idem, de 50lt</t>
  </si>
  <si>
    <t>F.12.08.01.10.05.48.</t>
  </si>
  <si>
    <t>Idem, de 35lt</t>
  </si>
  <si>
    <t>F.12.08.01.10.05.47.</t>
  </si>
  <si>
    <t>Idem, de 12lt</t>
  </si>
  <si>
    <t>F.12.08.01.10.05.46.</t>
  </si>
  <si>
    <t>Fornecimento e aplicação de vaso de expansão de 5lt</t>
  </si>
  <si>
    <t>F.12.08.01.10.05.45.</t>
  </si>
  <si>
    <t>Idem, 10bar</t>
  </si>
  <si>
    <t>F.12.08.01.10.05.44.</t>
  </si>
  <si>
    <t>Idem, 8bar</t>
  </si>
  <si>
    <t>F.12.08.01.10.05.43.</t>
  </si>
  <si>
    <t>Idem, 7bar</t>
  </si>
  <si>
    <t>F.12.08.01.10.05.42.</t>
  </si>
  <si>
    <t>Fornecimento e aplicação de válvula de segurança em termoacumuladores, de 6bar</t>
  </si>
  <si>
    <t>F.12.08.01.10.05.41.</t>
  </si>
  <si>
    <t>Com 150l de capacidade</t>
  </si>
  <si>
    <t xml:space="preserve">F.12.08.01.10.05.40.05. </t>
  </si>
  <si>
    <t>Com 100l de capacidade</t>
  </si>
  <si>
    <t>F.12.08.01.10.05.40.04.</t>
  </si>
  <si>
    <t>Com 80 l de capacidade</t>
  </si>
  <si>
    <t xml:space="preserve">F.12.08.01.10.05.40.03. </t>
  </si>
  <si>
    <t>Com 50 l de capacidade</t>
  </si>
  <si>
    <t>F.12.08.01.10.05.40.02.</t>
  </si>
  <si>
    <t>Com 30 l de capacidade</t>
  </si>
  <si>
    <t xml:space="preserve">F.12.08.01.10.05.40.01. </t>
  </si>
  <si>
    <t>Fornecimento e colocação/instalação de cilindros termoacumuladores elétricos para aquecimento de água, de aplicação vertical, de Pot. 1500W</t>
  </si>
  <si>
    <t>F.12.08.01.10.05.40.</t>
  </si>
  <si>
    <t>Fornecimento e aplicação de sifão de lavatório ou bidé com tubo flexível</t>
  </si>
  <si>
    <t>F.12.08.01.10.05.39.</t>
  </si>
  <si>
    <t>Idem, para sifões de pavimento</t>
  </si>
  <si>
    <t>F.12.08.01.10.05.38.</t>
  </si>
  <si>
    <t>Idem, para sifões de garrafa cromados</t>
  </si>
  <si>
    <t>F.12.08.01.10.05.37.</t>
  </si>
  <si>
    <t>Idem, para sifões de gorduras</t>
  </si>
  <si>
    <t>F.12.08.01.10.05.36.</t>
  </si>
  <si>
    <t>Fornecimento e aplicação de lava - loiças inoxidáveis, de pia dupla com escorredor</t>
  </si>
  <si>
    <t>F.12.08.01.10.05.35.</t>
  </si>
  <si>
    <t>Fornecimento e colocação de bacias de lavatório em aço inox nas bancadas</t>
  </si>
  <si>
    <t>F.12.08.01.10.05.34.</t>
  </si>
  <si>
    <t>Fornecimento e aplicação de banheiras acrílicas com seção de 1,80mx0,80m, do tipo "Sanindusa - Série Vértice", ou equivalente</t>
  </si>
  <si>
    <t>F.12.08.01.10.05.33.</t>
  </si>
  <si>
    <t>Idem, com 0,80mx0,80m</t>
  </si>
  <si>
    <t>F.12.08.01.10.05.32.</t>
  </si>
  <si>
    <t>Fornecimento e aplicação de base de chuveiro acrílica de pousar com secção quadrada 0,70mx0,70m, do tipo "Sanindusa - Série Moraira" ou equivalente</t>
  </si>
  <si>
    <t>F.12.08.01.10.05.31.</t>
  </si>
  <si>
    <t>Idem, de canto com 80 de raio</t>
  </si>
  <si>
    <t>F.12.08.01.10.05.30.</t>
  </si>
  <si>
    <t>Idem, de encastrar com 0,80mx0,80m</t>
  </si>
  <si>
    <t>F.12.08.01.10.05.29.</t>
  </si>
  <si>
    <t>F.12.08.01.10.05.28.</t>
  </si>
  <si>
    <t>Fornecimento e aplicação de base de chuveiro cerâmica de pousar com secção quadrada 0,70mx0,70m, do tipo "Sanindusa - Série Moraira" ou equivalente</t>
  </si>
  <si>
    <t>F.12.08.01.10.05.27.</t>
  </si>
  <si>
    <t>Fornecimento e aplicação de WC turca do tipo "Sanindusa", ou equivalente</t>
  </si>
  <si>
    <t>F.12.08.01.10.05.26.</t>
  </si>
  <si>
    <t>Idem, para urinóis de face (coluna)</t>
  </si>
  <si>
    <t>F.12.08.01.10.05.25.</t>
  </si>
  <si>
    <t>Fornecimento e aplicação de urinol de parede do tipo "Sanindusa - Série Ria", ou equivalente</t>
  </si>
  <si>
    <t>F.12.08.01.10.05.24.</t>
  </si>
  <si>
    <t>Fornecimento e aplicação de urinol de parede do tipo "Sanindusa - Série Atlântico", ou equivalente</t>
  </si>
  <si>
    <t>F.12.08.01.10.05.23.</t>
  </si>
  <si>
    <t>Idem, de descarga à parede</t>
  </si>
  <si>
    <t>F.12.08.01.10.05.22.</t>
  </si>
  <si>
    <t>Fornecimento e aplicação de sanita em aço inoxidável tipo Senda de descarga ao chão</t>
  </si>
  <si>
    <t>F.12.08.01.10.05.21.</t>
  </si>
  <si>
    <t>Idem, bidé suspenso</t>
  </si>
  <si>
    <t>F.12.08.01.10.05.20.</t>
  </si>
  <si>
    <t>Idem, bidé</t>
  </si>
  <si>
    <t>F.12.08.01.10.05.19.</t>
  </si>
  <si>
    <t>Idem, tanque compacto</t>
  </si>
  <si>
    <t>F.12.08.01.10.05.18.</t>
  </si>
  <si>
    <t>Idem para pessoas de mobilidade condicionada</t>
  </si>
  <si>
    <t>F.12.08.01.10.05.17.</t>
  </si>
  <si>
    <t>Idem, sanita suspensa</t>
  </si>
  <si>
    <t>F.12.08.01.10.05.16.</t>
  </si>
  <si>
    <t>Idem, sanita compacta (inclui autoclismo)</t>
  </si>
  <si>
    <t>F.12.08.01.10.05.15.</t>
  </si>
  <si>
    <t>Idem, sanita simples</t>
  </si>
  <si>
    <t>F.12.08.01.10.05.14.</t>
  </si>
  <si>
    <t>Idem, lavatório semi-encastrar</t>
  </si>
  <si>
    <t>F.12.08.01.10.05.13.</t>
  </si>
  <si>
    <t>Idem, lavatórios para pessoas de mobilidade condicionada</t>
  </si>
  <si>
    <t>F.12.08.01.10.05.12.</t>
  </si>
  <si>
    <t>Idem, lavatório</t>
  </si>
  <si>
    <t>F.12.08.01.10.05.11.</t>
  </si>
  <si>
    <t>Idem, meia coluna</t>
  </si>
  <si>
    <t>F.12.08.01.10.05.10.</t>
  </si>
  <si>
    <t>Fornecimento e aplicação de coluna de lavatório do tipo "Sanindusa - Série City", ou equivalente</t>
  </si>
  <si>
    <t>F.12.08.01.10.05.09.</t>
  </si>
  <si>
    <t>Fornecimento e aplicação de estrutura de autoclismo de interior, do tipo "Geberit - Duofix" ou equivalente</t>
  </si>
  <si>
    <t>F.12.08.01.10.05.08.</t>
  </si>
  <si>
    <t>Idem, de 100L</t>
  </si>
  <si>
    <t>F.12.08.01.10.05.07.</t>
  </si>
  <si>
    <t>Fornecimento e aplicação de balão de pressão hidrosférico de 50L</t>
  </si>
  <si>
    <t>F.12.08.01.10.05.06.</t>
  </si>
  <si>
    <t>Fornecimento e colocação de fluxómetros tipo "DAL"</t>
  </si>
  <si>
    <t>F.12.08.01.10.05.05.</t>
  </si>
  <si>
    <t>Substituição de emboques</t>
  </si>
  <si>
    <t>F.12.08.01.10.05.04.</t>
  </si>
  <si>
    <t>Fornecimento e colocação de camaras de compensação</t>
  </si>
  <si>
    <t>F.12.08.01.10.05.03.</t>
  </si>
  <si>
    <t>Reparação de autoclismos de mochila</t>
  </si>
  <si>
    <t>F.12.08.01.10.05.02.</t>
  </si>
  <si>
    <t>Fornecimento, colocação/substituição de autoclismos tipo de mochila em PVC</t>
  </si>
  <si>
    <t>F.12.08.01.10.05.01.</t>
  </si>
  <si>
    <t>Aparelhos Sanitários e Equipamentos</t>
  </si>
  <si>
    <t xml:space="preserve">F.12.08.01.10.05. </t>
  </si>
  <si>
    <t>Fornecimento e/ou substituição de torneiras misturadoras para lavatório temporizada, incluindo ligações, acessórios e todos os trabalhos complementares.</t>
  </si>
  <si>
    <t>F.12.08.01.10.04.22.</t>
  </si>
  <si>
    <t>Fornecimento e montagem de torneiras simples temporizadas, para serviço de equipamentos (lavatórios, bidés, etc.)</t>
  </si>
  <si>
    <t>F.12.08.01.10.04.21.</t>
  </si>
  <si>
    <t>Fornecimento e aplicação de placa de comando de descarga de fluxómetro latão do tipo "Grohe", ou equivalente</t>
  </si>
  <si>
    <t>F.12.08.01.10.04.20.</t>
  </si>
  <si>
    <t>Fornecimento e aplicação de placa de comando de descarga de fluxómetro em plástico ABS do tipo "Grohe", ou equivalente</t>
  </si>
  <si>
    <t>F.12.08.01.10.04.19.</t>
  </si>
  <si>
    <t>Fornecimento e aplicação de placa de comando de descarga de sanita em zinco fundido do tipo "Geberit - Série Sigma - Ref. Tango", ou equivalente</t>
  </si>
  <si>
    <t>F.12.08.01.10.04.18.</t>
  </si>
  <si>
    <t>Fornecimento e aplicação de placa de comando de descarga de sanita em plástico do tipo "Geberit - Série Sigma - Ref. Bolero", ou equivalente</t>
  </si>
  <si>
    <t>F.12.08.01.10.04.17.</t>
  </si>
  <si>
    <t>Fornecimento e aplicação de sistemas de descarga de urinóis pneumáticos, em aço inox, do tipo "Geberit - Tango", ou equivalente</t>
  </si>
  <si>
    <t>F.12.08.01.10.04.16.</t>
  </si>
  <si>
    <t>Fornecimento e aplicação de sistemas de descarga de urinóis por infravermelhos, com alimentação elétrica, cromado mate, do tipo "Geberit", ou equivalente</t>
  </si>
  <si>
    <t>F.12.08.01.10.04.15.</t>
  </si>
  <si>
    <t>Fornecimento e aplicação de sistemas de descarga de urinóis por infravermelhos, a pilha de 9 V, cromado mate, do tipo "Geberit", ou equivalente</t>
  </si>
  <si>
    <t>F.12.08.01.10.04.14.</t>
  </si>
  <si>
    <t>Fornecimento e aplicação de torneiras com comando foto-elétrico temporizado, do tipo "Geberit", ou equivalente</t>
  </si>
  <si>
    <t>F.12.08.01.10.04.13.</t>
  </si>
  <si>
    <t>Fornecimento e aplicação de torneira monocomando de alavanca para lavatório com manípulo hospitalar</t>
  </si>
  <si>
    <t>F.12.08.01.10.04.12.</t>
  </si>
  <si>
    <t>Fornecimento e/ou substituição de torneiras de esquadria para autoclismos e/ou lavatórios</t>
  </si>
  <si>
    <t>F.12.08.01.10.04.11.</t>
  </si>
  <si>
    <t>Fornecimento e/ou substituição de chuveiro tipo telefone</t>
  </si>
  <si>
    <t>F.12.08.01.10.04.10.</t>
  </si>
  <si>
    <t>idem, de bichas com 1,50m para chuveiro tipo telefone</t>
  </si>
  <si>
    <t>F.12.08.01.10.04.09.</t>
  </si>
  <si>
    <t>Fornecimento e/ou substituição de bichas de lavatório, bidé ou autoclismo</t>
  </si>
  <si>
    <t>F.12.08.01.10.04.08.</t>
  </si>
  <si>
    <t>Idem, de torneiras de bebedouro</t>
  </si>
  <si>
    <t>F.12.08.01.10.04.07.</t>
  </si>
  <si>
    <t>Idem, de torneiras de coluna temporizadas</t>
  </si>
  <si>
    <t>F.12.08.01.10.04.06.</t>
  </si>
  <si>
    <t>Fornecimento e/ou substituição de torneiras de coluna</t>
  </si>
  <si>
    <t>F.12.08.01.10.04.05.</t>
  </si>
  <si>
    <t>Idem, para chuveiro</t>
  </si>
  <si>
    <t>F.12.08.01.10.04.04.</t>
  </si>
  <si>
    <t>Idem, para bidé</t>
  </si>
  <si>
    <t>F.12.08.01.10.04.03.</t>
  </si>
  <si>
    <t>Idem, para Lava-Loiça</t>
  </si>
  <si>
    <t>F.12.08.01.10.04.02.</t>
  </si>
  <si>
    <t>Fornecimento e/ou substituição de torneiras misturadoras para lavatório</t>
  </si>
  <si>
    <t>F.12.08.01.10.04.01.</t>
  </si>
  <si>
    <t>Torneiras e Válvulas (Em Aparelhos Sanitários)</t>
  </si>
  <si>
    <t xml:space="preserve">F.12.08.01.10.04. </t>
  </si>
  <si>
    <t>Idem, Ø 3/4"</t>
  </si>
  <si>
    <t>F.12.08.01.10.03.49.</t>
  </si>
  <si>
    <t>Fornecimento e aplicação de válvula de bóia industrial com Φ 1”</t>
  </si>
  <si>
    <t>F.12.08.01.10.03.48.</t>
  </si>
  <si>
    <t>Fornecimento e aplicação de derivações para sistema de rega gota-a-gota  incluindo todos os acessórios necessários, em sistemas/tubagens pré-existentes, compatíveis com esta montagem.</t>
  </si>
  <si>
    <t>F.12.08.01.10.03.47.</t>
  </si>
  <si>
    <t>Fornecimento e aplicação de sistema de rega gota-a-gota  incluindo todos os materiais e acessórios necessários</t>
  </si>
  <si>
    <t>F.12.08.01.10.03.46.</t>
  </si>
  <si>
    <t>Fornecimento e aplicação de aspersores em jardins para rega de micro aspersão</t>
  </si>
  <si>
    <t>F.12.08.01.10.03.45.</t>
  </si>
  <si>
    <t>Fornecimento e colocação de bichas flexíveis ou de latão para ligações</t>
  </si>
  <si>
    <t>F.12.08.01.10.03.44.</t>
  </si>
  <si>
    <t>Idem, DN 100mm</t>
  </si>
  <si>
    <t>F.12.08.01.10.03.43.</t>
  </si>
  <si>
    <t>Idem, DN 80mm</t>
  </si>
  <si>
    <t>F.12.08.01.10.03.42.</t>
  </si>
  <si>
    <t>Idem, DN 65mm</t>
  </si>
  <si>
    <t>F.12.08.01.10.03.41.</t>
  </si>
  <si>
    <t>Fornecimento e aplicação de válvula de cunha em ferro dúctil, de ligação flangeada, DN 50mm</t>
  </si>
  <si>
    <t>F.12.08.01.10.03.40.</t>
  </si>
  <si>
    <t>F.12.08.01.10.03.39.</t>
  </si>
  <si>
    <t>F.12.08.01.10.03.38.</t>
  </si>
  <si>
    <t>F.12.08.01.10.03.37.</t>
  </si>
  <si>
    <t>Fornecimento e aplicação de válvula de retenção de bola em ferro dúctil, de ligação flangeada, DN 50mm</t>
  </si>
  <si>
    <t>F.12.08.01.10.03.36.</t>
  </si>
  <si>
    <t>Reparação de válvulas de seccionamento</t>
  </si>
  <si>
    <t>F.12.08.01.10.03.35.</t>
  </si>
  <si>
    <t>Idem, Ø 1/2"</t>
  </si>
  <si>
    <t>F.12.08.01.10.03.34.</t>
  </si>
  <si>
    <t>F.12.08.01.10.03.33.</t>
  </si>
  <si>
    <t>Idem, Ø 1"</t>
  </si>
  <si>
    <t>F.12.08.01.10.03.32.</t>
  </si>
  <si>
    <t>Idem, Ø 1.1/2"</t>
  </si>
  <si>
    <t>F.12.08.01.10.03.31.</t>
  </si>
  <si>
    <t>Fornecimento e aplicação de válvula redutora de pressão em tubagens com Φ 2”</t>
  </si>
  <si>
    <t>F.12.08.01.10.03.30.</t>
  </si>
  <si>
    <t>Fornecimento e montagem de caixa de carretel basculante completa</t>
  </si>
  <si>
    <t>F.12.08.01.10.03.29.</t>
  </si>
  <si>
    <t>Fornecimento e montagem de marco de incêndio sem cobertura tipo "Classic" PN 16 da Fucoli-Somepal, ou equivalente</t>
  </si>
  <si>
    <t>F.12.08.01.10.03.28.</t>
  </si>
  <si>
    <t>Fornecimento e montagem de marco de incêndio com cobertura tipo "Somepal" PN 16 da Fucoli-Somepal, ou equivalente</t>
  </si>
  <si>
    <t>F.12.08.01.10.03.27.</t>
  </si>
  <si>
    <t>Fornecimento e substituição\montagem de boca de lavagem em ferro fundido, DN25, a instalar ao longo das plataforma</t>
  </si>
  <si>
    <t>F.12.08.01.10.03.26.</t>
  </si>
  <si>
    <t>Fornecimento e aplicação de torneiras para rega de jardim, com caixa incorporada em ferro fundido e saída Ø 1"1/2</t>
  </si>
  <si>
    <t>F.12.08.01.10.03.25.</t>
  </si>
  <si>
    <t>Reparação de torneiras de serviço</t>
  </si>
  <si>
    <t>F.12.08.01.10.03.24.</t>
  </si>
  <si>
    <t>F.12.08.01.10.03.23.</t>
  </si>
  <si>
    <t>F.12.08.01.10.03.22.</t>
  </si>
  <si>
    <t>Idem, de 1" 1/2</t>
  </si>
  <si>
    <t>F.12.08.01.10.03.21.</t>
  </si>
  <si>
    <t>Fornecimento e colocação de torneiras de válvulas de cunha de 2"</t>
  </si>
  <si>
    <t>F.12.08.01.10.03.20.</t>
  </si>
  <si>
    <t>F.12.08.01.10.03.19.</t>
  </si>
  <si>
    <t>Substituição de torneiras de esfera de 3/4"</t>
  </si>
  <si>
    <t>F.12.08.01.10.03.18.</t>
  </si>
  <si>
    <t>F.12.08.01.10.03.17.</t>
  </si>
  <si>
    <t>F.12.08.01.10.03.16.</t>
  </si>
  <si>
    <t>F.12.08.01.10.03.15.</t>
  </si>
  <si>
    <t>Fornecimento e aplicação de válvulas de retensão Ø 2"</t>
  </si>
  <si>
    <t>F.12.08.01.10.03.14.</t>
  </si>
  <si>
    <t>Idem, de torneiras de segurança de 1/2"</t>
  </si>
  <si>
    <t>F.12.08.01.10.03.13.</t>
  </si>
  <si>
    <t>Idem, de torneiras de segurança de 3/4"</t>
  </si>
  <si>
    <t>F.12.08.01.10.03.12.</t>
  </si>
  <si>
    <t>Idem, de torneiras de segurança de 1"</t>
  </si>
  <si>
    <t>F.12.08.01.10.03.11.</t>
  </si>
  <si>
    <t>Idem, de torneiras de segurança de 1 1/2"</t>
  </si>
  <si>
    <t>F.12.08.01.10.03.10.</t>
  </si>
  <si>
    <t>Idem, de torneiras de segurança de 2"</t>
  </si>
  <si>
    <t>F.12.08.01.10.03.09.</t>
  </si>
  <si>
    <t>Idem, de torneiras de passagem de 1/2"</t>
  </si>
  <si>
    <t>F.12.08.01.10.03.08.</t>
  </si>
  <si>
    <t>Idem, de torneiras de passagem de 3/4"</t>
  </si>
  <si>
    <t>F.12.08.01.10.03.07.</t>
  </si>
  <si>
    <t>Idem, de1/2"</t>
  </si>
  <si>
    <t>F.12.08.01.10.03.06.</t>
  </si>
  <si>
    <t>F.12.08.01.10.03.05.</t>
  </si>
  <si>
    <t>F.12.08.01.10.03.04.</t>
  </si>
  <si>
    <t>Idem, de 1"1/2</t>
  </si>
  <si>
    <t>F.12.08.01.10.03.03.</t>
  </si>
  <si>
    <t>Idem, de 3"</t>
  </si>
  <si>
    <t>F.12.08.01.10.03.02.</t>
  </si>
  <si>
    <t>Fornecimento, substituição e aplicação de torneiras de serviço de 2"</t>
  </si>
  <si>
    <t>F.12.08.01.10.03.01.</t>
  </si>
  <si>
    <t>Torneiras e Válvulas (Nas Redes)</t>
  </si>
  <si>
    <t xml:space="preserve">F.12.08.01.10.03. </t>
  </si>
  <si>
    <t>Idem, DN 50</t>
  </si>
  <si>
    <t>F.12.08.01.10.02.41.</t>
  </si>
  <si>
    <t>Idem, DN 75</t>
  </si>
  <si>
    <t>F.12.08.01.10.02.40.</t>
  </si>
  <si>
    <t>Idem, DN 80</t>
  </si>
  <si>
    <t>F.12.08.01.10.02.39.</t>
  </si>
  <si>
    <t>Idem, DN 100</t>
  </si>
  <si>
    <t>F.12.08.01.10.02.38.</t>
  </si>
  <si>
    <t>Idem, DN 125</t>
  </si>
  <si>
    <t>F.12.08.01.10.02.37.</t>
  </si>
  <si>
    <t>Idem, DN 200</t>
  </si>
  <si>
    <t>F.12.08.01.10.02.36.</t>
  </si>
  <si>
    <t>Fornecimento e aplicação de tubagem em FFD, DN 350</t>
  </si>
  <si>
    <t>F.12.08.01.10.02.35.</t>
  </si>
  <si>
    <t>Fornecimento e assentamento de manilha de Grés Cerâmica de Ø200mm</t>
  </si>
  <si>
    <t>F.12.08.01.10.02.34.</t>
  </si>
  <si>
    <t>Idem, com Ø1000mm</t>
  </si>
  <si>
    <t>F.12.08.01.10.02.33.</t>
  </si>
  <si>
    <t>Idem, com Ø800mm</t>
  </si>
  <si>
    <t>F.12.08.01.10.02.32.</t>
  </si>
  <si>
    <t>Idem, com Ø600mm</t>
  </si>
  <si>
    <t>F.12.08.01.10.02.31.</t>
  </si>
  <si>
    <t>Idem, com Ø500mm</t>
  </si>
  <si>
    <t>F.12.08.01.10.02.30.</t>
  </si>
  <si>
    <t>Idem, com Ø400mm</t>
  </si>
  <si>
    <t>F.12.08.01.10.02.29.</t>
  </si>
  <si>
    <t>Fornecimento e assentamento de manilha de betão de Ø300mm</t>
  </si>
  <si>
    <t>F.12.08.01.10.02.28.</t>
  </si>
  <si>
    <t>Idem, com Ø 400</t>
  </si>
  <si>
    <t>F.12.08.01.10.02.27.</t>
  </si>
  <si>
    <t>Idem, com Ø 315</t>
  </si>
  <si>
    <t>F.12.08.01.10.02.26.</t>
  </si>
  <si>
    <t>Idem, com Ø 250</t>
  </si>
  <si>
    <t>F.12.08.01.10.02.25.</t>
  </si>
  <si>
    <t>Idem, com Ø 200</t>
  </si>
  <si>
    <t>F.12.08.01.10.02.24.</t>
  </si>
  <si>
    <t>Idem, com Ø 160</t>
  </si>
  <si>
    <t>F.12.08.01.10.02.23.</t>
  </si>
  <si>
    <t>Idem, com Ø 125</t>
  </si>
  <si>
    <t>F.12.08.01.10.02.22.</t>
  </si>
  <si>
    <t>Idem, com Ø 90</t>
  </si>
  <si>
    <t>F.12.08.01.10.02.21.</t>
  </si>
  <si>
    <t>Idem, com Ø 75</t>
  </si>
  <si>
    <t>F.12.08.01.10.02.20.</t>
  </si>
  <si>
    <t>Fornecimento e assentamento de tubo corrugado de parede dupla SN8 de Ø 50</t>
  </si>
  <si>
    <t>F.12.08.01.10.02.19.</t>
  </si>
  <si>
    <t>Idem. em tubo PVC de 200mm</t>
  </si>
  <si>
    <t>F.12.08.01.10.02.18.</t>
  </si>
  <si>
    <t>Idem. em tubo PVC de 160mm</t>
  </si>
  <si>
    <t>F.12.08.01.10.02.17.</t>
  </si>
  <si>
    <t>Idem. em tubo PVC de 140mm</t>
  </si>
  <si>
    <t>F.12.08.01.10.02.16.</t>
  </si>
  <si>
    <t>Idem. em tubo PVC de 125mm</t>
  </si>
  <si>
    <t>F.12.08.01.10.02.15.</t>
  </si>
  <si>
    <t>Idem. em tubo PVC de 110mm</t>
  </si>
  <si>
    <t>F.12.08.01.10.02.14.</t>
  </si>
  <si>
    <t>Idem. em tubo PVC de 90mm</t>
  </si>
  <si>
    <t>F.12.08.01.10.02.13.</t>
  </si>
  <si>
    <t>Idem. em tubo PVC de 75mm</t>
  </si>
  <si>
    <t>F.12.08.01.10.02.12.</t>
  </si>
  <si>
    <t>Idem. em tubo PVC de 50mm</t>
  </si>
  <si>
    <t>F.12.08.01.10.02.11.</t>
  </si>
  <si>
    <t>Fornecimento e aplicação ou substituição de acessórios de traçado para tubo PVC de 40mm</t>
  </si>
  <si>
    <t>F.12.08.01.10.02.10.</t>
  </si>
  <si>
    <t>F.12.08.01.10.02.09.</t>
  </si>
  <si>
    <t>F.12.08.01.10.02.08.</t>
  </si>
  <si>
    <t>F.12.08.01.10.02.07.</t>
  </si>
  <si>
    <t>F.12.08.01.10.02.06.</t>
  </si>
  <si>
    <t>F.12.08.01.10.02.05.</t>
  </si>
  <si>
    <t>F.12.08.01.10.02.04.</t>
  </si>
  <si>
    <t>F.12.08.01.10.02.03.</t>
  </si>
  <si>
    <t>F.12.08.01.10.02.02.</t>
  </si>
  <si>
    <t>Fornecimento e assentamento de canalização em tubo PVC de 40mm</t>
  </si>
  <si>
    <t>F.12.08.01.10.02.01.</t>
  </si>
  <si>
    <t>Tubagem para Esgotos</t>
  </si>
  <si>
    <t xml:space="preserve">F.12.08.01.10.02. </t>
  </si>
  <si>
    <t>Idem, com 16mm</t>
  </si>
  <si>
    <t>F.12.08.01.10.01.97</t>
  </si>
  <si>
    <t>Idem, com 20mm</t>
  </si>
  <si>
    <t>F.12.08.01.10.01.96</t>
  </si>
  <si>
    <t>Idem, com 26mm</t>
  </si>
  <si>
    <t>F.12.08.01.10.01.95</t>
  </si>
  <si>
    <t>Idem, com 32mm</t>
  </si>
  <si>
    <t>F.12.08.01.10.01.94</t>
  </si>
  <si>
    <t>Fornecimento e aplicação ou substituição de acessórios de traçado para tubo multicamada PE-Xb+AL+PEAD com DN 40mm</t>
  </si>
  <si>
    <t>F.12.08.01.10.01.93</t>
  </si>
  <si>
    <t>F.12.08.01.10.01.92</t>
  </si>
  <si>
    <t>F.12.08.01.10.01.91.</t>
  </si>
  <si>
    <t>F.12.08.01.10.01.90.</t>
  </si>
  <si>
    <t>F.12.08.01.10.01.89.</t>
  </si>
  <si>
    <t>Fornecimento e aplicação de canalização em tudo multicamada PE-Xb+AL+PEAD com DN 40mm</t>
  </si>
  <si>
    <t>F.12.08.01.10.01.88.</t>
  </si>
  <si>
    <t>Idem, diâmetro nominal 32mm</t>
  </si>
  <si>
    <t>F.12.08.01.10.01.87.</t>
  </si>
  <si>
    <t>Idem, diâmetro nominal 26mm</t>
  </si>
  <si>
    <t>F.12.08.01.10.01.86.</t>
  </si>
  <si>
    <t>Idem, diâmetro nominal 20mm</t>
  </si>
  <si>
    <t>F.12.08.01.10.01.85.</t>
  </si>
  <si>
    <t>Idem, diâmetro nominal 16mm</t>
  </si>
  <si>
    <t>F.12.08.01.10.01.84.</t>
  </si>
  <si>
    <t>Fornecimento e aplicação ou substituição de acessórios de traçado para tubo multicamada "PEXAL", diâmetro nominal 14mm</t>
  </si>
  <si>
    <t>F.12.08.01.10.01.83.</t>
  </si>
  <si>
    <t>F.12.08.01.10.01.82.</t>
  </si>
  <si>
    <t>F.12.08.01.10.01.81.</t>
  </si>
  <si>
    <t>F.12.08.01.10.01.80.</t>
  </si>
  <si>
    <t>F.12.08.01.10.01.79.</t>
  </si>
  <si>
    <t>Fornecimento e aplicação de canalização em tudo multicamada "PEXAL", diâmetro nominal 14mm</t>
  </si>
  <si>
    <t>F.12.08.01.10.01.78.</t>
  </si>
  <si>
    <t>F.12.08.01.10.01.77.</t>
  </si>
  <si>
    <t>Idem, diâmetro nominal 25mm</t>
  </si>
  <si>
    <t>F.12.08.01.10.01.76.</t>
  </si>
  <si>
    <t>F.12.08.01.10.01.75.</t>
  </si>
  <si>
    <t>F.12.08.01.10.01.74.</t>
  </si>
  <si>
    <t>Fornecimento e aplicação ou substituição de acessórios de traçado para tubo tubo "PEX" classe 2, diâmetro nominal 12mm</t>
  </si>
  <si>
    <t>F.12.08.01.10.01.73.</t>
  </si>
  <si>
    <t>F.12.08.01.10.01.72.</t>
  </si>
  <si>
    <t>F.12.08.01.10.01.71.</t>
  </si>
  <si>
    <t>F.12.08.01.10.01.70.</t>
  </si>
  <si>
    <t>F.12.08.01.10.01.69.</t>
  </si>
  <si>
    <t>Fornecimento e aplicação de canalização em tudo "PEX" classe 2, diâmetro nominal 12mm</t>
  </si>
  <si>
    <t>F.12.08.01.10.01.68.</t>
  </si>
  <si>
    <t>Idem, de 1/2"</t>
  </si>
  <si>
    <t>F.12.08.01.10.01.67.</t>
  </si>
  <si>
    <t>F.12.08.01.10.01.66.</t>
  </si>
  <si>
    <t>F.12.08.01.10.01.65.</t>
  </si>
  <si>
    <t>F.12.08.01.10.01.64.</t>
  </si>
  <si>
    <t>Fornecimento e aplicação ou substituição de acessórios de traçado para tubo tubo PEAD de PN16 de 2"</t>
  </si>
  <si>
    <t>F.12.08.01.10.01.63.</t>
  </si>
  <si>
    <t>F.12.08.01.10.01.62.</t>
  </si>
  <si>
    <t>F.12.08.01.10.01.61.</t>
  </si>
  <si>
    <t>F.12.08.01.10.01.60.</t>
  </si>
  <si>
    <t>F.12.08.01.10.01.59.</t>
  </si>
  <si>
    <t>Fornecimento e aplicação de tubo PEAD de PN16 de 2"</t>
  </si>
  <si>
    <t>F.12.08.01.10.01.58.</t>
  </si>
  <si>
    <t>F.12.08.01.10.01.57.</t>
  </si>
  <si>
    <t>F.12.08.01.10.01.56.</t>
  </si>
  <si>
    <t>F.12.08.01.10.01.55.</t>
  </si>
  <si>
    <t>F.12.08.01.10.01.54.</t>
  </si>
  <si>
    <t>Fornecimento e aplicação ou substituição de acessórios de traçado para tubo PVC tipo hidronil de 6kg de 2"</t>
  </si>
  <si>
    <t>F.12.08.01.10.01.53.</t>
  </si>
  <si>
    <t>F.12.08.01.10.01.52.</t>
  </si>
  <si>
    <t>F.12.08.01.10.01.51.</t>
  </si>
  <si>
    <t>F.12.08.01.10.01.50.</t>
  </si>
  <si>
    <t>F.12.08.01.10.01.49.</t>
  </si>
  <si>
    <t>Fornecimento e aplicação de tubo PVC tipo hidronil de 6kg de 2"</t>
  </si>
  <si>
    <t>F.12.08.01.10.01.48.</t>
  </si>
  <si>
    <t>Fornecimento e aplicação de canalização em tubo Inox DN 50mm, de ligações flangeadas</t>
  </si>
  <si>
    <t>F.12.08.01.10.01.47.</t>
  </si>
  <si>
    <t>Idem, em tubo inox 15mm</t>
  </si>
  <si>
    <t>F.12.08.01.10.01.46.</t>
  </si>
  <si>
    <t>Idem, em tubo inox 18mm</t>
  </si>
  <si>
    <t>F.12.08.01.10.01.45.</t>
  </si>
  <si>
    <t>Idem, em tubo inox 22mm</t>
  </si>
  <si>
    <t>F.12.08.01.10.01.44.</t>
  </si>
  <si>
    <t>Idem, em tubo inox 28mm</t>
  </si>
  <si>
    <t>F.12.08.01.10.01.43.</t>
  </si>
  <si>
    <t>Idem, em tubo Inox 1/2"</t>
  </si>
  <si>
    <t>F.12.08.01.10.01.42.</t>
  </si>
  <si>
    <t>Idem, em tubo Inox 3/4"</t>
  </si>
  <si>
    <t>F.12.08.01.10.01.41.</t>
  </si>
  <si>
    <t>Fornecimento e aplicação ou substituição de acessórios de traçado para  tubo Inox 1"</t>
  </si>
  <si>
    <t>F.12.08.01.10.01.40.</t>
  </si>
  <si>
    <t>F.12.08.01.10.01.39.</t>
  </si>
  <si>
    <t>F.12.08.01.10.01.38.</t>
  </si>
  <si>
    <t>F.12.08.01.10.01.37.</t>
  </si>
  <si>
    <t>F.12.08.01.10.01.36.</t>
  </si>
  <si>
    <t>F.12.08.01.10.01.35.</t>
  </si>
  <si>
    <t>F.12.08.01.10.01.34.</t>
  </si>
  <si>
    <t>Fornecimento e aplicação de canalização em tubo Inox 1" em sistema press fitting</t>
  </si>
  <si>
    <t>F.12.08.01.10.01.33.</t>
  </si>
  <si>
    <t>F.12.08.01.10.01.32.</t>
  </si>
  <si>
    <t>F.12.08.01.10.01.31.</t>
  </si>
  <si>
    <t>F.12.08.01.10.01.30.</t>
  </si>
  <si>
    <t>F.12.08.01.10.01.29.</t>
  </si>
  <si>
    <t>F.12.08.01.10.01.28.</t>
  </si>
  <si>
    <t>F.12.08.01.10.01.27.</t>
  </si>
  <si>
    <t>Fornecimento e aplicação de canalização em tubo Inox 1"</t>
  </si>
  <si>
    <t>F.12.08.01.10.01.26.</t>
  </si>
  <si>
    <t>F.12.08.01.10.01.25.</t>
  </si>
  <si>
    <t>Idem, com Ø 110</t>
  </si>
  <si>
    <t>F.12.08.01.10.01.24.</t>
  </si>
  <si>
    <t>F.12.08.01.10.01.23.</t>
  </si>
  <si>
    <t>F.12.08.01.10.01.22.</t>
  </si>
  <si>
    <t>Fornecimento e aplicação ou substituição de acessórios de traçado para  PVC rigido com Ø 63mm e 10 kg de pressão</t>
  </si>
  <si>
    <t>F.12.08.01.10.01.21.</t>
  </si>
  <si>
    <t>F.12.08.01.10.01.20.</t>
  </si>
  <si>
    <t>F.12.08.01.10.01.19.</t>
  </si>
  <si>
    <t>F.12.08.01.10.01.18.</t>
  </si>
  <si>
    <t>F.12.08.01.10.01.17.</t>
  </si>
  <si>
    <t>Fornecimento e aplicação de tubo de PVC rigido com Ø 63mm e 10 kg de pressão</t>
  </si>
  <si>
    <t>F.12.08.01.10.01.16.</t>
  </si>
  <si>
    <t>F.12.08.01.10.01.15.</t>
  </si>
  <si>
    <t>F.12.08.01.10.01.14.</t>
  </si>
  <si>
    <t>F.12.08.01.10.01.13.</t>
  </si>
  <si>
    <t>Idem, de 1"1/4</t>
  </si>
  <si>
    <t>F.12.08.01.10.01.12.</t>
  </si>
  <si>
    <t>F.12.08.01.10.01.11.</t>
  </si>
  <si>
    <t>Idem de 3"</t>
  </si>
  <si>
    <t>F.12.08.01.10.01.10.</t>
  </si>
  <si>
    <t>Fornecimento e aplicação ou substituição de acessórios de traçado para tubo galvanizado de 4"</t>
  </si>
  <si>
    <t>F.12.08.01.10.01.09.</t>
  </si>
  <si>
    <t>F.12.08.01.10.01.08.</t>
  </si>
  <si>
    <t>F.12.08.01.10.01.07.</t>
  </si>
  <si>
    <t>F.12.08.01.10.01.06.</t>
  </si>
  <si>
    <t>F.12.08.01.10.01.05.</t>
  </si>
  <si>
    <t>F.12.08.01.10.01.04.</t>
  </si>
  <si>
    <t>F.12.08.01.10.01.03.</t>
  </si>
  <si>
    <t>Fornecimento e aplicação de canalização em tubo galvanizado de 3"</t>
  </si>
  <si>
    <t>F.12.08.01.10.01.02.</t>
  </si>
  <si>
    <t>Fornecimento e aplicação de canalização em tubo galvanizado de 4"</t>
  </si>
  <si>
    <t>F.12.08.01.10.01.01.</t>
  </si>
  <si>
    <t>Tubagem para Águas</t>
  </si>
  <si>
    <t xml:space="preserve">F.12.08.01.10.01. </t>
  </si>
  <si>
    <t>Canalizações e Equipamento Sanitário (inclui todos os acessórios necessários para o efeito)</t>
  </si>
  <si>
    <t xml:space="preserve">F.12.08.01.10. </t>
  </si>
  <si>
    <t>Fornecimento e aplicação de verniz aquoso em cantarias</t>
  </si>
  <si>
    <t>F.12.08.01.09.04.08.</t>
  </si>
  <si>
    <t>Fornecimento e aplicação de verniz acrílico em superfícies de betão</t>
  </si>
  <si>
    <t>F.12.08.01.09.04.07.</t>
  </si>
  <si>
    <t>Fornecimento e aplicação de verniz de alto tráfego em pavimentos</t>
  </si>
  <si>
    <t>F.12.08.01.09.04.06.</t>
  </si>
  <si>
    <t>Fornecimento e aplicação de verniz celuloso em carpintarias</t>
  </si>
  <si>
    <t>F.12.08.01.09.04.05.</t>
  </si>
  <si>
    <t>Limpeza de portas ou janelas exteriores e envernizamento com verniz celuloso</t>
  </si>
  <si>
    <t>F.12.08.01.09.04.04.</t>
  </si>
  <si>
    <t>Idem em mobiliário</t>
  </si>
  <si>
    <t>F.12.08.01.09.04.03.</t>
  </si>
  <si>
    <t>Envernizamento de portas, divisórias e lambris de madeira</t>
  </si>
  <si>
    <t>F.12.08.01.09.04.02.</t>
  </si>
  <si>
    <t>Aplicação de verniz em pavimentos</t>
  </si>
  <si>
    <t>F.12.08.01.09.04.01.</t>
  </si>
  <si>
    <t>Vernizes</t>
  </si>
  <si>
    <t xml:space="preserve">F.12.08.01.09.04. </t>
  </si>
  <si>
    <t>Fornecimento e aplicação de tinta fotoluminescente, em faixas de encaminhamento e segurança</t>
  </si>
  <si>
    <t>F.12.08.01.09.03.08.</t>
  </si>
  <si>
    <t>Fornecimento e aplicação de tinta de esmalte em guarda de segurança metálicas em faixas na diagonal com as cores preto e amarelo, ou branco e vermelho</t>
  </si>
  <si>
    <t>F.12.08.01.09.03.07.</t>
  </si>
  <si>
    <t>Fornecimento e aplicação de esquema de pintura de pavimentos com tinta antiderrapante com base de metacrilatos</t>
  </si>
  <si>
    <t>F.12.08.01.09.03.06.</t>
  </si>
  <si>
    <t>Fornecimento e aplicação de esquema de pintura de pavimentos com tinta antiderrapante com base epoxi</t>
  </si>
  <si>
    <t>F.12.08.01.09.03.05.</t>
  </si>
  <si>
    <t>Fornecimento e aplicação de esquema de pintura antifogo aplicado conforme indicações do fabricante</t>
  </si>
  <si>
    <t>F.12.08.01.09.03.04.</t>
  </si>
  <si>
    <t>Pintura de beirados à portuguesa</t>
  </si>
  <si>
    <t>F.12.08.01.09.03.03.</t>
  </si>
  <si>
    <t>Pintura de chapas toponímicas e outras com tinta de esmalte</t>
  </si>
  <si>
    <t>F.12.08.01.09.03.02.</t>
  </si>
  <si>
    <t>Pintura de faixas de gares com tinta antiderrapante apropriada para marcação de pavimentos</t>
  </si>
  <si>
    <t>F.12.08.01.09.03.01.</t>
  </si>
  <si>
    <t>Pinturas Diversas</t>
  </si>
  <si>
    <t xml:space="preserve">F.12.08.01.09.03. </t>
  </si>
  <si>
    <t>Idem, padrão Sa 2 1/2 com galvanização a quente, com um recobrimento mínimo de 100 microns, de espessura seca</t>
  </si>
  <si>
    <t>F.12.08.01.09.02.14.</t>
  </si>
  <si>
    <t>Idem, padrão 3</t>
  </si>
  <si>
    <t>F.12.08.01.09.02.13.</t>
  </si>
  <si>
    <t>Idem, padrão 2 1/2</t>
  </si>
  <si>
    <t>F.12.08.01.09.02.12.</t>
  </si>
  <si>
    <t>Fornecimento e aplicação de tinta de esmalte em superfícies metálicas, incluindo a prévia preparação de superfície mediante limpeza mecânica padrão Sa 2</t>
  </si>
  <si>
    <t>F.12.08.01.09.02.11.</t>
  </si>
  <si>
    <t>Idem, padrão St3</t>
  </si>
  <si>
    <t>F.12.08.01.09.02.10.</t>
  </si>
  <si>
    <t>Fornecimento e aplicação de tinta de esmalte em superfícies metálicas, incluindo a prévia preparação de superfície mediante limpeza manual padrão St2</t>
  </si>
  <si>
    <t>F.12.08.01.09.02.09.</t>
  </si>
  <si>
    <t>Pintura de convetores a tinta resistente a altas temperaturas</t>
  </si>
  <si>
    <t>F.12.08.01.09.02.08.</t>
  </si>
  <si>
    <t>Pintura a tinta de alumínio</t>
  </si>
  <si>
    <t>F.12.08.01.09.02.07.</t>
  </si>
  <si>
    <t>Fornecimento e aplicação de tratamento tipo "Bondex/Cupriniol" em elementos de madeira</t>
  </si>
  <si>
    <t>F.12.08.01.09.02.06.</t>
  </si>
  <si>
    <t>Pintura a tinta tipo "ASPhALTENE 411-004 na superfícies metálica</t>
  </si>
  <si>
    <t>F.12.08.01.09.02.05.</t>
  </si>
  <si>
    <t>Decapagem de tintas velhas e ferrugem em superfícies para receber pintura</t>
  </si>
  <si>
    <t>F.12.08.01.09.02.04.</t>
  </si>
  <si>
    <t>Fornecimento e aplicação de tinta de esmalte conversor</t>
  </si>
  <si>
    <t>F.12.08.01.09.02.03.</t>
  </si>
  <si>
    <t>Fornecimento e aplicação de tinta de esmalte sobre pintura</t>
  </si>
  <si>
    <t>F.12.08.01.09.02.02.</t>
  </si>
  <si>
    <t>Fornecimento e aplicação de tinta de esmalte, sobre primário da mesma base</t>
  </si>
  <si>
    <t>F.12.08.01.09.02.01.</t>
  </si>
  <si>
    <t>De Carpintarias e Serralharias</t>
  </si>
  <si>
    <t xml:space="preserve">F.12.08.01.09.02. </t>
  </si>
  <si>
    <t>Idem, tinta texturada tipo "tartaruguinha"</t>
  </si>
  <si>
    <t>F.12.08.01.09.01.13.</t>
  </si>
  <si>
    <t>Idem, tinta karapas</t>
  </si>
  <si>
    <t>F.12.08.01.09.01.12.</t>
  </si>
  <si>
    <t>Idem, tinta texturada</t>
  </si>
  <si>
    <t>F.12.08.01.09.01.11.</t>
  </si>
  <si>
    <t>Idem, tinta membranosa (borracha)</t>
  </si>
  <si>
    <t>F.12.08.01.09.01.10.</t>
  </si>
  <si>
    <t>Idem, tinta de esmalte aquoso</t>
  </si>
  <si>
    <t>F.12.08.01.09.01.09.</t>
  </si>
  <si>
    <t>Fornecimento e aplicação de 2 demão de tinta plástica, numa área de pintura superior a 100m2</t>
  </si>
  <si>
    <t>F.12.08.01.09.01.08.</t>
  </si>
  <si>
    <t>F.12.08.01.09.01.07.</t>
  </si>
  <si>
    <t>F.12.08.01.09.01.06.</t>
  </si>
  <si>
    <t>F.12.08.01.09.01.05.</t>
  </si>
  <si>
    <t>F.12.08.01.09.01.04.</t>
  </si>
  <si>
    <t>F.12.08.01.09.01.03.</t>
  </si>
  <si>
    <t>Fornecimento e aplicação de 2 demão de tinta plástica numa área de pintura até 100m2</t>
  </si>
  <si>
    <t>F.12.08.01.09.01.02.</t>
  </si>
  <si>
    <t>Fornecimento e aplicação de 2 demão de tinta de água de características antifúngicas</t>
  </si>
  <si>
    <t>F.12.08.01.09.01.01.</t>
  </si>
  <si>
    <t>De Paredes e Tetos</t>
  </si>
  <si>
    <t xml:space="preserve">F.12.08.01.09.01. </t>
  </si>
  <si>
    <t>Pinturas (inclui a gestão dos resíduos resultantes do processo de pintura, com a devida triagem, recolha, transporte, armazenamento preliminar e encaminhamento a destino final licenciado)</t>
  </si>
  <si>
    <t xml:space="preserve">F.12.08.01.09. </t>
  </si>
  <si>
    <t>Fornecimento substituição e aplicação de forras em granito boleado, em bancos de passageiros.</t>
  </si>
  <si>
    <t>F.12.08.01.08.07.28.</t>
  </si>
  <si>
    <t>Reparação e substituição de fixações em mobiliario urbano.</t>
  </si>
  <si>
    <t>F.12.08.01.08.07.27.</t>
  </si>
  <si>
    <t>Fornecimento e aplicação de pilaretes metálico limitadores de estacionamento tipo "PORTO", amovíveis</t>
  </si>
  <si>
    <t>F.12.08.01.08.07.26.</t>
  </si>
  <si>
    <t>Fornecimento e aplicação de pilaretes metálico limitadores de estacionamento tipo "PORTO"</t>
  </si>
  <si>
    <t>F.12.08.01.08.07.25.</t>
  </si>
  <si>
    <t>Idem, com 5 espigões</t>
  </si>
  <si>
    <t>F.12.08.01.08.07.24.</t>
  </si>
  <si>
    <t>Idem, com 4 espigões</t>
  </si>
  <si>
    <t>F.12.08.01.08.07.23.</t>
  </si>
  <si>
    <t>Fornecimento e aplicação de sistema anti pombo com 3 espigões em aço inoxidável sobre base plástica em fachadas de edifícios</t>
  </si>
  <si>
    <t>F.12.08.01.08.07.22.</t>
  </si>
  <si>
    <t>Idem, em barra dobrada em formato "U"</t>
  </si>
  <si>
    <t>F.12.08.01.08.07.21.</t>
  </si>
  <si>
    <t>Fornecimento e aplicação de pilaretes rebatíveis em tubo de aço e topo em ferro fundido com 76mm de diâmetro e 0,90m acima do pavimento, metalizado e pintado a tinta de esmalte antracite escuro</t>
  </si>
  <si>
    <t>F.12.08.01.08.07.20.</t>
  </si>
  <si>
    <t>F.12.08.01.08.07.19.</t>
  </si>
  <si>
    <t>Fornecimento e aplicação de pilaretes fixos em tubo de aço e topo em ferro fundido com 76mm de diâmetro e 0,90m acima do pavimento, metalizado e pintado a tinta de esmalte antracite escuro</t>
  </si>
  <si>
    <t>F.12.08.01.08.07.18</t>
  </si>
  <si>
    <t>Fornecimento e aplicação de papeleira em polietileno de alta densidade, com 50l de capacidade, de fixação em prumo ou em parede na cor cinzenta</t>
  </si>
  <si>
    <t>F.12.08.01.08.07.17.</t>
  </si>
  <si>
    <t>Idem em aço com cinza forja</t>
  </si>
  <si>
    <t>F.12.08.01.08.07.16.</t>
  </si>
  <si>
    <t>Idem em aço com acabamento cromado.</t>
  </si>
  <si>
    <t>F.12.08.01.08.07.15.</t>
  </si>
  <si>
    <t>Fornecimento e aplicação de cinzeiro de pé em aço inoxidável</t>
  </si>
  <si>
    <t>F.12.08.01.08.07.14.</t>
  </si>
  <si>
    <t>Fornecimento e aplicação de cinzeiro de fixação à parede em aço inoxidável</t>
  </si>
  <si>
    <t>F.12.08.01.08.07.13.</t>
  </si>
  <si>
    <t>Fornecimento e aplicação de módulos de estacionamento para 8 bicicletas em espiral, em aço metalizado com acabamento em cinza forja</t>
  </si>
  <si>
    <t>F.12.08.01.08.07.12.</t>
  </si>
  <si>
    <t>Fornecimento e aplicação de módulos de estacionamento para 4 bicicletas em espiral, em aço metalizado com acabamento em cinza forja</t>
  </si>
  <si>
    <t>F.12.08.01.08.07.11.</t>
  </si>
  <si>
    <t>Idem em aço inoxidável AISI 316</t>
  </si>
  <si>
    <t>F.12.08.01.08.07.10.</t>
  </si>
  <si>
    <t>Fornecimento e aplicação de módulos de estacionamento individual de bicicletas, tipo "sheffield" em U com dois pontos de apoio e barra transversal, em aço metalizado com acabamento em cinza forja</t>
  </si>
  <si>
    <t>F.12.08.01.08.07.09.</t>
  </si>
  <si>
    <t>Desempeno e reparação de bancos em chapa de aço inox perfurado</t>
  </si>
  <si>
    <t>F.12.08.01.08.07.08.</t>
  </si>
  <si>
    <t>Fornecimento e montagem de papeleira em meia lua com estrutura em aço zincado e revestimento a chapa perfurada, com pintura integral com resina de poliéster</t>
  </si>
  <si>
    <t>F.12.08.01.08.07.07.</t>
  </si>
  <si>
    <t>Fornecimento e montagem de papeleira em meia lua com estrutura em inox e revestimento a chapa perfurada em inox, tipo IP</t>
  </si>
  <si>
    <t>F.12.08.01.08.07.06.</t>
  </si>
  <si>
    <t>Fornecimento e montagem de balde de papeleira em cilíndrica com aro tubular e revestimento a chapa perfurada em inox</t>
  </si>
  <si>
    <t>F.12.08.01.08.07.05.</t>
  </si>
  <si>
    <t>Fornecimento e montagem de papeleira cilíndrica com estrutura em aço zincado e revestimento a chapa perfurada, com pintura integral com resina de poliéster</t>
  </si>
  <si>
    <t>F.12.08.01.08.07.04.</t>
  </si>
  <si>
    <t>Fornecimento e montagem de papeleira cilíndrica com estrutura em inox e revestimento a chapa perfurada em inox, tipo IP</t>
  </si>
  <si>
    <t>F.12.08.01.08.07.03.</t>
  </si>
  <si>
    <t>Fornecimento e montagem de bancos com estrutura em inox e revestimento a chapa perfurada, tipo IP</t>
  </si>
  <si>
    <t>F.12.08.01.08.07.02.</t>
  </si>
  <si>
    <t>Fornecimento, substituição e aplicação de estrados em madeira envernizada para bancos de passageiros, com 50mm de espessura</t>
  </si>
  <si>
    <t>F.12.08.01.08.07.01.</t>
  </si>
  <si>
    <t>Mobiliário Urbano</t>
  </si>
  <si>
    <t xml:space="preserve">F.12.08.01.08.07. </t>
  </si>
  <si>
    <t>Fornecimento, substituição e aplicação de borrachas vedantes em portas e janelas.</t>
  </si>
  <si>
    <t>F.12.08.01.08.06.42.</t>
  </si>
  <si>
    <t>Fornecimento, substituição e aplicação de vedantes de pelucia em portas e janelas.</t>
  </si>
  <si>
    <t>F.12.08.01.08.06.41.</t>
  </si>
  <si>
    <t>Execução de soldaduras a estanho por pontos ou cordões até 25cm de comprimento, em chapas de zinco, incluindo preparação da superfície, execução de solda e afagamento.</t>
  </si>
  <si>
    <t>F.12.08.01.08.06.40.</t>
  </si>
  <si>
    <t>Execução de soldaduras por pontos ou cordões até 25cm de comprimento, em elementos em aço inoxidável, incluindo preparação da superfície, execução de solda e afagamento.</t>
  </si>
  <si>
    <t>F.12.08.01.08.06.39.</t>
  </si>
  <si>
    <t>Execução de soldaduras por pontos ou cordões até 25cm de comprimento, em elementos ou estruturas metálicas em aço, incluindo preparação da superfície, execução de solda, afagamento e proteção a zinco.</t>
  </si>
  <si>
    <t>F.12.08.01.08.06.38.</t>
  </si>
  <si>
    <t>Fornecimento e montagem de guarda metálica em plataformas de passageiros, com 1,00m de altura, composta por 2 tubos retangulares horizontais 80x40mm afastados a 0,90m, e por tubos retangulares verticais 60x30mm afastados a 0,09m. A fixação ao solo é feito por prumos afastrados a 1,50m constituídos por tubo retangular com 80x40mm, assente em chapa com 150x120x10mm. Toda a a guarda será galvanizada, pintada e todos os trabalhos referentes à sua execução.</t>
  </si>
  <si>
    <t>F.12.08.01.08.06.37.</t>
  </si>
  <si>
    <t>Reparação de painéis em barreiras acústicas com grelhas de alumínio e isolamento de lã de rocha</t>
  </si>
  <si>
    <t>F.12.08.01.08.06.36.</t>
  </si>
  <si>
    <t>Fornecimento e aplicação de paineis em barreiras acústicas, incluindo estrutura.</t>
  </si>
  <si>
    <t>F.12.08.01.08.06.35.</t>
  </si>
  <si>
    <t>Fornecimento, substituição ou montagem de portas em vidro laminado tipo Crisund Califórnia da Cricursa - côr Azul, 17mm de espessura</t>
  </si>
  <si>
    <t>F.12.08.01.08.06.34.</t>
  </si>
  <si>
    <t>Fornecimento e colocação de corrimãos em tubo de aço Inox com 50mm de diâmetro</t>
  </si>
  <si>
    <t>F.12.08.01.08.06.33.</t>
  </si>
  <si>
    <t>Fornecimento e colocação de corrimãos em tubo de aço metalizado com 50mm de diâmetro</t>
  </si>
  <si>
    <t>F.12.08.01.08.06.32.</t>
  </si>
  <si>
    <t>Fornecimento e assentamento de barras antipânico, abertura pelo exterior através de canhão redondo Ø 40 mm</t>
  </si>
  <si>
    <t>F.12.08.01.08.06.31.</t>
  </si>
  <si>
    <t>Classe EW60</t>
  </si>
  <si>
    <t>F.12.08.01.08.06.30.19</t>
  </si>
  <si>
    <t>Classe EW30</t>
  </si>
  <si>
    <t>F.12.08.01.08.06.30.18</t>
  </si>
  <si>
    <t>Classe EW20</t>
  </si>
  <si>
    <t>F.12.08.01.08.06.30.17</t>
  </si>
  <si>
    <t>Classe EI240</t>
  </si>
  <si>
    <t>F.12.08.01.08.06.30.16</t>
  </si>
  <si>
    <t>Classe EI180</t>
  </si>
  <si>
    <t>F.12.08.01.08.06.30.15</t>
  </si>
  <si>
    <t>Classe EI120</t>
  </si>
  <si>
    <t>F.12.08.01.08.06.30.14</t>
  </si>
  <si>
    <t>Classe EI90</t>
  </si>
  <si>
    <t>F.12.08.01.08.06.30.13</t>
  </si>
  <si>
    <t>Classe EI60</t>
  </si>
  <si>
    <t>F.12.08.01.08.06.30.12</t>
  </si>
  <si>
    <t>Classe EI45</t>
  </si>
  <si>
    <t>F.12.08.01.08.06.30.11</t>
  </si>
  <si>
    <t>Classe EI30</t>
  </si>
  <si>
    <t>F.12.08.01.08.06.30.10</t>
  </si>
  <si>
    <t>Classe EI15</t>
  </si>
  <si>
    <t>F.12.08.01.08.06.30.09</t>
  </si>
  <si>
    <t>Classe E240</t>
  </si>
  <si>
    <t>F.12.08.01.08.06.30.08</t>
  </si>
  <si>
    <t>Classe E180</t>
  </si>
  <si>
    <t>F.12.08.01.08.06.30.07</t>
  </si>
  <si>
    <t>Classe E120</t>
  </si>
  <si>
    <t>F.12.08.01.08.06.30.06</t>
  </si>
  <si>
    <t>Classe E90</t>
  </si>
  <si>
    <t>F.12.08.01.08.06.30.05</t>
  </si>
  <si>
    <t>Classe E60</t>
  </si>
  <si>
    <t>F.12.08.01.08.06.30.04</t>
  </si>
  <si>
    <t>Classe E45</t>
  </si>
  <si>
    <t>F.12.08.01.08.06.30.03</t>
  </si>
  <si>
    <t>Classe E30</t>
  </si>
  <si>
    <t>F.12.08.01.08.06.30.02</t>
  </si>
  <si>
    <t>Classe E15</t>
  </si>
  <si>
    <t>F.12.08.01.08.06.30.01</t>
  </si>
  <si>
    <t>Fornecimento e assentamento de vãos Corta-Fogo, incluindo ferragens tipo "Glutz", ou equivalente, barras anti panico, pintura e todos os trabalhos acessórios e complementares.</t>
  </si>
  <si>
    <t>F.12.08.01.08.06.30.</t>
  </si>
  <si>
    <t>kg</t>
  </si>
  <si>
    <t>Fornecimento, aplicação e execução de artefactos executados com perfis comerciais de aço, incluindo soldas, rebites, parafusos e outras fixações, galvanização e pintura a esmalte sintético.</t>
  </si>
  <si>
    <t>F.12.08.01.08.06.29.</t>
  </si>
  <si>
    <t>Fornecimento e aplicação de guarda-corpos com 0,90m de altura em aço galvanizado e pintado a esmalte sintético, composto por perfil tubular de 50mm de altura de diâmetro, 3 perfis tubulares equidistantes de 20mm de diâmetro, prumos metálicos compostos por duas barras paralelas 5x40mm e bolacha 65x55x5mm, incluindo todos os meios necessários à sua execução.</t>
  </si>
  <si>
    <t>F.12.08.01.08.06.28.</t>
  </si>
  <si>
    <t>Fornecimento e aplicação de guarda-corpos com 0,90m de altura em aço inoxidável 316, composto por perfil tubular de 50mm de altura de diâmetro, 3 perfis tubulares equidistantes de 20mm de diâmetro, prumos metálicos compostos por duas barras paralelas 5x40mm e bolacha 65x55x5mm, incluindo todos os meios necessários à sua execução.</t>
  </si>
  <si>
    <t>F.12.08.01.08.06.27.</t>
  </si>
  <si>
    <t>Fornecimento e montagem de corrimão em  guarda metálica em plataformas de passageiros, de acordo com IT_CCA_012, incluindo galvanização, pintura e todos os trabalhos referentes asua execução.</t>
  </si>
  <si>
    <t>F.12.08.01.08.06.26.</t>
  </si>
  <si>
    <t>Fornecimento e montagem de guarda metálica em plataformas de passageiros, de acordo com IT_CCA_012, incluindo galvanização, pintura e todos os trabalhos referentes asua execução.</t>
  </si>
  <si>
    <t>F.12.08.01.08.06.25.</t>
  </si>
  <si>
    <t>Fornecimento e montagem de corrimão em  guarda metálica em plataformas de passageiros, de acordo com IT_CCA_009, incluindo galvanização, pintura e todos os trabalhos referentes a sua execução.</t>
  </si>
  <si>
    <t>F.12.08.01.08.06.24.</t>
  </si>
  <si>
    <t>Fornecimento e montagem de guarda metálica em plataformas de passageiros, de acordo com IT_CCA_009, incluindo galvanização, pintura e todos os trabalhos referentes a sua execução.</t>
  </si>
  <si>
    <t>F.12.08.01.08.06.23.</t>
  </si>
  <si>
    <t>Fornecimento e aplicação de grade metálica de protecção (para protecção de vãos), constituida por tubo quadrado RHS 20mmx20mmx2mm, com espaçamento máximo de 0,15m, incluindo metalização, fixação com bucha metálica e pintura a tinta de esmalte.</t>
  </si>
  <si>
    <t>F.12.08.01.08.06.22.</t>
  </si>
  <si>
    <t xml:space="preserve">Fornecimento e montagem de guardas em tubo de ferro galvanizado de Ø50mm, a três perfis horizontais, com prumos de suporte espaçados a 3m, incluindo fixação com parafusos e bucha metálica M10 e pintura a duas cores sobre primário adequado. </t>
  </si>
  <si>
    <t>F.12.08.01.08.06.21.</t>
  </si>
  <si>
    <t xml:space="preserve">Fornecimento e montagem de guardas em tubo de ferro galvanizado de Ø40mm, a dois perfis horizontais, com prumos de suporte espaçados a 3m, incluindo fixação com parafusos e bucha metálica M10 e pintura a duas cores sobre primário adequado. </t>
  </si>
  <si>
    <t>F.12.08.01.08.06.20.</t>
  </si>
  <si>
    <t>Fornecimento e colocação de perfis em aço laminado e galvanizado a quente (tipo UPN, L, LD, T, etc,) em aplicações estruturais</t>
  </si>
  <si>
    <t>F.12.08.01.08.06.19.</t>
  </si>
  <si>
    <t>Idem, em PVC</t>
  </si>
  <si>
    <t>F.12.08.01.08.06.18.</t>
  </si>
  <si>
    <t>Fornecimento e colocação de caixa com portinholas para quadros elétricos ou contadores de água, metalizados com fechadura</t>
  </si>
  <si>
    <t>F.12.08.01.08.06.17.</t>
  </si>
  <si>
    <t>Fornecimento e colocação de portinholas de quadros elétricos ou contadores de água, metalizados com fechadura</t>
  </si>
  <si>
    <t>F.12.08.01.08.06.16.</t>
  </si>
  <si>
    <t>Fornecimento e assentamento de porta em chapa de aço com 2,5mm de espessura em cada face, soldada a ambas as faces de um engradado constituído por 5 perfis RHS 40x40x4 na horizontal e 3 perfis na vertical, incluindo fechadura de segurança soldada ao engradado, com duas trancas, ferragens em aço soldado ao engradado, puxador em tubo, metalização, restantes acessórios e pintura a tinta de esmalte.</t>
  </si>
  <si>
    <t>F.12.08.01.08.06.15.</t>
  </si>
  <si>
    <t>Idem, com 2 batentes</t>
  </si>
  <si>
    <t>F.12.08.01.08.06.14.</t>
  </si>
  <si>
    <t>Fornecimento e assentamento de portas em ferro chapeadas numa face de 1 batente</t>
  </si>
  <si>
    <t>F.12.08.01.08.06.13.</t>
  </si>
  <si>
    <t>Fornecimento e assentamento de caixilharia de ferro em portas e janelas</t>
  </si>
  <si>
    <t>F.12.08.01.08.06.12.</t>
  </si>
  <si>
    <t>Fornecimento e aplicação de cabine com estrutura em alumínio de acabamento cromado, painéis em vidro temperado, incluindo todos os acessórios e ferragens e trabalhos de vedação.</t>
  </si>
  <si>
    <t>F.12.08.01.08.06.11.</t>
  </si>
  <si>
    <t>Fornecimento e aplicação de cabine com estrutura em alumínio lacado e painéis em acrílico</t>
  </si>
  <si>
    <t>F.12.08.01.08.06.10.</t>
  </si>
  <si>
    <t>Idem, em alumínio lacado</t>
  </si>
  <si>
    <t>F.12.08.01.08.06.09.</t>
  </si>
  <si>
    <t>Fornecimento e colocação de divisória amovível com 0.07m de espessura em estrutura de alumínio e painel de madeira de mogno</t>
  </si>
  <si>
    <t>F.12.08.01.08.06.08.</t>
  </si>
  <si>
    <t>Fornecimento e assentamento de caixilharia em perfis de PVC de 70mm, do tipo "Caixiave", ou equivalente, em portas e janelas</t>
  </si>
  <si>
    <t>F.12.08.01.08.06.07.</t>
  </si>
  <si>
    <t>Idem em vãos móveis</t>
  </si>
  <si>
    <t>F.12.08.01.08.06.06.</t>
  </si>
  <si>
    <t>Execução de vãos fixos em caixilharia de perfis de aço lacado a cor tipo Secco Sistemi para montagem com soldadura afagada, com vidro de segurança 66.1</t>
  </si>
  <si>
    <t>F.12.08.01.08.06.05.</t>
  </si>
  <si>
    <t>Idem, em portas em alumínio lacado do tipo "Extrusal - Sistema de portas A.055 RPT</t>
  </si>
  <si>
    <t>F.12.08.01.08.06.04.</t>
  </si>
  <si>
    <t>Idem, em janelas de correr em alumínio lacado do tipo "Extrusal - Sistema de correr B.100 RPT</t>
  </si>
  <si>
    <t>F.12.08.01.08.06.03.</t>
  </si>
  <si>
    <t>Idem, em janelas de correr em alumínio lacado do tipo "Extrusal - Sistema de correr B.055 RPT</t>
  </si>
  <si>
    <t>F.12.08.01.08.06.02.</t>
  </si>
  <si>
    <t>Fornecimento e assentamento de caixilharia em janelas de batente em alumínio lacado do tipo "Extrusal - Sistema de batente A.062 RPT", ou equivalente, incluindo vidro duplo, ferragens, fixação, vedantes e todos os trabalhos complementares ao seu bom funcionamento</t>
  </si>
  <si>
    <t>F.12.08.01.08.06.01.</t>
  </si>
  <si>
    <t>Serralharias</t>
  </si>
  <si>
    <t xml:space="preserve">F.12.08.01.08.06. </t>
  </si>
  <si>
    <t>idem de 10mm</t>
  </si>
  <si>
    <t>F.12.08.01.08.05.70.</t>
  </si>
  <si>
    <t>Fornecimento, substituição e montagem de vidros temperados azuis, de 6mm</t>
  </si>
  <si>
    <t>F.12.08.01.08.05.69.</t>
  </si>
  <si>
    <t>Fornecimento, substituição e montagem de painéis de vidro laminado do tipo 10/2/10</t>
  </si>
  <si>
    <t>F.12.08.01.08.05.68.</t>
  </si>
  <si>
    <t>Fornecimento, substituição e montagem de painéis de vidro laminado de 12 + 12 mm</t>
  </si>
  <si>
    <t>F.12.08.01.08.05.67.</t>
  </si>
  <si>
    <t>Idem 10 mm</t>
  </si>
  <si>
    <t>F.12.08.01.08.05.66.</t>
  </si>
  <si>
    <t>Idem 8 mm</t>
  </si>
  <si>
    <t>F.12.08.01.08.05.65.</t>
  </si>
  <si>
    <t>Idem 6 mm</t>
  </si>
  <si>
    <t>F.12.08.01.08.05.64.</t>
  </si>
  <si>
    <t>Fornecimento, substituição e montagem de vidros acrílicos, incluindo fornecimento de vidros e renovação de massas ou desmonte e montagem de respectivos bites em caixilharia metálica ou de madeira com 4mm.</t>
  </si>
  <si>
    <t>F.12.08.01.08.05.63.</t>
  </si>
  <si>
    <t>Idem verde,de 10 mm</t>
  </si>
  <si>
    <t>F.12.08.01.08.05.62.</t>
  </si>
  <si>
    <t>Idem verde,de 8 mm</t>
  </si>
  <si>
    <t>F.12.08.01.08.05.61.</t>
  </si>
  <si>
    <t>Idem gris,de 10 mm</t>
  </si>
  <si>
    <t>F.12.08.01.08.05.60.</t>
  </si>
  <si>
    <t>Idem bronze 10 mm</t>
  </si>
  <si>
    <t>F.12.08.01.08.05.59.</t>
  </si>
  <si>
    <t>Idem bronze 8 mm</t>
  </si>
  <si>
    <t>F.12.08.01.08.05.58.</t>
  </si>
  <si>
    <t>Idem 12 mm</t>
  </si>
  <si>
    <t>F.12.08.01.08.05.57.</t>
  </si>
  <si>
    <t>F.12.08.01.08.05.56.</t>
  </si>
  <si>
    <t>F.12.08.01.08.05.55.</t>
  </si>
  <si>
    <t>F.12.08.01.08.05.54.</t>
  </si>
  <si>
    <t>Fornecimento, substituição e montagem de vidros temperados incolores de 5 mm</t>
  </si>
  <si>
    <t>F.12.08.01.08.05.53.</t>
  </si>
  <si>
    <t>Fornecimento, substituição ou montagem de vidros duplos, em áreas inferiores a 1m2, incluindo renovação de filmes de PVB, massas, ou desmonte e montagem de respectivos bites em caixilharia metálica ou de madeira.</t>
  </si>
  <si>
    <t>F.12.08.01.08.05.52.</t>
  </si>
  <si>
    <t>Fornecimento, substituição ou montagem de vidros duplos, em áreas superiores a 1m2, incluindo renovação de filmes de PVB, massas, ou desmonte e montagem de respectivos bites em caixilharia metálica ou de madeira.</t>
  </si>
  <si>
    <t>F.12.08.01.08.05.51.</t>
  </si>
  <si>
    <t>Fornecimento e aplicação em caixas de elevadores de vidro laminado temperado do tipo SGG-STADIP PROTECT SP 615, ou equivalente, incluindo sistema de fixação, remates, meios de elevação e todos os trabalhos complementares.</t>
  </si>
  <si>
    <t>F.12.08.01.08.05.50.</t>
  </si>
  <si>
    <t>Fornecimento e montagem de vidro duplo, sistema de alumínio série FW50SG da Schuco anodizado M-AC02, Vidro Duplo (1450*1280) Exterior simples Temperado 6 mm Antélio Havana, Caixa de ar de 20 mm (Sistema SG, perfil intercalar da Shuco), interior Stadip. 4.4.1 Incolor, incluindo meios de elevação.</t>
  </si>
  <si>
    <t>F.12.08.01.08.05.49.</t>
  </si>
  <si>
    <t>Fornecimento, substituição e montagem de vidros tipo vitral de diversas cores em áreas inferiores a 1m2, incluindo fornecimento de vidros e renovação de massas ou desmonte e montagem de respectivos bites em caixilharia metálica ou de madeira.</t>
  </si>
  <si>
    <t>F.12.08.01.08.05.48.</t>
  </si>
  <si>
    <t>Fornecimento\Substituição e montagem de vidro laminado temperado de controlo solar tipo Crisunid Califórnia da "Cricursa", cor Azul, com 17 mm de espessura com butiral azul e filme califórnia 50 microns, igual ao existente, incluindo sistema de fixação e aranhas de fixação, tipo aranha da Bellapart, remoção do existente, limpeza dos canais nos esquadros e preparação dos esquadros para receber novo vidro, transporte a destino final autorizado dos produtos sobrantes, e todos os trabalhos necessários.</t>
  </si>
  <si>
    <t>F.12.08.01.08.05.47.</t>
  </si>
  <si>
    <t>Fornecimento, substituição ou montagem de vidro laminado temperado de controlo solar tipo Crisunid California da "Cricursa", côr Azul, com 17 mm de espessura com butiral azul e filme califórnia 50 microns, incluindo sistema de fixação em perfis metálicos Ø406,4mm pintados à côr Ral 9010 e aranhas de fixação (entre painéis de vidro), tipo "aranha" da Bellapart, bem como os respetivos meios de elevação.</t>
  </si>
  <si>
    <t>F.12.08.01.08.05.46.</t>
  </si>
  <si>
    <t>Idem em portas e janelas</t>
  </si>
  <si>
    <t>F.12.08.01.08.05.45.</t>
  </si>
  <si>
    <t>Idem em fachadas</t>
  </si>
  <si>
    <t>F.12.08.01.08.05.44.</t>
  </si>
  <si>
    <t>Substituição ou montagem de paineis de vidro duplo temprado e laminado em coberturas, incluindo a chapa, renovação de massas ou desmonte e montagem de respectivos bites em caixilharia metálica ou de madeira com espessura entre 10mm e 12mm.</t>
  </si>
  <si>
    <t>F.12.08.01.08.05.43.</t>
  </si>
  <si>
    <t>Fornecimento e aplicação de garras em aço inoxidável de suporte para painéis de vidro.</t>
  </si>
  <si>
    <t>F.12.08.01.08.05.42.</t>
  </si>
  <si>
    <t>Idem, com 10mm de espessura cor bronze</t>
  </si>
  <si>
    <t>F.12.08.01.08.05.41.</t>
  </si>
  <si>
    <t>Idem, com 10mm de espessura</t>
  </si>
  <si>
    <t>F.12.08.01.08.05.40.</t>
  </si>
  <si>
    <t>Idem, com 8mm de espessura</t>
  </si>
  <si>
    <t>F.12.08.01.08.05.39.</t>
  </si>
  <si>
    <t>Idem, com 6mm de espessura</t>
  </si>
  <si>
    <t>F.12.08.01.08.05.38.</t>
  </si>
  <si>
    <t>Fornecimento e aplicação de folha de policarbonato compacto com 4 mm de espessura do tipo "Bayer - Makrolon AR - Clear 8099", ou equivalente, incluindo arestas boleadas, ferragens e todos os trabalhos complementares.</t>
  </si>
  <si>
    <t>F.12.08.01.08.05.37.</t>
  </si>
  <si>
    <t>Fornecimento e aplicação de película protetora cerâmica em vidros cor neutra claro, 60 % luz transmitida</t>
  </si>
  <si>
    <t>F.12.08.01.08.05.36.</t>
  </si>
  <si>
    <t>Fornecimento e aplicação de película protetora de raios UV em vidros translúcida, 86 % luz transmitida</t>
  </si>
  <si>
    <t>F.12.08.01.08.05.35.</t>
  </si>
  <si>
    <t>Fornecimento e aplicação de película protetora e semi-refletora em vidros cor prata, 36 % luz transmitida</t>
  </si>
  <si>
    <t>F.12.08.01.08.05.34.</t>
  </si>
  <si>
    <t>Fornecimento e aplicação de película protetora e semi-refletora em vidros cor prata, 20 % luz transmitida</t>
  </si>
  <si>
    <t>F.12.08.01.08.05.33.</t>
  </si>
  <si>
    <t>Fornecimento e aplicação de película protetora e refletora em vidros cor prata, 38 % luz transmitida</t>
  </si>
  <si>
    <t>F.12.08.01.08.05.32.</t>
  </si>
  <si>
    <t>Fornecimento e aplicação de película protetora e refletora em vidros cor prata, 19 % luz transmitida</t>
  </si>
  <si>
    <t>F.12.08.01.08.05.31.</t>
  </si>
  <si>
    <t>Fornecimento e colocação de pelicula autocolante fosca/opaca anti-reflectora em vidros.</t>
  </si>
  <si>
    <t>F.12.08.01.08.05.30.</t>
  </si>
  <si>
    <t>Colocação de painéis de vidro temperado bronze com 10mm de espessura</t>
  </si>
  <si>
    <t>F.12.08.01.08.05.29.</t>
  </si>
  <si>
    <t>Colocação de painéis de vidro temperado fosco com 10mm de espessura</t>
  </si>
  <si>
    <t>F.12.08.01.08.05.28.</t>
  </si>
  <si>
    <t>Idem, com 6mm+8mm</t>
  </si>
  <si>
    <t>F.12.08.01.08.05.27.</t>
  </si>
  <si>
    <t>Idem, com 6mm+6mm</t>
  </si>
  <si>
    <t>F.12.08.01.08.05.26.</t>
  </si>
  <si>
    <t>Idem, com 4mm+8mm</t>
  </si>
  <si>
    <t>F.12.08.01.08.05.25.</t>
  </si>
  <si>
    <t>Idem, com 4mm+6mm</t>
  </si>
  <si>
    <t>F.12.08.01.08.05.24.</t>
  </si>
  <si>
    <t>Idem, com 4mm+4mm</t>
  </si>
  <si>
    <t>F.12.08.01.08.05.23.</t>
  </si>
  <si>
    <t>Fornecimento, substituição ou montagem de vidros laminados 3mm+3mm, em áreas superiores a 1m2</t>
  </si>
  <si>
    <t>F.12.08.01.08.05.22.</t>
  </si>
  <si>
    <t>F.12.08.01.08.05.21.</t>
  </si>
  <si>
    <t>F.12.08.01.08.05.20.</t>
  </si>
  <si>
    <t>F.12.08.01.08.05.19.</t>
  </si>
  <si>
    <t>F.12.08.01.08.05.18.</t>
  </si>
  <si>
    <t>Fornecimento, substituição e montagem de vidros laminados 4mm+4mm, em áreas inferiores a 1m2</t>
  </si>
  <si>
    <t>F.12.08.01.08.05.17.</t>
  </si>
  <si>
    <t>Idem, com vidro martelado</t>
  </si>
  <si>
    <t>F.12.08.01.08.05.16.</t>
  </si>
  <si>
    <t>Idem, com vidro aramado</t>
  </si>
  <si>
    <t>F.12.08.01.08.05.15.</t>
  </si>
  <si>
    <t>Idem, com 4mm vidro fosco crepe</t>
  </si>
  <si>
    <t>F.12.08.01.08.05.14.</t>
  </si>
  <si>
    <t>Idem, com 4mm vidro fosco cruzado</t>
  </si>
  <si>
    <t>F.12.08.01.08.05.13.</t>
  </si>
  <si>
    <t>Idem, com 10mm</t>
  </si>
  <si>
    <t>F.12.08.01.08.05.12.</t>
  </si>
  <si>
    <t>Idem, com 8mm</t>
  </si>
  <si>
    <t>F.12.08.01.08.05.11.</t>
  </si>
  <si>
    <t>Idem, com 6mm</t>
  </si>
  <si>
    <t>F.12.08.01.08.05.10.</t>
  </si>
  <si>
    <t>Fornecimento, substituição e montagem de vidros em áreas superiores a 1m2</t>
  </si>
  <si>
    <t>F.12.08.01.08.05.09.</t>
  </si>
  <si>
    <t>F.12.08.01.08.05.08.</t>
  </si>
  <si>
    <t>F.12.08.01.08.05.07.</t>
  </si>
  <si>
    <t>F.12.08.01.08.05.06.</t>
  </si>
  <si>
    <t>F.12.08.01.08.05.05.</t>
  </si>
  <si>
    <t>F.12.08.01.08.05.04.</t>
  </si>
  <si>
    <t>F.12.08.01.08.05.03.</t>
  </si>
  <si>
    <t>F.12.08.01.08.05.02.</t>
  </si>
  <si>
    <t>Fornecimento, substituição e montagem de vidros em áreas inferiores a 1m2</t>
  </si>
  <si>
    <t>F.12.08.01.08.05.01.</t>
  </si>
  <si>
    <t>Vidros</t>
  </si>
  <si>
    <t xml:space="preserve">F.12.08.01.08.05. </t>
  </si>
  <si>
    <t>Fornecimento e colocação de sinais rodoviários triângulares, em tela "3M Scotchlite" ou equivalente, sobrepostos em chapa de aço de 2mm, com moldagem por estampagem e aba lateral de 20mm, zincada e revestida a pó termoendurecivél, incluindo estrutura de suporte completa:  tubo circular de 50mm metalizado por imersão a quente, charneiras, abraçadeiras, parafusos e porcas, tampões; bem como todos os demais trabalhos necessários. 
Em conformidade com o Decreto regulamentar 22A/98</t>
  </si>
  <si>
    <t>F.12.08.01.08.04.21.</t>
  </si>
  <si>
    <t>Fornecimento e colocação de sinais rodoviários rectângulares de dimensão 66x82cm, em tela "3M Scotchlite" ou equivalente, sobrepostos em chapa de aço de 2mm, com moldagem por estampagem e aba lateral de 20mm, zincada e revestida a pó termoendurecivél, incluindo estrutura de suporte completa:  tubo circular de 50mm metalizado por imersão a quente, charneiras, abraçadeiras, parafusos e porcas, tampões; bem como todos os demais trabalhos necessários. 
Em conformidade com o Decreto regulamentar 22A/98</t>
  </si>
  <si>
    <t>F.12.08.01.08.04.20.</t>
  </si>
  <si>
    <t>Fornecimento e colocação de sinais rodoviários circulares de 60cm de diâmetro, em tela "3M Scotchlite, em chapa de aço de 2mm, com moldagem por estampagem e aba lateral de 20mm, zincada e revestida a pó termoendurecivél, incluindo estrutura de suporte completa:  tubo circular de 50mm metalizado por imersão a quente, charneiras, abraçadeiras, parafusos e porcas, tampões; bem como todos os demais trabalhos necessários. 
Em conformidade com o Decreto regulamentar 22A/98</t>
  </si>
  <si>
    <t>F.12.08.01.08.04.19.</t>
  </si>
  <si>
    <t>Fornecimento e aplicação de símbolo IP em película opaca em resguardos laterais de abrigos de passageiros</t>
  </si>
  <si>
    <t>F.12.08.01.08.04.18.</t>
  </si>
  <si>
    <t>Idem de fixação suspensa para fixação em bandeira</t>
  </si>
  <si>
    <t>F.12.08.01.08.04.17.</t>
  </si>
  <si>
    <t>Idem de fixação em pórtico para fixação em poste</t>
  </si>
  <si>
    <t>F.12.08.01.08.04.16.</t>
  </si>
  <si>
    <t>Alteração de tipologia de fixação de painéis inteiros de sinalética de fixação em pórtico para fixação em bandeira</t>
  </si>
  <si>
    <t>F.12.08.01.08.04.15.</t>
  </si>
  <si>
    <t>Substituição de pernas de sinalética de fixação suspensa</t>
  </si>
  <si>
    <t>F.12.08.01.08.04.14.</t>
  </si>
  <si>
    <t>Substituição de fixações danificadas com fitas abraçadeiras ou aparafusadas</t>
  </si>
  <si>
    <t>F.12.08.01.08.04.13.</t>
  </si>
  <si>
    <t>Fornecimento e montagem de logotipo IP, em poliéster reforçado a fibra de vidro conforme especificações do Manual Técnico de Sinalética da IP (GR.MN.CCA.001)</t>
  </si>
  <si>
    <t>F.12.08.01.08.04.12.</t>
  </si>
  <si>
    <t>Pintura de logotipo IP, respeitando as características do Manual Técnico de Sinalética da IP (GR.MN.CCA.001)</t>
  </si>
  <si>
    <t>F.12.08.01.08.04.11.</t>
  </si>
  <si>
    <t>Execução de letras em argamassa, em alto relevo com 0,25mx0,20mx0,015mm</t>
  </si>
  <si>
    <t>F.12.08.01.08.04.10.</t>
  </si>
  <si>
    <t>Idem, 200mm*400mm</t>
  </si>
  <si>
    <t>F.12.08.01.08.04.09.</t>
  </si>
  <si>
    <t>Idem, 150mm*300mm</t>
  </si>
  <si>
    <t>F.12.08.01.08.04.08.</t>
  </si>
  <si>
    <t>Sinalizador de segurança em PVC rígido, fotoluminescente, tipo "SINALUX", ou equivalente, com 100mmx200mm, de uma face</t>
  </si>
  <si>
    <t>F.12.08.01.08.04.07.</t>
  </si>
  <si>
    <t>Fornecimento e aplicação de sinalética com tela de vinil autocolante</t>
  </si>
  <si>
    <t>F.12.08.01.08.04.06.</t>
  </si>
  <si>
    <t>Idem com dupla face</t>
  </si>
  <si>
    <t>F.12.08.01.08.04.05.</t>
  </si>
  <si>
    <t>"Fornecimento e montagem de painéis informativos em alumínio termolacado, de dimensão variável, em modulação de 0,15x0,15m - Unidade de referência por painel de modulação (0,15x0,15m)"</t>
  </si>
  <si>
    <t>F.12.08.01.08.04.04.</t>
  </si>
  <si>
    <t>Fornecimento e montagem de estrutura de suporte para painéis de pórtico</t>
  </si>
  <si>
    <t>F.12.08.01.08.04.03.</t>
  </si>
  <si>
    <t>F.12.08.01.08.04.02.</t>
  </si>
  <si>
    <t>Fornecimento e montagem de painéis informativos em alumínio termolacado, de dimensão variável, em modulação de 0,30x0,30m  - Unidade de referência por painel de modulação (0,30x0,30m)"</t>
  </si>
  <si>
    <t>F.12.08.01.08.04.01.</t>
  </si>
  <si>
    <t>Sinalética</t>
  </si>
  <si>
    <t xml:space="preserve">F.12.08.01.08.04. </t>
  </si>
  <si>
    <t>Substituição de fita e rolo em estores</t>
  </si>
  <si>
    <t>F.12.08.01.08.03.25.</t>
  </si>
  <si>
    <t>Fornecimento e montagem de estore de enrolar com réguas de alumínio extrudido "Represtor - C33P", ou equivalente</t>
  </si>
  <si>
    <t>F.12.08.01.08.03.24.</t>
  </si>
  <si>
    <t>Fornecimento e montagem de estore de enrolar com réguas de alumínio perfilado "Represtor - FC 55", ou equivalente</t>
  </si>
  <si>
    <t>F.12.08.01.08.03.23.</t>
  </si>
  <si>
    <t>Fornecimento e montagem de estore de enrolar em lâminas orientáveis "Represtor - Supergradhermetic 45CV", ou equivalente</t>
  </si>
  <si>
    <t>F.12.08.01.08.03.22.</t>
  </si>
  <si>
    <t>F.12.08.01.08.03.21.</t>
  </si>
  <si>
    <t>Idem, do tipo "Represtor - Uniblock", ou equivalente</t>
  </si>
  <si>
    <t>F.12.08.01.08.03.20.</t>
  </si>
  <si>
    <t>Idem, do tipo "Represtor - Polyreno 205", ou equivalente</t>
  </si>
  <si>
    <t>F.12.08.01.08.03.19.</t>
  </si>
  <si>
    <t>Idem, do tipo "Represtor - Termopac", ou equivalente</t>
  </si>
  <si>
    <t>F.12.08.01.08.03.18.</t>
  </si>
  <si>
    <t>Fornecimento e montagem de caixa de estore do tipo "Represtor - Caixinova R", ou equivalente</t>
  </si>
  <si>
    <t>F.12.08.01.08.03.17.</t>
  </si>
  <si>
    <t>Idem, em screens</t>
  </si>
  <si>
    <t>F.12.08.01.08.03.16.</t>
  </si>
  <si>
    <t>Idem, em tecido composto por polyester e PVC</t>
  </si>
  <si>
    <t>F.12.08.01.08.03.15.</t>
  </si>
  <si>
    <t>Idem, em polyester</t>
  </si>
  <si>
    <t>F.12.08.01.08.03.14.</t>
  </si>
  <si>
    <t>Idem, em tela Blackout B5</t>
  </si>
  <si>
    <t>F.12.08.01.08.03.13.</t>
  </si>
  <si>
    <t>Fornecimento e aplicação de tela Blackout B2 (com comando elétrico)</t>
  </si>
  <si>
    <t>F.12.08.01.08.03.12.</t>
  </si>
  <si>
    <t>F.12.08.01.08.03.11.</t>
  </si>
  <si>
    <t>F.12.08.01.08.03.10.</t>
  </si>
  <si>
    <t>F.12.08.01.08.03.09.</t>
  </si>
  <si>
    <t>F.12.08.01.08.03.08.</t>
  </si>
  <si>
    <t>Fornecimento e aplicação de tela Blackout B2 (com comando de corrente desmultiplicada)</t>
  </si>
  <si>
    <t>F.12.08.01.08.03.07.</t>
  </si>
  <si>
    <t>Idem, em tela de PVC com 0,76mm de espessura e 89mm de largura</t>
  </si>
  <si>
    <t>F.12.08.01.08.03.06.</t>
  </si>
  <si>
    <t>Fornecimento e aplicação de estores em bandas verticais orientáveis em tecido 100% poliéster com 89mm de largura</t>
  </si>
  <si>
    <t>F.12.08.01.08.03.05.</t>
  </si>
  <si>
    <t>Idem, de 15mm em PVC</t>
  </si>
  <si>
    <t>F.12.08.01.08.03.04.</t>
  </si>
  <si>
    <t>Idem, de 25mm em PVC</t>
  </si>
  <si>
    <t>F.12.08.01.08.03.03.</t>
  </si>
  <si>
    <t>Idem, de 15mm</t>
  </si>
  <si>
    <t>F.12.08.01.08.03.02.</t>
  </si>
  <si>
    <t>Fornecimento e montagem de estores de lâminas horizontais 25mm orientáveis em alumínio</t>
  </si>
  <si>
    <t>F.12.08.01.08.03.01.</t>
  </si>
  <si>
    <t>Estores</t>
  </si>
  <si>
    <t xml:space="preserve">F.12.08.01.08.03. </t>
  </si>
  <si>
    <t>Idem do tipo cruz</t>
  </si>
  <si>
    <t>F.12.08.01.08.02.61.</t>
  </si>
  <si>
    <t>Idem do tipo de segurança horizontal</t>
  </si>
  <si>
    <t>F.12.08.01.08.02.60.</t>
  </si>
  <si>
    <t>Idem do tipo Palheta</t>
  </si>
  <si>
    <t>F.12.08.01.08.02.59.</t>
  </si>
  <si>
    <t>Execução de cópia de chave fornecida pela IP do tipo Yale</t>
  </si>
  <si>
    <t>F.12.08.01.08.02.58.</t>
  </si>
  <si>
    <t>Fornecimento e aplicação de batentes de chão em portas</t>
  </si>
  <si>
    <t>F.12.08.01.08.02.57.</t>
  </si>
  <si>
    <t>Fornecimento e aplicação de braços superiores ou inferiores em aço inox para portas de vidro.</t>
  </si>
  <si>
    <t>F.12.08.01.08.02.56.</t>
  </si>
  <si>
    <t>Fornecimento e aplicação de puxadores em aço inox para portas de vidro.</t>
  </si>
  <si>
    <t>F.12.08.01.08.02.55.</t>
  </si>
  <si>
    <t>Fornecimento e aplicação de fechaduras em aço inox para portas de vidro.</t>
  </si>
  <si>
    <t>F.12.08.01.08.02.54.</t>
  </si>
  <si>
    <t>Fornecimento e aplicação de dobradiças em aço inox para portas de vidro.</t>
  </si>
  <si>
    <t>F.12.08.01.08.02.53.</t>
  </si>
  <si>
    <t>Fornecimento e aplicação de puxadores tubulares em aço inox acabamento escovado, com 40mm de diâmetro</t>
  </si>
  <si>
    <t>F.12.08.01.08.02.52.</t>
  </si>
  <si>
    <t>Fornecimento e aplicação de fechadura de embeber para cubículos sanitários, com sinalizador livre/ocupado</t>
  </si>
  <si>
    <t>F.12.08.01.08.02.51.</t>
  </si>
  <si>
    <t>Fornecimento e aplicação ou substituição de testa ou contra testa para fechaduras de embeber</t>
  </si>
  <si>
    <t>F.12.08.01.08.02.50.</t>
  </si>
  <si>
    <t>Fornecimento e aplicação ou substituição de contra testa para fechaduras de sobrepor</t>
  </si>
  <si>
    <t>F.12.08.01.08.02.49.</t>
  </si>
  <si>
    <t>Lubrificação de ferragens de porta de uma ou duas folhas, incluindo dobradiças, pivots, fechaduras, ferrolhos, fechos, braços, entre outros, com lubrificante a aprovar pela fiscalização</t>
  </si>
  <si>
    <t>F.12.08.01.08.02.48.</t>
  </si>
  <si>
    <t>Substituição de puxadores em mobiliário de escritório</t>
  </si>
  <si>
    <t>F.12.08.01.08.02.47.</t>
  </si>
  <si>
    <t>Substituição de fechaduras em mobiliário de escritório</t>
  </si>
  <si>
    <t>F.12.08.01.08.02.46.</t>
  </si>
  <si>
    <t>Substituição de fechaduras (chave universal IP)  em portões de via, incluindo chave</t>
  </si>
  <si>
    <t>F.12.08.01.08.02.45.</t>
  </si>
  <si>
    <t>Fornecimento e aplicação de cadeados de segurança (chave universal IP) em portões, incluindo chave e corrente</t>
  </si>
  <si>
    <t>F.12.08.01.08.02.44.</t>
  </si>
  <si>
    <t>Substituição de sinalizadores livre/ocupado, danificados</t>
  </si>
  <si>
    <t>F.12.08.01.08.02.43.</t>
  </si>
  <si>
    <t>Fornecimento e montagem de retentor de porta tipo "JNF ref. IN.23.124" ou equivalente</t>
  </si>
  <si>
    <t>F.12.08.01.08.02.42.</t>
  </si>
  <si>
    <t>Fornecimento e aplicação de dobradiças cromadas de leme ou balanço de 3" a 4"</t>
  </si>
  <si>
    <t>F.12.08.01.08.02.41.</t>
  </si>
  <si>
    <t>Substituição de ferragens especiais em portas de cais (fechaduras, lemes. fechos.   rodízios. etc.)</t>
  </si>
  <si>
    <t>F.12.08.01.08.02.40.</t>
  </si>
  <si>
    <t>Idem, fechos de correr de 220mm</t>
  </si>
  <si>
    <t>F.12.08.01.08.02.39.</t>
  </si>
  <si>
    <t>Idem, fechos de correr de 110mm</t>
  </si>
  <si>
    <t>F.12.08.01.08.02.38.</t>
  </si>
  <si>
    <t>Idem, fechos cromados de 100mm</t>
  </si>
  <si>
    <t>F.12.08.01.08.02.37.</t>
  </si>
  <si>
    <t>Idem, fechos cromados de 75mm</t>
  </si>
  <si>
    <t>F.12.08.01.08.02.36.</t>
  </si>
  <si>
    <t>Idem, fechos niquelados de 100mm</t>
  </si>
  <si>
    <t>F.12.08.01.08.02.35.</t>
  </si>
  <si>
    <t>Idem, fechos niquelados de 75mm</t>
  </si>
  <si>
    <t>F.12.08.01.08.02.34.</t>
  </si>
  <si>
    <t>Idem, puxadores em inox polido</t>
  </si>
  <si>
    <t>F.12.08.01.08.02.33.</t>
  </si>
  <si>
    <t>Idem, puxadores em latão polido</t>
  </si>
  <si>
    <t>F.12.08.01.08.02.32.</t>
  </si>
  <si>
    <t>Fornecimento e aplicação de puxadores de alumínio anodizado</t>
  </si>
  <si>
    <t>F.12.08.01.08.02.31.</t>
  </si>
  <si>
    <t>Substituição de dobradiças em janelas</t>
  </si>
  <si>
    <t>F.12.08.01.08.02.30.</t>
  </si>
  <si>
    <t>Substituição de dobradiças em portas</t>
  </si>
  <si>
    <t>F.12.08.01.08.02.29.</t>
  </si>
  <si>
    <t>Idem, para portas com peso superior a 300kg</t>
  </si>
  <si>
    <t>F.12.08.01.08.02.28.</t>
  </si>
  <si>
    <t>Fornecimento e colocação de molas de pavimento com amortecimento para portas com peso inferior ou igual a 300kg.</t>
  </si>
  <si>
    <t>F.12.08.01.08.02.27.</t>
  </si>
  <si>
    <t>Substituição de molas de pavimento para portas de vidro, incluindo levantamento de porta e mola, aplicação de mola de pavimento reversível para portas até 120kg com tampa em aço inoxidável, substituição de pivots superior e inferior maciços e demais ferragens necessárias, enchimento de caixa de pavimento com massa de lítio repelente de água, reaplicação de porta e todas as afinações necessárias ao seu bom funcionamento.</t>
  </si>
  <si>
    <t>F.12.08.01.08.02.26.</t>
  </si>
  <si>
    <t>Substituição de molas de pavimento para portas de vidro, incluindo levantamento de porta e mola, aplicação de mola de pavimento reversível para portas até 100kg com tampa em aço inoxidável, substituição de pivots superior e inferior maciços e demais ferragens necessárias, enchimento de caixa de pavimento com massa de lítio repelente de água, reaplicação de porta e todas as afinações necessárias ao seu bom funcionamento.</t>
  </si>
  <si>
    <t>F.12.08.01.08.02.25.</t>
  </si>
  <si>
    <t>Reparação de molas aéreas com amortecimento para portas.</t>
  </si>
  <si>
    <t>F.12.08.01.08.02.24.</t>
  </si>
  <si>
    <t>Fornecimento e colocação de molas aéreas com amortecimento para portas.</t>
  </si>
  <si>
    <t>F.12.08.01.08.02.23.</t>
  </si>
  <si>
    <t>Fornecimento e montagem de fechaduras com chave telescópica universal (chave universal IP LBA), tipo "Rhodes 2500/01" ou equivalente</t>
  </si>
  <si>
    <t>F.12.08.01.08.02.22.</t>
  </si>
  <si>
    <t>Fornecimento e montagem de fechaduras moedeiras, do tipo "Consignas Europeas", ou equivalente</t>
  </si>
  <si>
    <t>F.12.08.01.08.02.21.</t>
  </si>
  <si>
    <t>Fornecimento de fechaduras de sobrepor tipo "CISA", ou equivalente, sem canhão com trancas</t>
  </si>
  <si>
    <t>F.12.08.01.08.02.20.</t>
  </si>
  <si>
    <t>Idem, para fechaduras à face tipo "Viro" simples, ou equivalente, de 4 entradas com lança-fechos</t>
  </si>
  <si>
    <t>F.12.08.01.08.02.19.</t>
  </si>
  <si>
    <t>Fornecimento de fechaduras à face tipo "Viro" simples, ou equivalente</t>
  </si>
  <si>
    <t>F.12.08.01.08.02.18.</t>
  </si>
  <si>
    <t>Idem, para fechadura de 2 entradas com tranca</t>
  </si>
  <si>
    <t>F.12.08.01.08.02.17.</t>
  </si>
  <si>
    <t>Idem, para fechadura de 2 entradas</t>
  </si>
  <si>
    <t>F.12.08.01.08.02.16.</t>
  </si>
  <si>
    <t>Idem, para fechadura de 4 entradas com tranca</t>
  </si>
  <si>
    <t>F.12.08.01.08.02.15.</t>
  </si>
  <si>
    <t>Fornecimento de fechadura de 4 entradas</t>
  </si>
  <si>
    <t>F.12.08.01.08.02.14.</t>
  </si>
  <si>
    <t>Idem, com modelo de chave tipo IP</t>
  </si>
  <si>
    <t>F.12.08.01.08.02.13.</t>
  </si>
  <si>
    <t>Idem, de embeber</t>
  </si>
  <si>
    <t>F.12.08.01.08.02.12.</t>
  </si>
  <si>
    <t>Substituição de canhão tipo Yale ou Rodes de fechadura</t>
  </si>
  <si>
    <t>F.12.08.01.08.02.11.</t>
  </si>
  <si>
    <t>Reparação de fechaduras encravadas de diversos tipos</t>
  </si>
  <si>
    <t>F.12.08.01.08.02.10.</t>
  </si>
  <si>
    <t>Idem, para cremonas cromadas e respetivas barrinhas</t>
  </si>
  <si>
    <t>F.12.08.01.08.02.09.</t>
  </si>
  <si>
    <t>Idem, para fechos de correr</t>
  </si>
  <si>
    <t>F.12.08.01.08.02.08.</t>
  </si>
  <si>
    <t>Idem, para puxadores metálicos tipo Algarve (pares)</t>
  </si>
  <si>
    <t>F.12.08.01.08.02.07.</t>
  </si>
  <si>
    <t>Idem, para puxadores metálicos (pares)</t>
  </si>
  <si>
    <t>F.12.08.01.08.02.06.</t>
  </si>
  <si>
    <t>Idem, para fechaduras de embeber tipo francês</t>
  </si>
  <si>
    <t>F.12.08.01.08.02.05.</t>
  </si>
  <si>
    <t>Idem, para fechaduras de embeber tipo yale</t>
  </si>
  <si>
    <t>F.12.08.01.08.02.04.</t>
  </si>
  <si>
    <t>Idem, para fechaduras de sobrepor tipo francês</t>
  </si>
  <si>
    <t>F.12.08.01.08.02.03.</t>
  </si>
  <si>
    <t>Idem, para fechaduras de sobrepor tipo inglês</t>
  </si>
  <si>
    <t>F.12.08.01.08.02.02.</t>
  </si>
  <si>
    <t>Substituição, fornecimento e aplicação de fechaduras de sobrepor tipo yale</t>
  </si>
  <si>
    <t>F.12.08.01.08.02.01.</t>
  </si>
  <si>
    <t>Ferragens</t>
  </si>
  <si>
    <t xml:space="preserve">F.12.08.01.08.02. </t>
  </si>
  <si>
    <t>Fornecimento e montagem de prateleiras em madeira com aplicação de suportes de parede</t>
  </si>
  <si>
    <t>F.12.08.01.08.01.04.04.</t>
  </si>
  <si>
    <t>Idem, com acabamento laminado</t>
  </si>
  <si>
    <t>F.12.08.01.08.01.04.03.</t>
  </si>
  <si>
    <t>Idem, com acabamento folheado</t>
  </si>
  <si>
    <t>F.12.08.01.08.01.04.02.</t>
  </si>
  <si>
    <t>Fornecimento e montagem de armário de cozinha em laminado branco</t>
  </si>
  <si>
    <t>F.12.08.01.08.01.04.01.</t>
  </si>
  <si>
    <t>Mobiliário</t>
  </si>
  <si>
    <t>F.12.08.01.08.01.04.</t>
  </si>
  <si>
    <t>Reparação de janelas</t>
  </si>
  <si>
    <t>F.12.08.01.08.01.03.13.</t>
  </si>
  <si>
    <t>Reparação de portas</t>
  </si>
  <si>
    <t xml:space="preserve">F.12.08.01.08.01.03.12. </t>
  </si>
  <si>
    <t>Fornecimento e aplicação de portadas em contraplacado folheado</t>
  </si>
  <si>
    <t>F.12.08.01.08.01.03.11.</t>
  </si>
  <si>
    <t>Execução de janelas em madeira de casquinha, tipo engradadas, envidraçadas</t>
  </si>
  <si>
    <t xml:space="preserve">F.12.08.01.08.01.03.10. </t>
  </si>
  <si>
    <t>Fornecimento e assentamento de caixilhos de janela em madeira exótica com vidros</t>
  </si>
  <si>
    <t xml:space="preserve">F.12.08.01.08.01.03.09. </t>
  </si>
  <si>
    <t>Fornecimento e aplicação de guarnição de vãos em aros</t>
  </si>
  <si>
    <t xml:space="preserve">F.12.08.01.08.01.03.08. </t>
  </si>
  <si>
    <t>Fornecimento e assentamento de aros de gola ou de aduela em madeira exótica</t>
  </si>
  <si>
    <t>F.12.08.01.08.01.03.07.</t>
  </si>
  <si>
    <t>Reparação com substituição de madeiras em portas e janelas exteriores</t>
  </si>
  <si>
    <t xml:space="preserve">F.12.08.01.08.01.03.06. </t>
  </si>
  <si>
    <t>Fornecimento e assentamento de vãos de porta interior tipo "Placarol" em mogno ou tola</t>
  </si>
  <si>
    <t>F.12.08.01.08.01.03.05.</t>
  </si>
  <si>
    <t>Execução de porta exterior em madeira de casquinha ou niagon</t>
  </si>
  <si>
    <t>F.12.08.01.08.01.03.04.</t>
  </si>
  <si>
    <t>Idem, tipo engradadas envidraçadas em madeira exótica</t>
  </si>
  <si>
    <t>F.12.08.01.08.01.03.03.</t>
  </si>
  <si>
    <t>Idem, tipo pré-fabricadas e folheadas em madeira exótica</t>
  </si>
  <si>
    <t xml:space="preserve">F.12.08.01.08.01.03.02. </t>
  </si>
  <si>
    <t>Fornecimento e aplicação de portas (interiores) novas, tipo almofadadas em madeira de pinho</t>
  </si>
  <si>
    <t xml:space="preserve">F.12.08.01.08.01.03.01. </t>
  </si>
  <si>
    <t>Portas e Janelas</t>
  </si>
  <si>
    <t>F.12.08.01.08.01.03.</t>
  </si>
  <si>
    <t>Execução de próteses em argamassa epoxídica em elementos de madeira parcialmente inseridos em parede, incluindo corte e remoção de troço de madeira degradado, execução de furos para colagem de varões com cola estrutural, execução de cofragem, aplicação de argamassa.</t>
  </si>
  <si>
    <t>F.12.08.01.08.01.02.17.</t>
  </si>
  <si>
    <t>Execução de próteses em madeira com colagem estrutural em elementos de madeira parcialmente inseridos em parede, incluindo corte e remoção de troço de madeira degradado, execução de furos para colagem de varões com cola estrutural, aplicação de prótese e selagem.</t>
  </si>
  <si>
    <t>F.12.08.01.08.01.02.16.</t>
  </si>
  <si>
    <t>Execução de próteses em madeira com ligação estrutural em elementos metálicos.</t>
  </si>
  <si>
    <t>F.12.08.01.08.01.02.15.</t>
  </si>
  <si>
    <t>Idem com elementos metálicos.</t>
  </si>
  <si>
    <t>F.12.08.01.08.01.02.14.</t>
  </si>
  <si>
    <t>Execução de empalme em peças estruturais de madeira</t>
  </si>
  <si>
    <t>F.12.08.01.08.01.02.13.</t>
  </si>
  <si>
    <t>Fornecimento e aplicação de pés da galinha, tês, braçadeiras ou cintagem em aço aplicadas em asnas de madeira.</t>
  </si>
  <si>
    <t>F.12.08.01.08.01.02.12.</t>
  </si>
  <si>
    <t>Idem em madeira de carvalho</t>
  </si>
  <si>
    <t>F.12.08.01.08.01.02.11.</t>
  </si>
  <si>
    <t>Idem em madeira de casquinha</t>
  </si>
  <si>
    <t>F.12.08.01.08.01.02.10.</t>
  </si>
  <si>
    <t>Fornecimento e aplicação de vigas de madeira de pinho de qualidade estrutural em asnas de madeira e outras peças estruturais</t>
  </si>
  <si>
    <t>F.12.08.01.08.01.02.09.</t>
  </si>
  <si>
    <t>Idem, ripado de PVC para cobertura</t>
  </si>
  <si>
    <t>F.12.08.01.08.01.02.08.</t>
  </si>
  <si>
    <t>Idem, ripado de pinho para cobertura</t>
  </si>
  <si>
    <t xml:space="preserve">F.12.08.01.08.01.02.07. </t>
  </si>
  <si>
    <t>Idem, varedo de barrotes de pinho para cobertura</t>
  </si>
  <si>
    <t>F.12.08.01.08.01.02.06.</t>
  </si>
  <si>
    <t>Fornecimento e aplicação de madres e frechais em estruturas de telhados</t>
  </si>
  <si>
    <t xml:space="preserve">F.12.08.01.08.01.02.05. </t>
  </si>
  <si>
    <t>Reparação de teto falso em forro de pinho, incluindo estrutura de suporte, remates e todos os trabalhos complementares</t>
  </si>
  <si>
    <t xml:space="preserve">F.12.08.01.08.01.02.04. </t>
  </si>
  <si>
    <t>Substituição de forro de pinho em tetos</t>
  </si>
  <si>
    <t xml:space="preserve">F.12.08.01.08.01.02.03. </t>
  </si>
  <si>
    <t>Idem, forro de madeira de pinho em tetos</t>
  </si>
  <si>
    <t>F.12.08.01.08.01.02.02.</t>
  </si>
  <si>
    <t>Fornecimento e aplicação de grade de barrotes de pinho em tetos para forrar</t>
  </si>
  <si>
    <t>F.12.08.01.08.01.02.01.</t>
  </si>
  <si>
    <t>Paredes e Tetos</t>
  </si>
  <si>
    <t>F.12.08.01.08.01.02.</t>
  </si>
  <si>
    <t>Fornecimento e assentamento de degrau (cobertor) de escada em madeira de pinho tratada, com a espessura de 30mm, incluindo corte em paredes, remates, envernizamento e todos os trabalhos complementares.</t>
  </si>
  <si>
    <t xml:space="preserve">F.12.08.01.08.01.01.23. </t>
  </si>
  <si>
    <t>Fornecimento e assentamento de degrau (espelho) de escada em madeira de pinho tratada, com a espessura de 30mm, incluindo corte em paredes, remates, envernizamento e todos os trabalhos complementares.</t>
  </si>
  <si>
    <t xml:space="preserve">F.12.08.01.08.01.01.22. </t>
  </si>
  <si>
    <t>Idem, incluindo betumação prévia de juntas</t>
  </si>
  <si>
    <t xml:space="preserve">F.12.08.01.08.01.01.21. </t>
  </si>
  <si>
    <t>Afagamento de pavimento de madeira de diversa natureza</t>
  </si>
  <si>
    <t xml:space="preserve">F.12.08.01.08.01.01.20. </t>
  </si>
  <si>
    <t>Idem, rodapé moldado em pinho</t>
  </si>
  <si>
    <t>F.12.08.01.08.01.01.19.</t>
  </si>
  <si>
    <t>Reparação de rodapé moldado em madeira exótica com 0,075 m de altura</t>
  </si>
  <si>
    <t>F.12.08.01.08.01.01.18.</t>
  </si>
  <si>
    <t>Idem, parquet de madeira exótica em pavimentos</t>
  </si>
  <si>
    <t xml:space="preserve">F.12.08.01.08.01.01.17. </t>
  </si>
  <si>
    <t>Idem, parquet de pinho em pavimentos</t>
  </si>
  <si>
    <t>F.12.08.01.08.01.01.16.</t>
  </si>
  <si>
    <t>Reparação de tacos de pinho em pavimento</t>
  </si>
  <si>
    <t>F.12.08.01.08.01.01.15.</t>
  </si>
  <si>
    <t>Reparação de soalho de pinho</t>
  </si>
  <si>
    <t xml:space="preserve">F.12.08.01.08.01.01.14. </t>
  </si>
  <si>
    <t>Idem, soalho de pinho novo com 2,2 a 3,3 cm de espessura</t>
  </si>
  <si>
    <t xml:space="preserve">F.12.08.01.08.01.01.13. </t>
  </si>
  <si>
    <t>Idem, grade de barrotes de pinho embebidas em betonilha para soalho</t>
  </si>
  <si>
    <t xml:space="preserve">F.12.08.01.08.01.01.12. </t>
  </si>
  <si>
    <t>Reparação de vigamento de pinho em pavimentos de soalho</t>
  </si>
  <si>
    <t xml:space="preserve">F.12.08.01.08.01.01.11. </t>
  </si>
  <si>
    <t xml:space="preserve">F.12.08.01.08.01.01.10. </t>
  </si>
  <si>
    <t>Fornecimento e aplicação de rodapé moldado em madeira exótica com 0,075 m de altura</t>
  </si>
  <si>
    <t xml:space="preserve">F.12.08.01.08.01.01.09. </t>
  </si>
  <si>
    <t>Substituição de Parquet de madeira exótica em pavimentos</t>
  </si>
  <si>
    <t>F.12.08.01.08.01.01.08.</t>
  </si>
  <si>
    <t>F.12.08.01.08.01.01.07.</t>
  </si>
  <si>
    <t xml:space="preserve">F.12.08.01.08.01.01.06. </t>
  </si>
  <si>
    <t>Fornecimento e aplicação de tacos de pinho em pavimento</t>
  </si>
  <si>
    <t xml:space="preserve">F.12.08.01.08.01.01.05. </t>
  </si>
  <si>
    <t>Substituição de soalho de pinho, incluindo remoção dos detritos a destino final autorizado</t>
  </si>
  <si>
    <t xml:space="preserve">F.12.08.01.08.01.01.04. </t>
  </si>
  <si>
    <t xml:space="preserve">F.12.08.01.08.01.01.03. </t>
  </si>
  <si>
    <t>F.12.08.01.08.01.01.02.</t>
  </si>
  <si>
    <t>Fornecimento e aplicação de vigamento de pinho em pavimentos de soalho</t>
  </si>
  <si>
    <t xml:space="preserve">F.12.08.01.08.01.01.01. </t>
  </si>
  <si>
    <t>Pavimentos e Rodapés</t>
  </si>
  <si>
    <t>F.12.08.01.08.01.01.</t>
  </si>
  <si>
    <t>Carpintarias</t>
  </si>
  <si>
    <t>F.12.08.01.08.01.</t>
  </si>
  <si>
    <t>Carpintarias. Vidros e Serralharias (Inclui a recolha, triagem, remoção e transporte dos materiais com potencial de reutilização/ valorizáveis a local designado pela Fiscalização ou recolha, triagem, remoção, transporte a armazenamento preliminar e encaminhamento a destino final licenciado)</t>
  </si>
  <si>
    <t xml:space="preserve">F.12.08.01.08. </t>
  </si>
  <si>
    <t>Projeção de fibras de celulose de cor branco ou cinza, com 19mm de espessura</t>
  </si>
  <si>
    <t>F.12.08.01.07.02.17.</t>
  </si>
  <si>
    <t>Reparação de teto de estafe</t>
  </si>
  <si>
    <t>F.12.08.01.07.02.16.</t>
  </si>
  <si>
    <t>Idem, com lâminas de alumínio verticais</t>
  </si>
  <si>
    <t>F.12.08.01.07.02.15.</t>
  </si>
  <si>
    <t>Idem, em chapa de alumínio</t>
  </si>
  <si>
    <t>F.12.08.01.07.02.14.</t>
  </si>
  <si>
    <t>Reparação de teto falso em chapa de alumínio microperfurado</t>
  </si>
  <si>
    <t>F.12.08.01.07.02.13.</t>
  </si>
  <si>
    <t>Reparação de teto falso tipo "Perliplak" em placas de gesso</t>
  </si>
  <si>
    <t>F.12.08.01.07.02.12.</t>
  </si>
  <si>
    <t>Reparação de teto falso em Pladur em placas de gesso cartonado  hidrófugo de 15mm de espessura</t>
  </si>
  <si>
    <t>F.12.08.01.07.02.11.</t>
  </si>
  <si>
    <t>Idem, acabado estanhado</t>
  </si>
  <si>
    <t>F.12.08.01.07.02.10.</t>
  </si>
  <si>
    <t>Reparação de emboço e reboco acabado esponjado em tetos interiores com argamassa de cimento e areia ao traço 1:3</t>
  </si>
  <si>
    <t>F.12.08.01.07.02.09.</t>
  </si>
  <si>
    <t>F.12.08.01.07.02.08.</t>
  </si>
  <si>
    <t>F.12.08.01.07.02.07.</t>
  </si>
  <si>
    <t>Fornecimento e montagem de teto falso em chapa de alumínio microperfurado</t>
  </si>
  <si>
    <t>F.12.08.01.07.02.06.</t>
  </si>
  <si>
    <t>Fornecimento e montagem de teto falso tipo "Perliplak" em placas de gesso</t>
  </si>
  <si>
    <t>F.12.08.01.07.02.05.</t>
  </si>
  <si>
    <t>Idem, em placas microperfuradas</t>
  </si>
  <si>
    <t>F.12.08.01.07.02.04.</t>
  </si>
  <si>
    <t>Fornecimento e montagem de teto falso em Pladur em placas de gesso cartonado hidrófugo de 15mm de espessura</t>
  </si>
  <si>
    <t>F.12.08.01.07.02.03.</t>
  </si>
  <si>
    <t>F.12.08.01.07.02.02.</t>
  </si>
  <si>
    <t>Execução de emboço e reboco acabado esponjado em paredes interiores e exteriores com argamassa de cimento e areia ao traço 1:3</t>
  </si>
  <si>
    <t>F.12.08.01.07.02.01.</t>
  </si>
  <si>
    <t>Tetos</t>
  </si>
  <si>
    <t xml:space="preserve">F.12.08.01.07.02. </t>
  </si>
  <si>
    <t>Idem com 0,8mm de espessura.</t>
  </si>
  <si>
    <t>F.12.08.01.07.01.82.</t>
  </si>
  <si>
    <t>Idem com 0,6mm de espessura.</t>
  </si>
  <si>
    <t>F.12.08.01.07.01.81.</t>
  </si>
  <si>
    <t>Fornecimento e aplicação de painéis de aço S250GD de perfil trapezoidal em fachadas em estrutura existente, pré-lacado sobre galvanização de 140gr/m2, revestido a 55microns de HDX e 12 microns de epoxy, com 0,5mm de espessura.</t>
  </si>
  <si>
    <t>F.12.08.01.07.01.80.</t>
  </si>
  <si>
    <t>Idem com espessura total de 100mm</t>
  </si>
  <si>
    <t>F.12.08.01.07.01.79.</t>
  </si>
  <si>
    <t>Idem com espessura total de 80mm</t>
  </si>
  <si>
    <t>F.12.08.01.07.01.78.</t>
  </si>
  <si>
    <t>Idem com espessura total de 60mm</t>
  </si>
  <si>
    <t>F.12.08.01.07.01.77.</t>
  </si>
  <si>
    <t>Idem com espessura total de 50mm</t>
  </si>
  <si>
    <t>F.12.08.01.07.01.76.</t>
  </si>
  <si>
    <t>Fornecimento e aplicação de painéis sandwich de fachada, liso, composto por chapa de 0,60mm e chapa de 0,40mm da classe S250GZD com revestimento a zinco e posterior revestimento colorido nas faces exteriores e núcleo de isolamento térmico em PIR, com espessura total de 40mm</t>
  </si>
  <si>
    <t>F.12.08.01.07.01.75.</t>
  </si>
  <si>
    <t>F.12.08.01.07.01.74.</t>
  </si>
  <si>
    <t>F.12.08.01.07.01.73.</t>
  </si>
  <si>
    <t>F.12.08.01.07.01.72.</t>
  </si>
  <si>
    <t>F.12.08.01.07.01.71.</t>
  </si>
  <si>
    <t>Fornecimento e aplicação de painéis sandwich de fachada, perfilado composto por chapa de 0,50mm e chapa de 0,40mm da classe S250GZD com revestimento a zinco e posterior revestimento colorido nas faces exteriores e núcleo de isolamento térmico em PIR, com espessura total de 40mm</t>
  </si>
  <si>
    <t>F.12.08.01.07.01.70.</t>
  </si>
  <si>
    <t>F.12.08.01.07.01.69.</t>
  </si>
  <si>
    <t>F.12.08.01.07.01.68.</t>
  </si>
  <si>
    <t>F.12.08.01.07.01.67.</t>
  </si>
  <si>
    <t>F.12.08.01.07.01.66.</t>
  </si>
  <si>
    <t>Fornecimento e aplicação de painéis sandwich de fachada, nervurado, composto por chapa de 0,60mm e chapa de 0,40mm da classe S250GZD com revestimento a zinco e posterior revestimento colorido nas faces exteriores e núcleo de isolamento térmico em PIR, com espessura total de 40mm</t>
  </si>
  <si>
    <t>F.12.08.01.07.01.65.</t>
  </si>
  <si>
    <t>Idem com 12mm de espessura</t>
  </si>
  <si>
    <t>F.12.08.01.07.01.64.</t>
  </si>
  <si>
    <t>Idem com 10mm de espessura</t>
  </si>
  <si>
    <t>F.12.08.01.07.01.63.</t>
  </si>
  <si>
    <t>Idem com 8mm de espessura</t>
  </si>
  <si>
    <t>F.12.08.01.07.01.62.</t>
  </si>
  <si>
    <t>Idem com 6mm de espessura</t>
  </si>
  <si>
    <t>F.12.08.01.07.01.61.</t>
  </si>
  <si>
    <t>Idem com 4mm de espessura</t>
  </si>
  <si>
    <t>F.12.08.01.07.01.60.</t>
  </si>
  <si>
    <t>Fornecimento e aplicação de placas de contraplacado marítimo a aplicar em suporte existente, com 2mm de espessura, incluindo fixações pregadas ou aparafusadas.</t>
  </si>
  <si>
    <t>F.12.08.01.07.01.59.</t>
  </si>
  <si>
    <t>Idem com 22mm de espessura</t>
  </si>
  <si>
    <t>F.12.08.01.07.01.58.</t>
  </si>
  <si>
    <t>Idem com 18mm de espessura</t>
  </si>
  <si>
    <t>F.12.08.01.07.01.57.</t>
  </si>
  <si>
    <t>Idem com 15mm de espessura</t>
  </si>
  <si>
    <t>F.12.08.01.07.01.56.</t>
  </si>
  <si>
    <t>F.12.08.01.07.01.55.</t>
  </si>
  <si>
    <t>Fornecimento e aplicação de placas OSB a aplicar em suporte existente, categoria 3, e com 10mm de espessura, incluindo fixações pregadas ou aparafusadas.</t>
  </si>
  <si>
    <t>F.12.08.01.07.01.54.</t>
  </si>
  <si>
    <t>F.12.08.01.07.01.53.</t>
  </si>
  <si>
    <t>F.12.08.01.07.01.52.</t>
  </si>
  <si>
    <t>F.12.08.01.07.01.51.</t>
  </si>
  <si>
    <t>F.12.08.01.07.01.50.</t>
  </si>
  <si>
    <t>Fornecimento e aplicação de placas OSB a aplicar em suporte existente, categoria 2, e com 10mm de espessura, incluindo fixações pregadas ou aparafusadas.</t>
  </si>
  <si>
    <t>F.12.08.01.07.01.49.</t>
  </si>
  <si>
    <t>Fornecimento e aplicação de paineis fenólico em paredes divisórias, incluindo estrutura de suporte e fixação em axo inoxidável, ferragem e fecho nas portas.</t>
  </si>
  <si>
    <t>F.12.08.01.07.01.48.</t>
  </si>
  <si>
    <t>Fornecimento e assentamento de revestimento em sistema capote XPS, ou equivalente, com 60 mm de espessura</t>
  </si>
  <si>
    <t>F.12.08.01.07.01.47.</t>
  </si>
  <si>
    <t>Fornecimento e aplicação de mosaico em pastilha cerâmica tipo Cinca, Mosaico/Mosaico Combi, ou equivalente</t>
  </si>
  <si>
    <t>F.12.08.01.07.01.46.</t>
  </si>
  <si>
    <t>Fornecimento e aplicação de mosaico de vidro tipo Bizassa, ou equivalente</t>
  </si>
  <si>
    <t>F.12.08.01.07.01.45.</t>
  </si>
  <si>
    <t>Fornecimento e aplicação de revestimento de parede em pedra de ardósia negra com 2cm de espessura e acabamento amaciado</t>
  </si>
  <si>
    <t>F.12.08.01.07.01.44.</t>
  </si>
  <si>
    <t>Fornecimento e aplicação de revestimento de parede em granito cinzala com 3cm de espessura e acabamento amaciado</t>
  </si>
  <si>
    <t>F.12.08.01.07.01.43.</t>
  </si>
  <si>
    <t>Fornecimento e assentamento de revestimento em painéis metálicos de Alucobond com 8mm de espª, cor Cinzento Metálico</t>
  </si>
  <si>
    <t>F.12.08.01.07.01.42.</t>
  </si>
  <si>
    <t>Idem, a aplicar em estrutura de suporte existente</t>
  </si>
  <si>
    <t>F.12.08.01.07.01.41.</t>
  </si>
  <si>
    <t>Fornecimento e aplicação de revestimento de parede em painéis compostos do tipo Alucobond ou equivalente</t>
  </si>
  <si>
    <t>F.12.08.01.07.01.40.</t>
  </si>
  <si>
    <t>Fornecimento e aplicação de revestimento de parede em painéis de aglomerado de madeira e betão tipo Beton-Bois</t>
  </si>
  <si>
    <t>F.12.08.01.07.01.39.</t>
  </si>
  <si>
    <t>Fornecimento e assentamento de revestimento térmico pelo exterior do tipo "Viero", ou equivalente</t>
  </si>
  <si>
    <t>F.12.08.01.07.01.38.</t>
  </si>
  <si>
    <t>Idem em estrutura já existente</t>
  </si>
  <si>
    <t>F.12.08.01.07.01.37.</t>
  </si>
  <si>
    <t>Fornecimento e assentamento de revestimento em painéis aglomerado de fibras de alta densidade, do tipo "Prodema" ou equivalente, com 9 mm de espessura</t>
  </si>
  <si>
    <t>F.12.08.01.07.01.36.</t>
  </si>
  <si>
    <t>Fornecimento e assentamento de revestimento em painéis hPL compacto  tipo "Polyrey", ou equivalente, com 8 mm de espessura</t>
  </si>
  <si>
    <t>F.12.08.01.07.01.35.</t>
  </si>
  <si>
    <t>Execução de paredes em placas em gesso cartonado hidrofugado</t>
  </si>
  <si>
    <t>F.12.08.01.07.01.34.</t>
  </si>
  <si>
    <t>Idem, do tipo "Pladurmetal" 72/600(mm) cx.34mm - (19+34+19), sem isolamento</t>
  </si>
  <si>
    <t>F.12.08.01.07.01.33.</t>
  </si>
  <si>
    <t>Idem, do tipo "Pladurmetal" 84/400(mm) cx. 46mm - (19+46+19), sem isolamento</t>
  </si>
  <si>
    <t>F.12.08.01.07.01.32.</t>
  </si>
  <si>
    <t>Idem, do tipo "Pladurmetal" 72/600(mm) cx. Isol. 34mm - (19+34+19)</t>
  </si>
  <si>
    <t>F.12.08.01.07.01.31.</t>
  </si>
  <si>
    <t>Idem, do tipo "Pladurmetal" 84/400(mm) cx. Isol. 46mm - (19+46+19).</t>
  </si>
  <si>
    <t>F.12.08.01.07.01.30.</t>
  </si>
  <si>
    <t>Execução de paredes divisórias interiores, tipo "Pladurmetal"  ou equivalente, 100/600(mm) cx.isol. 70mm - (15+70+15), com isolamento</t>
  </si>
  <si>
    <t>F.12.08.01.07.01.29.</t>
  </si>
  <si>
    <t>Fornecimento e assentamento de azulejo copiado de modelo original fornecido pela IP com cópia de 1 a 100 unidades</t>
  </si>
  <si>
    <t>F.12.08.01.07.01.28.</t>
  </si>
  <si>
    <t>Fornecimento e aplicação de painéis toponímicos em azulejo pintado à mãos</t>
  </si>
  <si>
    <t>F.12.08.01.07.01.27.</t>
  </si>
  <si>
    <t>Fornecimento e aplicação de painéis de azulejo horários com as dimensões de 1,35m*0,90m</t>
  </si>
  <si>
    <t>F.12.08.01.07.01.26.</t>
  </si>
  <si>
    <t>Reaplicação de forras de revestimento hidráulico, incluindo remoção de ligantes e colas anteriores, preparação e nivelamento do suporte, e nova colagem ou assentamento.</t>
  </si>
  <si>
    <t>F.12.08.01.07.01.25.</t>
  </si>
  <si>
    <t>Idem com placas bordadura 800x400mm</t>
  </si>
  <si>
    <t>F.12.08.01.07.01.24.</t>
  </si>
  <si>
    <t>Idem com placas 800x400x30mm com furação</t>
  </si>
  <si>
    <t>F.12.08.01.07.01.23.</t>
  </si>
  <si>
    <t>Idem com placas 500x500x20mm</t>
  </si>
  <si>
    <t>F.12.08.01.07.01.22.</t>
  </si>
  <si>
    <t>Idem com placas 800x400x50mm</t>
  </si>
  <si>
    <t>F.12.08.01.07.01.21.</t>
  </si>
  <si>
    <t>Idem com placas 400x200x30mm</t>
  </si>
  <si>
    <t>F.12.08.01.07.01.20.</t>
  </si>
  <si>
    <t>Idem com placas 400x400x30mm</t>
  </si>
  <si>
    <t>F.12.08.01.07.01.19.</t>
  </si>
  <si>
    <t xml:space="preserve">Fornecimento e aplicação de forras em placas de revestimento hidráulico com aspeto travertino romano cor creme, incluindo preparação do suporte, nivelamento e colagem, com placas 800x400x30mm. </t>
  </si>
  <si>
    <t>F.12.08.01.07.01.18.</t>
  </si>
  <si>
    <t>Idem,  do tipo "Cinca - Nova Arquitetura M15x15cm", ou equivalente, com as dimensões de 147mmx147mmx5,8mm</t>
  </si>
  <si>
    <t>F.12.08.01.07.01.17.</t>
  </si>
  <si>
    <t>Idem,  do tipo "Cinca - Nova Arquitetura M20x10cm", ou equivalente, com as dimensões de 197mmx97mmx5,8mm</t>
  </si>
  <si>
    <t>F.12.08.01.07.01.16.</t>
  </si>
  <si>
    <t>Fornecimento e aplicação de azulejo mate, do tipo "Cinca - Nova Arquitetura M20x20cm", ou equivalente, com as dimensões de 197mmx197mmx7,5mm</t>
  </si>
  <si>
    <t>F.12.08.01.07.01.15.</t>
  </si>
  <si>
    <t>F.12.08.01.07.01.14.</t>
  </si>
  <si>
    <t>F.12.08.01.07.01.13.</t>
  </si>
  <si>
    <t>Fornecimento e aplicação de azulejo brilhante, do tipo "Cinca - Nova Arquitetura M20x20cm", ou equivalente, com as dimensões de 197mmx197mmx7,5mm</t>
  </si>
  <si>
    <t>F.12.08.01.07.01.12.</t>
  </si>
  <si>
    <t>Fornecimento e aplicação de estuque em paredes</t>
  </si>
  <si>
    <t>F.12.08.01.07.01.11.</t>
  </si>
  <si>
    <t>Fornecimento e aplicação de barramento de selagem de poros e de regularização, com argamassa monocomponente à base de cimentno e areias selecionadas, sílica de fumo e resinas sintéticas, em camadas de espessura de 1 a 5 mm.</t>
  </si>
  <si>
    <t>F.12.08.01.07.01.10.</t>
  </si>
  <si>
    <t xml:space="preserve">Fornecimento e aplicação de barramento de igualização de betão e agente adesivo para argamassas à base de resinas sintéticas e cargas minerais em camadas entre 1 a 2 mm de espessura.
</t>
  </si>
  <si>
    <t>F.12.08.01.07.01.09.</t>
  </si>
  <si>
    <t>Idem em reboco armado com rede de aço galvanizada.</t>
  </si>
  <si>
    <t>F.12.08.01.07.01.08.</t>
  </si>
  <si>
    <t>Idem em reboco armado com rede sintética.</t>
  </si>
  <si>
    <t>F.12.08.01.07.01.07.</t>
  </si>
  <si>
    <t>Execução de emboço e reboco com argamassa batarda à base de cal e cimento.</t>
  </si>
  <si>
    <t>F.12.08.01.07.01.06.</t>
  </si>
  <si>
    <t>Fornecimento e aplicação de rebocos à base de cal, com cal hidráulica, cal viva e cal lafarge.</t>
  </si>
  <si>
    <t>F.12.08.01.07.01.05.</t>
  </si>
  <si>
    <t>Idem com rede de aço galvanizado distendido.</t>
  </si>
  <si>
    <t>F.12.08.01.07.01.04.</t>
  </si>
  <si>
    <t>Execução de emboço e reboco armado com rede de fibra de vidro ou outra rede sintética, acabado esponjado em paredes interiores e exteriores com argamassa de cimento e areia ao traço 1:3</t>
  </si>
  <si>
    <t>F.12.08.01.07.01.03.</t>
  </si>
  <si>
    <t>Execução de emboço e reboco acabado estanhado em paredes interiores e exteriores com argamassa de cimento e areia ao traço 1:3</t>
  </si>
  <si>
    <t>F.12.08.01.07.01.02.</t>
  </si>
  <si>
    <t>F.12.08.01.07.01.01.</t>
  </si>
  <si>
    <t>Paredes</t>
  </si>
  <si>
    <t xml:space="preserve">F.12.08.01.07.01. </t>
  </si>
  <si>
    <t>Paredes e Tetos (Inclui a recolha, triagem, remoção, transporte a armazenamento preliminar e encaminhamento a destino final licenciado)</t>
  </si>
  <si>
    <t xml:space="preserve">F.12.08.01.07. </t>
  </si>
  <si>
    <t>Fornecimento e aplicação /substituição de pés amovíveis para estrutura metálica do pavimento sobrelevado tipo Finupe</t>
  </si>
  <si>
    <t>F.12.08.01.06.02.33.</t>
  </si>
  <si>
    <t>Fornecimento e aplicação de pavimento vinílico comercial – autoportante (encaixe macho – fêmea) do tipo Gerflor, modelo Attraction, cor a definir, com dimensão 635x635 mm, incluindo todos os trabalhos acessórios e complementares.</t>
  </si>
  <si>
    <t>F.12.08.01.06.02.32.</t>
  </si>
  <si>
    <t>Execução de pavimento sobrelevado tipo Finupe, constituído por módulos AM48V de 0,60x0,60x0,04m com estrutura MPI1240</t>
  </si>
  <si>
    <t>F.12.08.01.06.02.31.</t>
  </si>
  <si>
    <t>Renovação de betume em juntas de revestimentos cerâmicos incluindo remoção, raspagem e limpeza do suporte</t>
  </si>
  <si>
    <t>F.12.08.01.06.02.30.</t>
  </si>
  <si>
    <t>Betumação de juntas de revestimentos cerâmicos</t>
  </si>
  <si>
    <t>F.12.08.01.06.02.29.</t>
  </si>
  <si>
    <t>Fornecimento e aplicação de revestimento de pavimento em granito branco vimieiro com 3cm de espessura e acabamento areado</t>
  </si>
  <si>
    <t>F.12.08.01.06.02.28.</t>
  </si>
  <si>
    <t>Fornecimento e aplicação de revestimento de pavimento em granito branco de alcains com 2cm de espessura e acabamento amaciado</t>
  </si>
  <si>
    <t>F.12.08.01.06.02.27.</t>
  </si>
  <si>
    <t>Fornecimento e assentamento de rodapé em pedra de granito cinzala de acabamento polido com 2cm de espessura e 10cm de altura</t>
  </si>
  <si>
    <t>F.12.08.01.06.02.26.</t>
  </si>
  <si>
    <t>Fornecimento e aplicação de revestimento de pavimento em granito cinzala com 2cm de espessura e acabamento amaciado</t>
  </si>
  <si>
    <t>F.12.08.01.06.02.25.</t>
  </si>
  <si>
    <t>Fornecimento e aplicação de rodapé em MDF coberto por melanina com 8 cm de altura</t>
  </si>
  <si>
    <t>F.12.08.01.06.02.24.</t>
  </si>
  <si>
    <t>Fonecimento e aplicação de perfis de remate para pavimento</t>
  </si>
  <si>
    <t>F.12.08.01.06.02.23.</t>
  </si>
  <si>
    <t>Fornecimento e aplicação de pavimento flutuante com melanina AC5 hidrofogo com 12 mm de espessura</t>
  </si>
  <si>
    <t>F.12.08.01.06.02.22.</t>
  </si>
  <si>
    <t>Fornecimento e aplicação de pavimento flutuante com melanina AC4 com 8 mm de espessura</t>
  </si>
  <si>
    <t>F.12.08.01.06.02.21.</t>
  </si>
  <si>
    <t>Fornecimento e aplicação de pavimento flutuante com melanina AC3 com 8 mm de espessura</t>
  </si>
  <si>
    <t>F.12.08.01.06.02.20.</t>
  </si>
  <si>
    <t>Fornecimento e aplicação de mosaico em pedra de moleanos, com a espessura de 30mm</t>
  </si>
  <si>
    <t>F.12.08.01.06.02.19.</t>
  </si>
  <si>
    <t>Idem, mosaico de pedra Lióz com 0,40x0,40x0.03m</t>
  </si>
  <si>
    <t>F.12.08.01.06.02.18.</t>
  </si>
  <si>
    <t>Idem, pavimento em manta vinílica com junta soldada, do tipo "Forbo ref.U4P3" ou equivalente</t>
  </si>
  <si>
    <t>F.12.08.01.06.02.17.</t>
  </si>
  <si>
    <t>Fornecimento e aplicação de mosaico vinílico 30x30</t>
  </si>
  <si>
    <t>F.12.08.01.06.02.16.</t>
  </si>
  <si>
    <t>Idem, do tipo "Cinca - Extrudido não vidrado 11,5x24RDB", ou equivalente</t>
  </si>
  <si>
    <t>F.12.08.01.06.02.15.</t>
  </si>
  <si>
    <t>Idem, do tipo "Cinca - heart of stone 8x33ROD", ou equivalente</t>
  </si>
  <si>
    <t>F.12.08.01.06.02.14.</t>
  </si>
  <si>
    <t>Idem, do tipo "Cinca - Nova arquitetura 15x15RC", ou equivalente</t>
  </si>
  <si>
    <t>F.12.08.01.06.02.13.</t>
  </si>
  <si>
    <t>Idem, do tipo "Cinca - Nova arquitetura 10x20RC"", ou equivalente</t>
  </si>
  <si>
    <t>F.12.08.01.06.02.12.</t>
  </si>
  <si>
    <t>Fornecimento e aplicação de rodapé antiderrapante, do tipo "Cinca - Granitdur 8x33ROD", ou equivalente, com as dimensões de 330mmx80mmx8mm</t>
  </si>
  <si>
    <t>F.12.08.01.06.02.11.</t>
  </si>
  <si>
    <t>Idem, mosaico extrudido não vidrado, do tipo "Cinca", ou equivalente, com as dimensões de 300mmx30mmx12mm</t>
  </si>
  <si>
    <t>F.12.08.01.06.02.10.</t>
  </si>
  <si>
    <t>Idem, mosaico porcelanato vidrado retificado, do tipo "Cinca - heart of stone M33x33cm", ou equivalente, com as dimensões de 330mmx330mmx8mm</t>
  </si>
  <si>
    <t>F.12.08.01.06.02.09.</t>
  </si>
  <si>
    <t>Idem, mosaico porcelanato vidrado retificado, do tipo "Cinca - heart of stone M50x50cm", ou equivalente, com as dimensões de 497mmx497mmx9,7mm</t>
  </si>
  <si>
    <t>F.12.08.01.06.02.08.</t>
  </si>
  <si>
    <t>Idem, mosaico mate, do tipo "Cinca - Nova arquitetura M20x20cm"", ou equivalente, com as dimensões de 197mmx197mmx6mm</t>
  </si>
  <si>
    <t>F.12.08.01.06.02.07.</t>
  </si>
  <si>
    <t>Idem, mosaico mate, do tipo "Cinca - Nova arquitetura M30x30cm"", ou equivalente, com as dimensões de 297mmx297mmx7mm</t>
  </si>
  <si>
    <t>F.12.08.01.06.02.06.</t>
  </si>
  <si>
    <t>Idem, mosaico antiderrapante, do tipo "Cinca - Nova arquitetura M20x20cm"", ou equivalente, com as dimensões de 197mmx197mmx6mm</t>
  </si>
  <si>
    <t>F.12.08.01.06.02.05.</t>
  </si>
  <si>
    <t>Fornecimento e aplicação de mosaico antiderrapante, do tipo "Cinca - Granitdur 33x33cm", ou equivalente, com as dimensões de 330mmx330mmx8mm</t>
  </si>
  <si>
    <t>F.12.08.01.06.02.04.</t>
  </si>
  <si>
    <t>Fornecimento e aplicação de betão leve com agregado de argila expandida em enchimento de pavimento ou camadas de forma</t>
  </si>
  <si>
    <t>F.12.08.01.06.02.03.</t>
  </si>
  <si>
    <t>Idem com aditivo hidrófugo</t>
  </si>
  <si>
    <t>F.12.08.01.06.02.02.</t>
  </si>
  <si>
    <t>Fornecimento e aplicação de betonilha de regularização afagada até 0,06 m de espessura</t>
  </si>
  <si>
    <t>F.12.08.01.06.02.01.</t>
  </si>
  <si>
    <t>Interiores</t>
  </si>
  <si>
    <t xml:space="preserve">F.12.08.01.06.02. </t>
  </si>
  <si>
    <t xml:space="preserve">Fornecimento e aplicação de faixa cautela, em mosaico grês porcelanato podotáctil com estrias, de dimensões de 20x20x1,7cm, com 0,60m de largura), de acordo com as peças desenhadas e normativo IT.CCA.010, condições  técnicas e peças desenhadas. </t>
  </si>
  <si>
    <t>F.12.08.01.06.01.38.</t>
  </si>
  <si>
    <t xml:space="preserve">Fornecimento e aplicação de revestimento em mosaico de grês porcelanato prodotáctil, em plataforma ferroviária, cor ouro, com as dimensões de 20x20x1,7 cm, para materializar a faixa de segurança com 0,40 m de largura, de acordo com a especificação da IT.CCA.008, condições  técnicas e peças desenhadas </t>
  </si>
  <si>
    <t>F.12.08.01.06.01.37.</t>
  </si>
  <si>
    <t>Fornecimento e aplicação de faixa limitadora de plataforma em pavimento tátil em PVC da Trelleborg ou equivalente</t>
  </si>
  <si>
    <t>F.12.08.01.06.01.36.</t>
  </si>
  <si>
    <t>Fornecimento e assentamento de revestimento constituído por lajetas de betão pré-fabricado tipo Prégaia - Calçada Portuguesa 0,50x0,50x0,05m refª07 cor Creme</t>
  </si>
  <si>
    <t>F.12.08.01.06.01.35.</t>
  </si>
  <si>
    <t>Fornecimento e aplicação de revestimento de pavimento em granito branco de alcains com 2cm de espessura e acabamento estriado</t>
  </si>
  <si>
    <t>F.12.08.01.06.01.34.</t>
  </si>
  <si>
    <t>Fornecimento e aplicação de revestimento de pavimento em granito cinzala com 2cm de espessura e acabamento bujardado</t>
  </si>
  <si>
    <t>F.12.08.01.06.01.33.</t>
  </si>
  <si>
    <t>Fornecimento e assentamento de grelhas de enrelvamento com blocos de encaixe de betão de dimensão 600x400mm</t>
  </si>
  <si>
    <t>F.12.08.01.06.01.32.</t>
  </si>
  <si>
    <t>Idem, com blocos quadrados de 190x190mm</t>
  </si>
  <si>
    <t>F.12.08.01.06.01.31.</t>
  </si>
  <si>
    <t>Idem, com blocos hexagonais de 200x175mm</t>
  </si>
  <si>
    <t>F.12.08.01.06.01.30.</t>
  </si>
  <si>
    <t>Fornecimento e assentamento de revestimento de pavimento em pavê com blocos de encaixe de betão retangulares de 100x200mm, colorido</t>
  </si>
  <si>
    <t>F.12.08.01.06.01.29.</t>
  </si>
  <si>
    <t>Fornecimento e assentamento de lajetas coloridas de betão de relevo pitonado ou estriado, em linhas de segurança com dimensão 0,40x0,40x0,06m tipo Presdouro, ou equivalente, incluindo preparação da base, todos os materiais para regularização de fundo de cais e todos os trabalhos complementares.</t>
  </si>
  <si>
    <t>F.12.08.01.06.01.28.</t>
  </si>
  <si>
    <t>Execução de tapete betuminoso de gravilha granítica ou basáltica c/ 0.05 de espessura</t>
  </si>
  <si>
    <t>F.12.08.01.06.01.27.</t>
  </si>
  <si>
    <t>Idem, em camada de 8 cm de espessura após compactação</t>
  </si>
  <si>
    <t>F.12.08.01.06.01.26.</t>
  </si>
  <si>
    <t>Idem, em camada de 6 cm de espessura após compactação</t>
  </si>
  <si>
    <t>F.12.08.01.06.01.25.</t>
  </si>
  <si>
    <t>Fornecimento e aplicação de pavimento betuminoso a frio em camada até 8 cm de espessura (após compactação), incluindo compactação e rega de colagem.</t>
  </si>
  <si>
    <t>F.12.08.01.06.01.24.</t>
  </si>
  <si>
    <t>F.12.08.01.06.01.23.</t>
  </si>
  <si>
    <t>F.12.08.01.06.01.22.</t>
  </si>
  <si>
    <t>Fornecimento e aplicação de pavimento betuminoso a quente em camada de 4 cm de espessura (após compactação), incluindo compactação e rega de colagem.</t>
  </si>
  <si>
    <t>F.12.08.01.06.01.21.</t>
  </si>
  <si>
    <t>Fornecimento e assentamento de calçada de granito 7x7cm, assente sobre massame com aguada de cimento</t>
  </si>
  <si>
    <t>F.12.08.01.06.01.20.</t>
  </si>
  <si>
    <t>Idem, em paralelo de granito</t>
  </si>
  <si>
    <t>F.12.08.01.06.01.19.</t>
  </si>
  <si>
    <t>Idem, 11x11cm</t>
  </si>
  <si>
    <t>F.12.08.01.06.01.18.</t>
  </si>
  <si>
    <t>Fornecimento e assentamento de calçada em cubos de granito 7x7cm</t>
  </si>
  <si>
    <t>F.12.08.01.06.01.17.</t>
  </si>
  <si>
    <t>Levantamento e reposição de calçadas</t>
  </si>
  <si>
    <t>F.12.08.01.06.01.16.</t>
  </si>
  <si>
    <t>Polimento/amaciamento de calçada</t>
  </si>
  <si>
    <t>F.12.08.01.06.01.15.</t>
  </si>
  <si>
    <t>Idem, em calçada basáltica 5x5cm</t>
  </si>
  <si>
    <t>F.12.08.01.06.01.14.</t>
  </si>
  <si>
    <t>Idem, em calçada granitica 5x5cm</t>
  </si>
  <si>
    <t>F.12.08.01.06.01.13.</t>
  </si>
  <si>
    <t>Fornecimento e aplicação de calçada de vidraço 5x5cm</t>
  </si>
  <si>
    <t>F.12.08.01.06.01.12.</t>
  </si>
  <si>
    <t>Fornecimento e aplicação de lajetas pré-fabricadas em faixa com 40 cm de largura (branco)</t>
  </si>
  <si>
    <t>F.12.08.01.06.01.11.</t>
  </si>
  <si>
    <t>Fornecimento e aplicação de lajetas pré-fabricadas em faixa com 40 cm de largura (amarelo)</t>
  </si>
  <si>
    <t>F.12.08.01.06.01.10.</t>
  </si>
  <si>
    <t>Levantamento, nivelamento e reposição de lajetas de plataforma</t>
  </si>
  <si>
    <t>F.12.08.01.06.01.09.</t>
  </si>
  <si>
    <t>Idem com aspetivo travertino romano cor amarela.</t>
  </si>
  <si>
    <t>F.12.08.01.06.01.08.</t>
  </si>
  <si>
    <t>Idem, do tipo "Cimenteira do Louro" ou equivalente, com 400mmx400mmx40mm</t>
  </si>
  <si>
    <t>F.12.08.01.06.01.07.</t>
  </si>
  <si>
    <t>Fornecimento e assentamento de lajetas de pavimento, tipo "Soplacas", ou equivalente, com 600mmx400mmx50mm</t>
  </si>
  <si>
    <t>F.12.08.01.06.01.06.</t>
  </si>
  <si>
    <t>Fornecimento e aplicação de sarrisca granítica</t>
  </si>
  <si>
    <t>F.12.08.01.06.01.05.</t>
  </si>
  <si>
    <t>Fornecimento e aplicação de pó de pedra calcária</t>
  </si>
  <si>
    <t>F.12.08.01.06.01.04.</t>
  </si>
  <si>
    <t>Fornecimento e aplicação de tout-venant, compactado com cilindro vibratório</t>
  </si>
  <si>
    <t>F.12.08.01.06.01.03.</t>
  </si>
  <si>
    <t>Fornecimento e aplicação de enrocamento e massame</t>
  </si>
  <si>
    <t>F.12.08.01.06.01.02.</t>
  </si>
  <si>
    <t>Fornecimento e aplicação de betão armado em pavimentos</t>
  </si>
  <si>
    <t>F.12.08.01.06.01.01.</t>
  </si>
  <si>
    <t>Exteriores</t>
  </si>
  <si>
    <t xml:space="preserve">F.12.08.01.06.01. </t>
  </si>
  <si>
    <t>Revestimentos</t>
  </si>
  <si>
    <t xml:space="preserve">F.12.08.01.06. </t>
  </si>
  <si>
    <t>Fornecimento e aplicação de fita de calafetagem em vãos de portas e janelas</t>
  </si>
  <si>
    <t>F.12.08.01.05.40.</t>
  </si>
  <si>
    <t>Fornecimento e aplicação de sistema de selagem de juntas de caleiras tipo "EFISSUS"</t>
  </si>
  <si>
    <t>F.12.08.01.05.39.</t>
  </si>
  <si>
    <t>Fornecimento e aplicação de impregnante repelente de água à base de siloxanos, incluindo conveniente preparação da base.</t>
  </si>
  <si>
    <t>F.12.08.01.05.38.</t>
  </si>
  <si>
    <t>Fornecimento e aplicação de telas de proteção de zinco em membrana de polietileno de alta densidade com aspecto cinzento distinto com 0,6mm de espessura e pitão de 8,6 mm.</t>
  </si>
  <si>
    <t>F.12.08.01.05.37.</t>
  </si>
  <si>
    <t>Fornecimento e aplicação de telas de proteção de zinco em zinco titânio laminado que é protegido na face inferior por uma camada de 60 mícrones com uma estrutura de acrilato de uretano, polimerizado por U.V.</t>
  </si>
  <si>
    <t>F.12.08.01.05.36.</t>
  </si>
  <si>
    <t>Fornecimento e aplicação de barreiras de vapor à base de betume modificado e folha de alumínio.</t>
  </si>
  <si>
    <t>F.12.08.01.05.35.</t>
  </si>
  <si>
    <t>Fornecimento e aplicação de barreiras de vapor em polietileno de baixa densidade com 0,2mm de espessura.</t>
  </si>
  <si>
    <t>F.12.08.01.05.34.</t>
  </si>
  <si>
    <t>Idem, com 60mm</t>
  </si>
  <si>
    <t>F.12.08.01.05.33.</t>
  </si>
  <si>
    <t>Idem, com 50mm</t>
  </si>
  <si>
    <t>F.12.08.01.05.32.</t>
  </si>
  <si>
    <t>Fornecimento e aplicação de placas semi rígidas e revestidas a alumínio de isolamento térmico em lã de rocha com 40mm de espessura</t>
  </si>
  <si>
    <t>F.12.08.01.05.31.</t>
  </si>
  <si>
    <t>F.12.08.01.05.30.</t>
  </si>
  <si>
    <t>F.12.08.01.05.29.</t>
  </si>
  <si>
    <t>Fornecimento e aplicação de placas semi rígidas de isolamento térmico em lã de rocha com 40mm de espessura</t>
  </si>
  <si>
    <t>F.12.08.01.05.28.</t>
  </si>
  <si>
    <t>Idem, com 80mm</t>
  </si>
  <si>
    <t>F.12.08.01.05.27.</t>
  </si>
  <si>
    <t>F.12.08.01.05.26.</t>
  </si>
  <si>
    <t>F.12.08.01.05.25.</t>
  </si>
  <si>
    <t>Idem, com 40mm</t>
  </si>
  <si>
    <t>F.12.08.01.05.24.</t>
  </si>
  <si>
    <t>Fornecimento e aplicação de placas de isolamento térmico EPS com 30mm de espessura</t>
  </si>
  <si>
    <t>F.12.08.01.05.23.</t>
  </si>
  <si>
    <t>F.12.08.01.05.22.</t>
  </si>
  <si>
    <t>F.12.08.01.05.21.</t>
  </si>
  <si>
    <t>F.12.08.01.05.20.</t>
  </si>
  <si>
    <t>F.12.08.01.05.19.</t>
  </si>
  <si>
    <t>Fornecimento e aplicação de placas de isolamento térmico XPS com 30mm de espessura</t>
  </si>
  <si>
    <t>F.12.08.01.05.18.</t>
  </si>
  <si>
    <t>Idem com 1,5mm de espessura.</t>
  </si>
  <si>
    <t>F.12.08.01.05.17.</t>
  </si>
  <si>
    <t>Fornecimento e assentamento de impemeabilização em lâminas de EPDM com 1,2mm de espessura.</t>
  </si>
  <si>
    <t>F.12.08.01.05.16.</t>
  </si>
  <si>
    <t>Fornecimento e aplicação de proteção pesada em lajetas do tipo "Grisol", ou equivalente, constituida por camada de betão e isolamento térmico.</t>
  </si>
  <si>
    <t>F.12.08.01.05.15.</t>
  </si>
  <si>
    <t>Fornecimento e aplicação de silicone em coberturas e outros equipamentos.</t>
  </si>
  <si>
    <t>F.12.08.01.05.14.</t>
  </si>
  <si>
    <t>Fornecimento e aplicação de cola e veda em coberturas e outros equipamentos</t>
  </si>
  <si>
    <t>F.12.08.01.05.13.</t>
  </si>
  <si>
    <t>Fornecimento e aplicação de silicone liquido em coberturas</t>
  </si>
  <si>
    <t>F.12.08.01.05.12.</t>
  </si>
  <si>
    <t>Impermeabilização de caleiras e algerozes com tela asfáltica</t>
  </si>
  <si>
    <t>F.12.08.01.05.11.</t>
  </si>
  <si>
    <t>Fornecimento e aplicação de impermeabilização com produto à base de copolímeros acrílicos com duas demãos de REGICRIL e dois estratos de GUMASIL a perfazer no mínimo 3kg/m2, incluindo limpeza e preparação da superfície, tratamento de pontos singulares, remates e todos os trabalhos complementares.</t>
  </si>
  <si>
    <t>F.12.08.01.05.10.</t>
  </si>
  <si>
    <t>Fornecimento e aplicação de emulsão betuminosa</t>
  </si>
  <si>
    <t xml:space="preserve">F.12.08.01.05.09. </t>
  </si>
  <si>
    <t>Isolamento de juntas de dilatação com material adequado a este fim</t>
  </si>
  <si>
    <t xml:space="preserve">F.12.08.01.05.08. </t>
  </si>
  <si>
    <t>Fornecimento e aplicação de impermeabilização em manta líquida flexível bicomponente</t>
  </si>
  <si>
    <t xml:space="preserve">F.12.08.01.05.07. </t>
  </si>
  <si>
    <t>Idem, com isolamento térmico em painéis de roofmate de 60 mm de espessura, solução cobertura invertida</t>
  </si>
  <si>
    <t>F.12.08.01.05.06.</t>
  </si>
  <si>
    <t>Fornecimento e aplicação de sistema de impermeabilização sem isolamento térmico para coberturas de acessibilidade limitada, incluíndo camada de forma  e proteção em godo com dimensão máxima 50mm.</t>
  </si>
  <si>
    <t xml:space="preserve">F.12.08.01.05.05. </t>
  </si>
  <si>
    <t xml:space="preserve">F.12.08.01.05.04. </t>
  </si>
  <si>
    <t>Fornecimento e aplicação de sistema de impermeabilização sem isolamento térmico para coberturas de acessibilidade limitada</t>
  </si>
  <si>
    <t xml:space="preserve">F.12.08.01.05.03. </t>
  </si>
  <si>
    <t>Fornecimento e aplicação de betonilha armada para camada de forma em coberturas</t>
  </si>
  <si>
    <t>F.12.08.01.05.02.</t>
  </si>
  <si>
    <t>Fornecimento e aplicação de isolamento com tela de alumínio, xisto ou PVC</t>
  </si>
  <si>
    <t>F.12.08.01.05.01.</t>
  </si>
  <si>
    <t>Impermeabilizações e isolamentos</t>
  </si>
  <si>
    <t xml:space="preserve">F.12.08.01.05. </t>
  </si>
  <si>
    <t>Reparação de rufos e caleiras em chapa de zinco</t>
  </si>
  <si>
    <t>F.12.08.01.04.01.02.18.</t>
  </si>
  <si>
    <t>Idem, PVC</t>
  </si>
  <si>
    <t>F.12.08.01.04.01.02.17.</t>
  </si>
  <si>
    <t>Fornecimento e aplicação de gárgulas em chapa zincada</t>
  </si>
  <si>
    <t>F.12.08.01.04.01.02.16.</t>
  </si>
  <si>
    <t>Idem, em inox</t>
  </si>
  <si>
    <t>F.12.08.01.04.01.02.15.</t>
  </si>
  <si>
    <t>Fornecimento e aplicação de ralos de pinha metálica de algerozes</t>
  </si>
  <si>
    <t xml:space="preserve">F.12.08.01.04.01.02.14. </t>
  </si>
  <si>
    <t>Idem, em alumínio lacado com diâmetro de 125 mm</t>
  </si>
  <si>
    <t xml:space="preserve">F.12.08.01.04.01.02.13. </t>
  </si>
  <si>
    <t>Idem, em alumínio lacado com diâmetro de 110 mm</t>
  </si>
  <si>
    <t>F.12.08.01.04.01.02.12.</t>
  </si>
  <si>
    <t>Idem, em alumínio lacado com diâmetro de 90 mm</t>
  </si>
  <si>
    <t>F.12.08.01.04.01.02.11.</t>
  </si>
  <si>
    <t>Idem, em PVC com diâmetro de 125mm</t>
  </si>
  <si>
    <t>F.12.08.01.04.01.02.10.</t>
  </si>
  <si>
    <t>Idem, em PVC com diâmetro de 110mm</t>
  </si>
  <si>
    <t>F.12.08.01.04.01.02.09.</t>
  </si>
  <si>
    <t>Idem, em PVC com diâmetro de 90mm</t>
  </si>
  <si>
    <t xml:space="preserve">F.12.08.01.04.01.02.08. </t>
  </si>
  <si>
    <t>Fornecimento e aplicação de tubos de queda em tudo galvanizado</t>
  </si>
  <si>
    <t>F.12.08.01.04.01.02.07.</t>
  </si>
  <si>
    <t xml:space="preserve">F.12.08.01.04.01.02.06. </t>
  </si>
  <si>
    <t>Fornecimento e aplicação de rufos em chapa zincada, até 0,90cm de desenvolvimento, incluindo fixações e uniões.</t>
  </si>
  <si>
    <t xml:space="preserve">F.12.08.01.04.01.02.05. </t>
  </si>
  <si>
    <t xml:space="preserve">F.12.08.01.04.01.02.04. </t>
  </si>
  <si>
    <t>Fornecimento e aplicação de algeroz em tubo PVC</t>
  </si>
  <si>
    <t xml:space="preserve">F.12.08.01.04.01.02.03. </t>
  </si>
  <si>
    <t>Fornecimento e aplicação de caleira para beirados e algerozes</t>
  </si>
  <si>
    <t xml:space="preserve">F.12.08.01.04.01.02.02. </t>
  </si>
  <si>
    <t>Fornecimento e aplicação de caleiras em alumínio lacado</t>
  </si>
  <si>
    <t xml:space="preserve">F.12.08.01.04.01.02.01. </t>
  </si>
  <si>
    <t>Caleiras, Tubos de Queda e Algerozes</t>
  </si>
  <si>
    <t>F.12.08.01.04.01.02.</t>
  </si>
  <si>
    <t>Execução de revestimento de cobertura com chapa de zinco tipo "Asturiana das minas" com acabamento "prepatine quartz zinc" com fixação agrafada</t>
  </si>
  <si>
    <t xml:space="preserve">F.12.08.01.04.01.01.28. </t>
  </si>
  <si>
    <t>Remate de soldadura a bandejas de alumínio tipo Kalzip</t>
  </si>
  <si>
    <t xml:space="preserve">F.12.08.01.04.01.01.27.10. </t>
  </si>
  <si>
    <t>Remate de vedação dos tirantes às bandeja tipo Kalzip</t>
  </si>
  <si>
    <t xml:space="preserve">F.12.08.01.04.01.01.27.09. </t>
  </si>
  <si>
    <t>Remate de caleira de beirado, composto por pingadeira de beirado em alumínio</t>
  </si>
  <si>
    <t>F.12.08.01.04.01.01.27.08.</t>
  </si>
  <si>
    <t>Remate de beirado, composto por pingadeira de beirado em alumínio</t>
  </si>
  <si>
    <t xml:space="preserve">F.12.08.01.04.01.01.27.07. </t>
  </si>
  <si>
    <t>Remate de caleira dupla, composto por barreira de vapor tipo Kalzip de polietileno</t>
  </si>
  <si>
    <t xml:space="preserve">F.12.08.01.04.01.01.27.06. </t>
  </si>
  <si>
    <t>Remate de meia cumeeira com desenvolvimento de 578mm, em alumínio de 1mm de espª no acabamento igual à cobertura</t>
  </si>
  <si>
    <t xml:space="preserve">F.12.08.01.04.01.01.27.05. </t>
  </si>
  <si>
    <t>Remate lateral com desenvolvimento de 578mm, em alumínio de 1mm de espª no acabamento igual à cobertura</t>
  </si>
  <si>
    <t xml:space="preserve">F.12.08.01.04.01.01.27.04. </t>
  </si>
  <si>
    <t>Fornecimento e aplicação de bandeja cónica tipo Kalzip em alumínio</t>
  </si>
  <si>
    <t xml:space="preserve">F.12.08.01.04.01.01.27.03. </t>
  </si>
  <si>
    <t>Fornecimento e aplicação de bandeja curva tipo Kalzip cintrados em fábrica de alumínio</t>
  </si>
  <si>
    <t xml:space="preserve">F.12.08.01.04.01.01.27.02. </t>
  </si>
  <si>
    <t>Fornecimento e aplicação de bandeja reta tipo Kalzip no perfil 65/400 em alumínio com 3 ondas de reforço mecânico</t>
  </si>
  <si>
    <t xml:space="preserve">F.12.08.01.04.01.01.27.01. </t>
  </si>
  <si>
    <t>Fornecimento e aplicação de cobertura em alumínio no sistema tipo "Kalzip" ou equivalente, com uma inclinação mínima de 2,6%, composta por chapa base pré-lacada na face exterior a poliéster na cor branco no perfil 54S com 0,75mm de espª, barreira de vapor tipo Kalzip Kal-flex 1,2mm transparente de polietileno de baixa densidade de 250μm e malha de polipropileno integradas, fita selante butílica para barreira de vapor tipo Kalzip</t>
  </si>
  <si>
    <t xml:space="preserve">F.12.08.01.04.01.01.27. </t>
  </si>
  <si>
    <t>Fornecimento e aplicação de cobertura em painéis de vidro laminado de 1010.4 termoendurecido com dimensões de 1,50x3,40m</t>
  </si>
  <si>
    <t xml:space="preserve">F.12.08.01.04.01.01.26. </t>
  </si>
  <si>
    <t xml:space="preserve">F.12.08.01.04.01.01.25. </t>
  </si>
  <si>
    <t xml:space="preserve">F.12.08.01.04.01.01.24. </t>
  </si>
  <si>
    <t>Fornecimento e aplicação de cobertura modular autoportante em policarbonato alveolar tipo "System Piu", ou equivalente, com 12mm</t>
  </si>
  <si>
    <t xml:space="preserve">F.12.08.01.04.01.01.23. </t>
  </si>
  <si>
    <t>Fornecimento e aplicação de sistema sub-telha do tipo "Onduline" ou equivalente</t>
  </si>
  <si>
    <t xml:space="preserve">F.12.08.01.04.01.01.22. </t>
  </si>
  <si>
    <t>Reparação de beirado à portuguesa</t>
  </si>
  <si>
    <t xml:space="preserve">F.12.08.01.04.01.01.21. </t>
  </si>
  <si>
    <t>Fornecimento e aplicação de telhado</t>
  </si>
  <si>
    <t xml:space="preserve">F.12.08.01.04.01.01.20. </t>
  </si>
  <si>
    <t>Fornecimento e assentamento de chapas lacadas em painéis sandwich tipo Alaço, com isolamento de 50mm</t>
  </si>
  <si>
    <t xml:space="preserve">F.12.08.01.04.01.01.19. </t>
  </si>
  <si>
    <t>Fornecimento e assentamento de chapas lacadas em painéis sandwich tipo Alaço, com isolamento de 30mm</t>
  </si>
  <si>
    <t xml:space="preserve">F.12.08.01.04.01.01.18. </t>
  </si>
  <si>
    <t>Fornecimento e assentamento de chapas lacadas tipo Alaço</t>
  </si>
  <si>
    <t xml:space="preserve">F.12.08.01.04.01.01.17. </t>
  </si>
  <si>
    <t>Idem, em chapas zincadas</t>
  </si>
  <si>
    <t xml:space="preserve">F.12.08.01.04.01.01.16. </t>
  </si>
  <si>
    <t>Idem, chapas de policarbonato alveolar de 10mm</t>
  </si>
  <si>
    <t xml:space="preserve">F.12.08.01.04.01.01.15. </t>
  </si>
  <si>
    <t>Idem, chapas de policarbonato compacto de 8mm</t>
  </si>
  <si>
    <t>F.12.08.01.04.01.01.14.</t>
  </si>
  <si>
    <t>Idem, chapas acrílicas de 6 mm</t>
  </si>
  <si>
    <t xml:space="preserve">F.12.08.01.04.01.01.13. </t>
  </si>
  <si>
    <t>Fornecimento e aplicação de chapas de naturocimento em coberturas</t>
  </si>
  <si>
    <t xml:space="preserve">F.12.08.01.04.01.01.12. </t>
  </si>
  <si>
    <t>Reposição de telhas em coberturas previamente recolhidas ou fornecidas pela IP</t>
  </si>
  <si>
    <t xml:space="preserve">F.12.08.01.04.01.01.11. </t>
  </si>
  <si>
    <t>Idem, telha bebé</t>
  </si>
  <si>
    <t xml:space="preserve">F.12.08.01.04.01.01.10. </t>
  </si>
  <si>
    <t>Idem, telhão de três águas</t>
  </si>
  <si>
    <t xml:space="preserve">F.12.08.01.04.01.01.09. </t>
  </si>
  <si>
    <t>Idem, telhão de início</t>
  </si>
  <si>
    <t xml:space="preserve">F.12.08.01.04.01.01.08. </t>
  </si>
  <si>
    <t>Idem, telhões de espigão</t>
  </si>
  <si>
    <t xml:space="preserve">F.12.08.01.04.01.01.07. </t>
  </si>
  <si>
    <t>Idem, beirado</t>
  </si>
  <si>
    <t xml:space="preserve">F.12.08.01.04.01.01.06. </t>
  </si>
  <si>
    <t>Idem, ventilador</t>
  </si>
  <si>
    <t xml:space="preserve">F.12.08.01.04.01.01.05. </t>
  </si>
  <si>
    <t>Idem, passadeira</t>
  </si>
  <si>
    <t xml:space="preserve">F.12.08.01.04.01.01.04. </t>
  </si>
  <si>
    <t>Idem, claraboia</t>
  </si>
  <si>
    <t xml:space="preserve">F.12.08.01.04.01.01.03. </t>
  </si>
  <si>
    <t>Idem em canudo</t>
  </si>
  <si>
    <t xml:space="preserve">F.12.08.01.04.01.01.02. </t>
  </si>
  <si>
    <t>Fornecimento e aplicação de telhas do tipo marselha ou lusa</t>
  </si>
  <si>
    <t xml:space="preserve">F.12.08.01.04.01.01.01. </t>
  </si>
  <si>
    <t>Revestimentos de Coberturas</t>
  </si>
  <si>
    <t>F.12.08.01.04.01.01.</t>
  </si>
  <si>
    <t>Coberturas (incluindo meios de elevação para a execução dos trabalhos)</t>
  </si>
  <si>
    <t xml:space="preserve">F.12.08.01.04.01. </t>
  </si>
  <si>
    <t>Coberturas (Inclui a recolha, triagem, remoção e transporte dos materiais com potencial de reutilização/ valorizáveis a local designado pela Fiscalização e a recolha, triagem, remoção, transporte a armazenamento preliminar e encaminhamento a destino final licenciado, bem como, o cumprimento legal inerente)</t>
  </si>
  <si>
    <t xml:space="preserve">F.12.08.01.04. </t>
  </si>
  <si>
    <t>Limpeza de redes anti pombo</t>
  </si>
  <si>
    <t>F.12.08.01.03.03.06.</t>
  </si>
  <si>
    <t>Lavagem de pavimentos, paredes e outras superfícies</t>
  </si>
  <si>
    <t>F.12.08.01.03.03.05.</t>
  </si>
  <si>
    <t>Fornecimento e aplicação de proteção de anti graffiti</t>
  </si>
  <si>
    <t>F.12.08.01.03.03.04.</t>
  </si>
  <si>
    <t>Remoção de pinturas graffiti</t>
  </si>
  <si>
    <t>F.12.08.01.03.03.03.</t>
  </si>
  <si>
    <t>Remoção de graffiti em painéis de azulejo</t>
  </si>
  <si>
    <t>F.12.08.01.03.03.02.</t>
  </si>
  <si>
    <t>Lavagem de pedra em cantaria, socos, cimalhas, capitéis, ombreiras</t>
  </si>
  <si>
    <t>F.12.08.01.03.03.01.</t>
  </si>
  <si>
    <t>F.12.08.01.03.03.</t>
  </si>
  <si>
    <t>Limpeza e desobstrução de algerozes, caleiras e tubos de queda</t>
  </si>
  <si>
    <t>F.12.08.01.03.02.03.</t>
  </si>
  <si>
    <t>Limpeza de revestimento de cobertura de qualquer tipo por meios manuais</t>
  </si>
  <si>
    <t>F.12.08.01.03.02.02.</t>
  </si>
  <si>
    <t>Limpeza de revestimento de cobertura de qualquer tipo, por meio de jacto de água com produto químico</t>
  </si>
  <si>
    <t>F.12.08.01.03.02.01.</t>
  </si>
  <si>
    <t>de Coberturas</t>
  </si>
  <si>
    <t xml:space="preserve">F.12.08.01.03.02. </t>
  </si>
  <si>
    <t>Limpeza de desobstrução de aquedutos até D1000 mm</t>
  </si>
  <si>
    <t>F.12.08.01.03.01.08.</t>
  </si>
  <si>
    <t>Limpeza e desobstrução de aquedutos até D600 mm</t>
  </si>
  <si>
    <t>F.12.08.01.03.01.07.</t>
  </si>
  <si>
    <t>Limpeza e desobstrução de caixas de visita entre 2 e 5 m3 de volume</t>
  </si>
  <si>
    <t>F.12.08.01.03.01.06.</t>
  </si>
  <si>
    <t>Limpeza e desobstrução de caixas de visita até 2 m3 de volume</t>
  </si>
  <si>
    <t>F.12.08.01.03.01.05.</t>
  </si>
  <si>
    <t>Idem, entre 1,20 e 2,00m</t>
  </si>
  <si>
    <t>F.12.08.01.03.01.04.</t>
  </si>
  <si>
    <t>Limpeza e desobstrução de valetas em betão até 1,20m de altura variável</t>
  </si>
  <si>
    <t>F.12.08.01.03.01.03.</t>
  </si>
  <si>
    <t>Limpeza e desobstrução de valetas pré-fabricadas com tampa, tipo IP</t>
  </si>
  <si>
    <t>F.12.08.01.03.01.02.</t>
  </si>
  <si>
    <t>Limpeza e desobstrução de valetas em terra</t>
  </si>
  <si>
    <t>F.12.08.01.03.01.01.</t>
  </si>
  <si>
    <t>de Drenagens Pluviais</t>
  </si>
  <si>
    <t xml:space="preserve">F.12.08.01.03.01. </t>
  </si>
  <si>
    <t>Limpezas e Desobstruções:</t>
  </si>
  <si>
    <t xml:space="preserve">F.12.08.01.03. </t>
  </si>
  <si>
    <t>Bujardamento de faixa antiderrapante em degraus de escada</t>
  </si>
  <si>
    <t xml:space="preserve">F.12.08.01.02.03.27. </t>
  </si>
  <si>
    <t>Fornecimento e aplicação de produto antiderrapante com sílica em degraus de escadas, com largura de 50mm</t>
  </si>
  <si>
    <t xml:space="preserve">F.12.08.01.02.03.26. </t>
  </si>
  <si>
    <t>Fornecimento e aplicação de fita antiderrapante e autoadesiva em degraus de escadas, com a largura de 50mm</t>
  </si>
  <si>
    <t xml:space="preserve">F.12.08.01.02.03.25. </t>
  </si>
  <si>
    <t>Fornecimento e aplicação de monomassas em textura variada para reparação de cantarias danificadas</t>
  </si>
  <si>
    <t xml:space="preserve">F.12.08.01.02.03.24. </t>
  </si>
  <si>
    <t>Fornecimento e assentamento de pedra de bancada em mármore, com 30mm de espessura</t>
  </si>
  <si>
    <t xml:space="preserve">F.12.08.01.02.03.23. </t>
  </si>
  <si>
    <t>Fornecimento e assentamento de pedra de bancada em granito, com 30mm de espessura</t>
  </si>
  <si>
    <t xml:space="preserve">F.12.08.01.02.03.22. </t>
  </si>
  <si>
    <t>Fornecimento e assentamento de pedra de bancada em composto constituído por 94% de quartzo natural polido com proteção bateriana e 20mm de espessura, do tipo "Silestone", ou equivalente</t>
  </si>
  <si>
    <t xml:space="preserve">F.12.08.01.02.03.21. </t>
  </si>
  <si>
    <t>Substituição de socos em pedra em forras de material idêntico ao existente</t>
  </si>
  <si>
    <t xml:space="preserve">F.12.08.01.02.03.20. </t>
  </si>
  <si>
    <t>Idem, em lioz polido</t>
  </si>
  <si>
    <t xml:space="preserve">F.12.08.01.02.03.19. </t>
  </si>
  <si>
    <t>Idem, em granito polido</t>
  </si>
  <si>
    <t xml:space="preserve">F.12.08.01.02.03.18. </t>
  </si>
  <si>
    <t>Idem, em granito amaciado</t>
  </si>
  <si>
    <t>F.12.08.01.02.03.17.</t>
  </si>
  <si>
    <t>Fornecimento e assentamento de espelho de escada em mármore polido, com a espessura de 20mm</t>
  </si>
  <si>
    <t>F.12.08.01.02.03.16.</t>
  </si>
  <si>
    <t>F.12.08.01.02.03.15.</t>
  </si>
  <si>
    <t>F.12.08.01.02.03.14.</t>
  </si>
  <si>
    <t>F.12.08.01.02.03.13.</t>
  </si>
  <si>
    <t>Fornecimento e assentamento de degrau (cobertor) de escada em mármore polido, com a espessura de 40mm</t>
  </si>
  <si>
    <t xml:space="preserve">F.12.08.01.02.03.12. </t>
  </si>
  <si>
    <t xml:space="preserve">F.12.08.01.02.03.11. </t>
  </si>
  <si>
    <t xml:space="preserve">F.12.08.01.02.03.10. </t>
  </si>
  <si>
    <t>Idem, em moleanos amaciado</t>
  </si>
  <si>
    <t xml:space="preserve">F.12.08.01.02.03.09. </t>
  </si>
  <si>
    <t>Idem, em moleanos bujardado</t>
  </si>
  <si>
    <t xml:space="preserve">F.12.08.01.02.03.08. </t>
  </si>
  <si>
    <t>Fornecimento e assentamento de soleiras e peitoris em mármore polido de portas e janelas, com a espessura de 30mm</t>
  </si>
  <si>
    <t>F.12.08.01.02.03.07.</t>
  </si>
  <si>
    <t>F.12.08.01.02.03.06.</t>
  </si>
  <si>
    <t>idem, em granito flamejado.</t>
  </si>
  <si>
    <t xml:space="preserve">F.12.08.01.02.03.05. </t>
  </si>
  <si>
    <t xml:space="preserve">F.12.08.01.02.03.04. </t>
  </si>
  <si>
    <t>F.12.08.01.02.03.03.</t>
  </si>
  <si>
    <t xml:space="preserve">F.12.08.01.02.03.02. </t>
  </si>
  <si>
    <t>Fornecimento e assentamento de molduras de mármore polido em janelas e portas, com a espessura de 30mm</t>
  </si>
  <si>
    <t xml:space="preserve">F.12.08.01.02.03.01. </t>
  </si>
  <si>
    <t>Cantarias</t>
  </si>
  <si>
    <t xml:space="preserve">F.12.08.01.02.03. </t>
  </si>
  <si>
    <t>Fornecimento e assentamento de blocos de betão acústicos tipo soundblox 495 x 195 x 195 mm</t>
  </si>
  <si>
    <t xml:space="preserve">F.12.08.01.02.02.02.12. </t>
  </si>
  <si>
    <t>Fornecimento e assentamento de alvenaria de tijolo de vidro de 19x19x8, com argamassa para o efeito</t>
  </si>
  <si>
    <t>F.12.08.01.02.02.02.11.</t>
  </si>
  <si>
    <t>Fornecimento e assentamento de alvenaria em pedra argamassada em paredes e muros</t>
  </si>
  <si>
    <t xml:space="preserve">F.12.08.01.02.02.02.10. </t>
  </si>
  <si>
    <t>Idem 50x20x25</t>
  </si>
  <si>
    <t xml:space="preserve">F.12.08.01.02.02.02.09. </t>
  </si>
  <si>
    <t>Idem 50x20x20</t>
  </si>
  <si>
    <t xml:space="preserve">F.12.08.01.02.02.02.08. </t>
  </si>
  <si>
    <t>Idem 40x20x20</t>
  </si>
  <si>
    <t>F.12.08.01.02.02.02.07.</t>
  </si>
  <si>
    <t>Fornecimento e assentamento de alvenaria de blocos de cimento 40x20x15, assente em argamassa de cimento e areia ao traço 1:3</t>
  </si>
  <si>
    <t>F.12.08.01.02.02.02.06.</t>
  </si>
  <si>
    <t>Idem em tijolo de 30x20x22</t>
  </si>
  <si>
    <t>F.12.08.01.02.02.02.05.</t>
  </si>
  <si>
    <t>Idem em tijolo de 30x20x15</t>
  </si>
  <si>
    <t xml:space="preserve">F.12.08.01.02.02.02.04. </t>
  </si>
  <si>
    <t>Idem em tijolo de 30x20x11</t>
  </si>
  <si>
    <t xml:space="preserve">F.12.08.01.02.02.02.03. </t>
  </si>
  <si>
    <t>Idem em tijolo de 30x20x9</t>
  </si>
  <si>
    <t>F.12.08.01.02.02.02.02.</t>
  </si>
  <si>
    <t>Fornecimento e assentamento de alvenaria em tijolo furado 30x20x7, assente em argamassa de cimento e areia ao traço 1:3</t>
  </si>
  <si>
    <t xml:space="preserve">F.12.08.01.02.02.02.01. </t>
  </si>
  <si>
    <t>F.12.08.01.02.02.02.</t>
  </si>
  <si>
    <t>Alteamento de caixas de visita em plataformas a partir de 1,50x1,50m</t>
  </si>
  <si>
    <t xml:space="preserve">F.12.08.01.02.02.01.07. </t>
  </si>
  <si>
    <t>Alteamento de caixas de visita em plataformas até 1,50x1,50m</t>
  </si>
  <si>
    <t xml:space="preserve">F.12.08.01.02.02.01.06. </t>
  </si>
  <si>
    <t>Construção de caixas de visita em alvenaria de tijolo com 30x20x22, com as dimensões  1,50mx1,50mx1m50m, assente com argamassa de cimento e areia ao traço 1:4, rebocado e 2 tampas em betão armado com 0,50mx1,00mx0,06m, aro e contra-aro metálico galvanizado em cantoneira em "L" 60mmx60mmx5mm a 80 microns de espessura de galvanização</t>
  </si>
  <si>
    <t xml:space="preserve">F.12.08.01.02.02.01.05. </t>
  </si>
  <si>
    <t>Construção de caixas de visita em alvenaria de tijolo com 30x20x22, com as dimensões  1,00mx1,00mx1m50m, assente com argamassa de cimento e areia ao traço 1:4, rebocado e 2 tampas em betão armado com 0,50mx1,00mx0,06m, aro e contra-aro metálico galvanizado em cantoneira em "L" 60mmx60mmx5mm a 80 microns de espessura de galvanização</t>
  </si>
  <si>
    <t xml:space="preserve">F.12.08.01.02.02.01.04. </t>
  </si>
  <si>
    <t>Idem, com as dimensões de 0,60mx0,60mx0,80m</t>
  </si>
  <si>
    <t>F.12.08.01.02.02.01.03.</t>
  </si>
  <si>
    <t>Idem, com as dimensões de 0,50mx0,50mx0,60m</t>
  </si>
  <si>
    <t>F.12.08.01.02.02.01.02.</t>
  </si>
  <si>
    <t>Construção de caixas de visita em alvenaria de tijolo com 30x20x11, com as dimensões com 0,40mx0,40mx0,50m, assente com argamassa de cimento e areia ao traço 1:4, rebocado e tampa em betão armado com 0,05m de espessura, aro e contra-aro metálico galvanizado em cantoneira em "L" 50mmx50mmx4mm, com 80 microns de espessura de galvanização</t>
  </si>
  <si>
    <t xml:space="preserve">F.12.08.01.02.02.01.01. </t>
  </si>
  <si>
    <t>Caixas de Visita</t>
  </si>
  <si>
    <t>F.12.08.01.02.02.01.</t>
  </si>
  <si>
    <t>Alvenarias</t>
  </si>
  <si>
    <t xml:space="preserve">F.12.08.01.02.02. </t>
  </si>
  <si>
    <t>Execução de revestimento de proteção e pintura de betão com aplicação de  revestimento monocomponente, baseado em resinas metacrílicas, resistentes às intempéries, aos álcalis e ao envelhecimento, formulado para utilização em superfícies minerais, incluindo betão e argamassa, incluindo lavagem prévia ou jato abrasivo e conveniente preparação da superfície.</t>
  </si>
  <si>
    <t xml:space="preserve">F.12.08.01.02.01.04.05. </t>
  </si>
  <si>
    <t xml:space="preserve">Execução de acabamento de proteção sobre superfícies tratadas com um revestimento monocomponente, baseado em resinas metacrílicas, resistente às intempéries, aos álcalis e ao envelhecimento, formulado para utilização em superfícies minerais,  incluindo betão e argamassa, em 2 a 3 demãos.
</t>
  </si>
  <si>
    <t xml:space="preserve">F.12.08.01.02.01.04.04. </t>
  </si>
  <si>
    <t>Regularização de superfícies e espessuras de recobrimento com fornecimento e aplicação de argamassa de reparação estrutural,
monocomponente, reforçada com fibras, com baixa retracção, em espessuras de 6mm a 50mm.</t>
  </si>
  <si>
    <t xml:space="preserve">F.12.08.01.02.01.04.03. </t>
  </si>
  <si>
    <t>Tratamento de armaduras de betão armado com produto à base de cimento, monocomponente, melhorado com resina sintética e sílica de fumo usado como protecção anticorrosiva das armaduras e como promotor de aderência no sistema de argamassas para reparação de betão com duas camadas de 1mm cada</t>
  </si>
  <si>
    <t xml:space="preserve">F.12.08.01.02.01.04.02. </t>
  </si>
  <si>
    <t>Remoção de betão delaminado ou picagem de espessuras de recobrimento de armaduras para execução de tratamentos de reparação.</t>
  </si>
  <si>
    <t xml:space="preserve">F.12.08.01.02.01.04.01. </t>
  </si>
  <si>
    <t>Tratamentos</t>
  </si>
  <si>
    <t>F.12.08.01.02.01.04.</t>
  </si>
  <si>
    <t>Idem com secção 500x300mm</t>
  </si>
  <si>
    <t>F.12.08.01.02.01.03.48.</t>
  </si>
  <si>
    <t>Fornecimento e aplicação de chapéu de chaminé com ventiladores e tampa para assentamento em fugas, com secção 300x200mm.</t>
  </si>
  <si>
    <t>F.12.08.01.02.01.03.47.</t>
  </si>
  <si>
    <t>Idem com secção 500x300x200mm</t>
  </si>
  <si>
    <t>F.12.08.01.02.01.03.46.</t>
  </si>
  <si>
    <t>Fornecimento e aplicação de fugas para chaminés em betão com secção 300x300x200mm</t>
  </si>
  <si>
    <t>F.12.08.01.02.01.03.45.</t>
  </si>
  <si>
    <t>Execução e assentamento de valetas de secção triangular com assentamento de betão da classe C20/25 com 0,15m de espessura em terreno já preparado, incluindo corte de juntas.</t>
  </si>
  <si>
    <t>F.12.08.01.02.01.03.44.</t>
  </si>
  <si>
    <t>Fornecimento e aplicação de ripado do tipo RB3 da ricel ou equivalente</t>
  </si>
  <si>
    <t>F.12.08.01.02.01.03.43.</t>
  </si>
  <si>
    <t>Fornecimento e aplicação de vigas de fileiro, varas e rincões do tipo Ricel F</t>
  </si>
  <si>
    <t xml:space="preserve">F.12.08.01.02.01.03.42. </t>
  </si>
  <si>
    <t>Em vãos superior a 9,00 m até 12,00 m de comprimento</t>
  </si>
  <si>
    <t>F.12.08.01.02.01.03.41.03.</t>
  </si>
  <si>
    <t>Em vãos superior a 5,00 m até 9,00 m de comprimento</t>
  </si>
  <si>
    <t xml:space="preserve">F.12.08.01.02.01.03.41.02. </t>
  </si>
  <si>
    <t>Em vãos até 5,00 m de comprimento</t>
  </si>
  <si>
    <t xml:space="preserve">F.12.08.01.02.01.03.41.01. </t>
  </si>
  <si>
    <t>Fornecimento e aplicação de asnas reticuladas em betão pré-esforçado do Tipo ricel ou equivalente, adaptadas à cobertura</t>
  </si>
  <si>
    <t xml:space="preserve">F.12.08.01.02.01.03.41. </t>
  </si>
  <si>
    <t>Idem em betão poroso</t>
  </si>
  <si>
    <t xml:space="preserve">F.12.08.01.02.01.03.40. </t>
  </si>
  <si>
    <t>Fornecimento e aplicação de barreiras acústicas em betão de lava pré-fabricado tipo MEURIN com uma face absorvente, em estrutura existente</t>
  </si>
  <si>
    <t xml:space="preserve">F.12.08.01.02.01.03.39. </t>
  </si>
  <si>
    <t>Reparação/fixação de capeamentos em betão em muros</t>
  </si>
  <si>
    <t xml:space="preserve">F.12.08.01.02.01.03.38. </t>
  </si>
  <si>
    <t>Idem em betão com cimento branco</t>
  </si>
  <si>
    <t>F.12.08.01.02.01.03.37.</t>
  </si>
  <si>
    <t>Fornecimento e aplicação de capeamento em U em betão para muros</t>
  </si>
  <si>
    <t xml:space="preserve">F.12.08.01.02.01.03.36. </t>
  </si>
  <si>
    <t>Fornecimento e assentamento de capeamento de muro em betão</t>
  </si>
  <si>
    <t xml:space="preserve">F.12.08.01.02.01.03.35. </t>
  </si>
  <si>
    <t>Fornecimento e assentamento de blocos decorativos em betão, formato de argola/lua para muros, com dimensão 0,40x0,40x0,10m, incluindo todos os trabalhos complementares.</t>
  </si>
  <si>
    <t xml:space="preserve">F.12.08.01.02.01.03.34. </t>
  </si>
  <si>
    <t>600mmx600mmx640mm</t>
  </si>
  <si>
    <t xml:space="preserve">F.12.08.01.02.01.03.33.03. </t>
  </si>
  <si>
    <t>500mmx500mmx500mm</t>
  </si>
  <si>
    <t xml:space="preserve">F.12.08.01.02.01.03.33.02. </t>
  </si>
  <si>
    <t>400mmx400mmx420mm</t>
  </si>
  <si>
    <t xml:space="preserve">F.12.08.01.02.01.03.33.01. </t>
  </si>
  <si>
    <t>Fornecimento e assentamento de caixas de derivação com fundo pré-fabricadas em betão, do tipo "Cimenteira do Louro", ou equivalente, com as seguintes dimensões:</t>
  </si>
  <si>
    <t xml:space="preserve">F.12.08.01.02.01.03.33. </t>
  </si>
  <si>
    <t>Com 6 m de comprimento</t>
  </si>
  <si>
    <t xml:space="preserve">F.12.08.01.02.01.03.32.03. </t>
  </si>
  <si>
    <t>Com 4 m de comprimento</t>
  </si>
  <si>
    <t xml:space="preserve">F.12.08.01.02.01.03.32.02. </t>
  </si>
  <si>
    <t>Com 2 m de comprimento</t>
  </si>
  <si>
    <t xml:space="preserve">F.12.08.01.02.01.03.32.01. </t>
  </si>
  <si>
    <t>Fornecimento e colocação de separadores "New Jersey" assimétricos, pré-fabricados em betão do tipo "Cimenteira do Louro", ou equivalente</t>
  </si>
  <si>
    <t xml:space="preserve">F.12.08.01.02.01.03.32. </t>
  </si>
  <si>
    <t xml:space="preserve">F.12.08.01.02.01.03.31.03. </t>
  </si>
  <si>
    <t>F.12.08.01.02.01.03.31.02.</t>
  </si>
  <si>
    <t xml:space="preserve">F.12.08.01.02.01.03.31.01. </t>
  </si>
  <si>
    <t>Fornecimento e colocação de separadores "New Jersey" simétricos, pré-fabricados em betão do tipo "Cimenteira do Louro", ou equivalente</t>
  </si>
  <si>
    <t xml:space="preserve">F.12.08.01.02.01.03.31. </t>
  </si>
  <si>
    <t>Fornecimento e assentamento de marcos delimitadores de propriedade IP</t>
  </si>
  <si>
    <t>F.12.08.01.02.01.03.30.</t>
  </si>
  <si>
    <t>Ø 500mm</t>
  </si>
  <si>
    <t xml:space="preserve">F.12.08.01.02.01.03.29.04. </t>
  </si>
  <si>
    <t>Ø 400mm</t>
  </si>
  <si>
    <t xml:space="preserve">F.12.08.01.02.01.03.29.03. </t>
  </si>
  <si>
    <t>Ø 300mm</t>
  </si>
  <si>
    <t xml:space="preserve">F.12.08.01.02.01.03.29.02. </t>
  </si>
  <si>
    <t>Ø 200mm</t>
  </si>
  <si>
    <t xml:space="preserve">F.12.08.01.02.01.03.29.01. </t>
  </si>
  <si>
    <t>Fornecimento e assentamento de meias-manilhas pré fabricadas em betão com 1000mm de comprimento</t>
  </si>
  <si>
    <t>F.12.08.01.02.01.03.29.</t>
  </si>
  <si>
    <t>Ø 1000mm</t>
  </si>
  <si>
    <t xml:space="preserve">F.12.08.01.02.01.03.28.05. </t>
  </si>
  <si>
    <t>Ø 800mm</t>
  </si>
  <si>
    <t>F.12.08.01.02.01.03.28.04.</t>
  </si>
  <si>
    <t>Ø 600mm</t>
  </si>
  <si>
    <t xml:space="preserve">F.12.08.01.02.01.03.28.03. </t>
  </si>
  <si>
    <t xml:space="preserve">F.12.08.01.02.01.03.28.02. </t>
  </si>
  <si>
    <t>F.12.08.01.02.01.03.28.01.</t>
  </si>
  <si>
    <t>Fornecimento e assentamento de manilhas reforçadas classe IV pré-fabricadas em betão, com 2000mm de comprimento, do tipo "Cimenteira do Louro", ou equivalente.</t>
  </si>
  <si>
    <t>F.12.08.01.02.01.03.28.</t>
  </si>
  <si>
    <t>F.12.08.01.02.01.03.27.06.</t>
  </si>
  <si>
    <t>F.12.08.01.02.01.03.27.05.</t>
  </si>
  <si>
    <t>F.12.08.01.02.01.03.27.04.</t>
  </si>
  <si>
    <t xml:space="preserve">F.12.08.01.02.01.03.27.03. </t>
  </si>
  <si>
    <t xml:space="preserve">F.12.08.01.02.01.03.27.02. </t>
  </si>
  <si>
    <t>F.12.08.01.02.01.03.27.01.</t>
  </si>
  <si>
    <t>Fornecimento e assentamento de manilhas pré-fabricadas em betão, com 1000mm de comprimento, do tipo "Cimenteira do Louro", ou equivalente</t>
  </si>
  <si>
    <t>F.12.08.01.02.01.03.27.</t>
  </si>
  <si>
    <t>Fornecimento e assentamento de caixa para águas pluviais com grelha em ferro fundido, basculante, com dimensão 800mmx550mmx1100mmx100mm do tipo "Cimenteira do Louro", ou equivalente</t>
  </si>
  <si>
    <t xml:space="preserve">F.12.08.01.02.01.03.26. </t>
  </si>
  <si>
    <t>Fornecimento e assentamento de tampas de betão armado perfuradas com 6cm de espessura</t>
  </si>
  <si>
    <t>F.12.08.01.02.01.03.25.</t>
  </si>
  <si>
    <t>com secção 165mmx175mm</t>
  </si>
  <si>
    <t>F.12.08.01.02.01.03.24.03.</t>
  </si>
  <si>
    <t>com secção 225mmx215mm</t>
  </si>
  <si>
    <t xml:space="preserve">F.12.08.01.02.01.03.24.02. </t>
  </si>
  <si>
    <t>com secção 280mmx240mm</t>
  </si>
  <si>
    <t>F.12.08.01.02.01.03.24.01.</t>
  </si>
  <si>
    <t>Fornecimento e assentamento de canelete com grade galvanizada, anti roubo, em betão pré fabricado do tipo "Cimenteira do Louro", ou equivalente</t>
  </si>
  <si>
    <t xml:space="preserve">F.12.08.01.02.01.03.24. </t>
  </si>
  <si>
    <t>com secção 600mmx150mm</t>
  </si>
  <si>
    <t xml:space="preserve">F.12.08.01.02.01.03.23.03. </t>
  </si>
  <si>
    <t>com secção 250mmx150mm</t>
  </si>
  <si>
    <t xml:space="preserve">F.12.08.01.02.01.03.23.02. </t>
  </si>
  <si>
    <t>com secção 390mmx150mm</t>
  </si>
  <si>
    <t xml:space="preserve">F.12.08.01.02.01.03.23.01. </t>
  </si>
  <si>
    <t>Fornecimento e assentamento de canelete com tampa, em betão pré fabricado do tipo "Cimenteira do Louro", ou equivalente</t>
  </si>
  <si>
    <t xml:space="preserve">F.12.08.01.02.01.03.23. </t>
  </si>
  <si>
    <t>Idem, para caixas de 2 a 4mts de profundidade</t>
  </si>
  <si>
    <t xml:space="preserve">F.12.08.01.02.01.03.22. </t>
  </si>
  <si>
    <t>Fornecimento e assentamento de caixa de visita em anéis de betão pré-fabricado, com Ø1,50m</t>
  </si>
  <si>
    <t xml:space="preserve">F.12.08.01.02.01.03.21. </t>
  </si>
  <si>
    <t>F.12.08.01.02.01.03.20.</t>
  </si>
  <si>
    <t>Fornecimento e assentamento de caixa de visita em anéis de betão pré-fabricado, com Ø1,00m</t>
  </si>
  <si>
    <t>F.12.08.01.02.01.03.19.</t>
  </si>
  <si>
    <t>Idem, com secção 300mmx250mmx120mm</t>
  </si>
  <si>
    <t xml:space="preserve">F.12.08.01.02.01.03.18. </t>
  </si>
  <si>
    <t>Fornecimento e assentamento de lancil de segurança (autosafe), com 1000mm de comprimento, pré-fabricados em betão, do tipo "Cimenteira do Louro", ou equivalente, com secção 350mmx350mmx120mm</t>
  </si>
  <si>
    <t>F.12.08.01.02.01.03.17.</t>
  </si>
  <si>
    <t>Fornecimento e aplicação de placas para passadeiras, anti derrapantes, em betão armado C20/25 e aço A400NR (#8mm af. 0,10m), com dimensão 1.00x0.60x0.05</t>
  </si>
  <si>
    <t xml:space="preserve">F.12.08.01.02.01.03.16. </t>
  </si>
  <si>
    <t>Fornecimento e colocação de limitadores de parqueamento tipo "TRIEF", ou equivalente</t>
  </si>
  <si>
    <t xml:space="preserve">F.12.08.01.02.01.03.15. </t>
  </si>
  <si>
    <t>250mmx240mmx200mm</t>
  </si>
  <si>
    <t xml:space="preserve">F.12.08.01.02.01.03.14.04. </t>
  </si>
  <si>
    <t>250mmx150mmx120mm</t>
  </si>
  <si>
    <t xml:space="preserve">F.12.08.01.02.01.03.14.03. </t>
  </si>
  <si>
    <t>200mmx200mmx170mm</t>
  </si>
  <si>
    <t>F.12.08.01.02.01.03.14.02.</t>
  </si>
  <si>
    <t>200mmx80mmx80mm</t>
  </si>
  <si>
    <t xml:space="preserve">F.12.08.01.02.01.03.14.01. </t>
  </si>
  <si>
    <t>Fornecimento e assentamento de lancis pré-fabricados em betão, com 1000mm de comprimento, do tipo "Cimenteira do Louro", ou equivalente, com as seguintes dimensões:</t>
  </si>
  <si>
    <t xml:space="preserve">F.12.08.01.02.01.03.14. </t>
  </si>
  <si>
    <t>Fornecimento e assentamento de tampas de betão armado com 6cm de espessura</t>
  </si>
  <si>
    <t xml:space="preserve">F.12.08.01.02.01.03.13. </t>
  </si>
  <si>
    <t>Idem, em vãos livres até 7.3m</t>
  </si>
  <si>
    <t>F.12.08.01.02.01.03.12.</t>
  </si>
  <si>
    <t>Fornecimento e aplicação de lajes aligeiradas em vãos livres até 5.5m (vigotas pré-esforçadas tipo P3 + blocos cerâmicos/abobadilhas)</t>
  </si>
  <si>
    <t xml:space="preserve">F.12.08.01.02.01.03.11. </t>
  </si>
  <si>
    <t>Refechamento de juntas em valetas com argamassa</t>
  </si>
  <si>
    <t xml:space="preserve">F.12.08.01.02.01.03.10. </t>
  </si>
  <si>
    <t>Idem, com a espessura de 16mm na cor preta</t>
  </si>
  <si>
    <t xml:space="preserve">F.12.08.01.02.01.03.09.04. </t>
  </si>
  <si>
    <t>Idem, com a espessura de 16mm na cor cinza</t>
  </si>
  <si>
    <t xml:space="preserve">F.12.08.01.02.01.03.09.03. </t>
  </si>
  <si>
    <t>Idem, com a espessura de 12mm.</t>
  </si>
  <si>
    <t xml:space="preserve">F.12.08.01.02.01.03.09.02. </t>
  </si>
  <si>
    <t>Idem, com a espessura de 10mm.</t>
  </si>
  <si>
    <t xml:space="preserve">F.12.08.01.02.01.03.09.01. </t>
  </si>
  <si>
    <t>Fornecimento e aplicação de painéis compósito de madeira e cimento do tipo "Viroc", ou equivalente com 8mm de espessura</t>
  </si>
  <si>
    <t xml:space="preserve">F.12.08.01.02.01.03.09. </t>
  </si>
  <si>
    <t>Fornecimento e aplicação de marcos indicadores de paragem</t>
  </si>
  <si>
    <t>F.12.08.01.02.01.03.08.</t>
  </si>
  <si>
    <t>com secção 500mmx500mm e rasgo superior de 50mm</t>
  </si>
  <si>
    <t xml:space="preserve">F.12.08.01.02.01.03.07.02. </t>
  </si>
  <si>
    <t>com secção 500mmx500mm e rasgo superior de 30mm</t>
  </si>
  <si>
    <t>F.12.08.01.02.01.03.07.01.</t>
  </si>
  <si>
    <t>Fornecimento e assentamento de caleira de autoestrada armada, pré-fabricados em betão armado, com 1000mm de comprimento, do tipo "Cimenteira do Louro", ou equivalente</t>
  </si>
  <si>
    <t>F.12.08.01.02.01.03.07.</t>
  </si>
  <si>
    <t>Reparação / fixação de bordaduras das plataformas tipo IP</t>
  </si>
  <si>
    <t>F.12.08.01.02.01.03.06.</t>
  </si>
  <si>
    <t>Fornecimento e assentamento de bordaduras de plataforma em betão armado</t>
  </si>
  <si>
    <t>F.12.08.01.02.01.03.05.</t>
  </si>
  <si>
    <t>Idem de placas de vedação em betão.  tipo CP - B para fixação em pilares</t>
  </si>
  <si>
    <t>F.12.08.01.02.01.03.04.</t>
  </si>
  <si>
    <t>Idem de placas de vedação em betão.  tipo CP - A. para fixação em pilares</t>
  </si>
  <si>
    <t xml:space="preserve">F.12.08.01.02.01.03.03. </t>
  </si>
  <si>
    <t>Idem de placas de vedação maciças em betão com 2.10m de comprimento para fixação em pilares</t>
  </si>
  <si>
    <t>F.12.08.01.02.01.03.02.</t>
  </si>
  <si>
    <t>Fornecimento e assentamento de pilaretes pré-fabricados para suporte de placas de vedação</t>
  </si>
  <si>
    <t>F.12.08.01.02.01.03.01.</t>
  </si>
  <si>
    <t>Pré Fabricados</t>
  </si>
  <si>
    <t>F.12.08.01.02.01.03.</t>
  </si>
  <si>
    <t>Execução de selagens com argamassa monocomponente de retração compensada, à base de cimento</t>
  </si>
  <si>
    <t xml:space="preserve">F.12.08.01.02.01.02.07. </t>
  </si>
  <si>
    <t>Execução de argamassagem e recalçamento de fendas em taludes ou muros, revestimento de taludes</t>
  </si>
  <si>
    <t xml:space="preserve">F.12.08.01.02.01.02.06. </t>
  </si>
  <si>
    <t>Execução de muretes de betão armado para vedações urbanas do tipo I ou II</t>
  </si>
  <si>
    <t xml:space="preserve">F.12.08.01.02.01.02.05. </t>
  </si>
  <si>
    <t>Construção de muros tipo GABION</t>
  </si>
  <si>
    <t xml:space="preserve">F.12.08.01.02.01.02.04. </t>
  </si>
  <si>
    <t>Construção de muros de suporte em pedra arrumada à mão e argamassada</t>
  </si>
  <si>
    <t xml:space="preserve">F.12.08.01.02.01.02.03. </t>
  </si>
  <si>
    <t>Construção de muros de suporte em C20/25 e A400</t>
  </si>
  <si>
    <t>F.12.08.01.02.01.02.02.</t>
  </si>
  <si>
    <t>Betão ciclópico em fundações</t>
  </si>
  <si>
    <t xml:space="preserve">F.12.08.01.02.01.02.01. </t>
  </si>
  <si>
    <t>Muros e Maciços</t>
  </si>
  <si>
    <t>F.12.08.01.02.01.02.</t>
  </si>
  <si>
    <t>Fornecimento e aplicação de betão em maciços e dados de postes de catenária, de acordo com a IT.CAT.004, incluindo cofragem, escoramentos, vibração, descofragem e todos os trabalhos complementares.</t>
  </si>
  <si>
    <t xml:space="preserve">F.12.08.01.02.01.01.11. </t>
  </si>
  <si>
    <t>Idem, C30/35</t>
  </si>
  <si>
    <t xml:space="preserve">F.12.08.01.02.01.01.09. </t>
  </si>
  <si>
    <t>Idem, C25/30</t>
  </si>
  <si>
    <t xml:space="preserve">F.12.08.01.02.01.01.08. </t>
  </si>
  <si>
    <t>Idem, C20/25</t>
  </si>
  <si>
    <t xml:space="preserve">F.12.08.01.02.01.01.07. </t>
  </si>
  <si>
    <t>Fornecimento e aplicação de betão armado C16/20, a partir de 1m3, incluindo cofragem, escoramentos, vibração, descofragem e todos os trabalhos complementares.</t>
  </si>
  <si>
    <t xml:space="preserve">F.12.08.01.02.01.01.06. </t>
  </si>
  <si>
    <t xml:space="preserve">F.12.08.01.02.01.01.05. </t>
  </si>
  <si>
    <t>F.12.08.01.02.01.01.04.</t>
  </si>
  <si>
    <t>F.12.08.01.02.01.01.03.</t>
  </si>
  <si>
    <t>Fornecimento e aplicação de betão armado C16/20, até 1m3, incluindo cofragem, escoramentos, vibração, descofragem e todos os trabalhos complementares.</t>
  </si>
  <si>
    <t xml:space="preserve">F.12.08.01.02.01.01.02. </t>
  </si>
  <si>
    <t>Fornecimento e aplicação de betão de limpeza em fundações</t>
  </si>
  <si>
    <t>F.12.08.01.02.01.01.01.</t>
  </si>
  <si>
    <t>Edifícios</t>
  </si>
  <si>
    <t>F.12.08.01.02.01.01.</t>
  </si>
  <si>
    <t>Betões</t>
  </si>
  <si>
    <t xml:space="preserve">F.12.08.01.02.01. </t>
  </si>
  <si>
    <t>Betões. Alvenarias e Cantarias (inclui a recolha, triagem, remoção, transporte a armazenamento preliminar e encaminhamento a destino final licenciado, bem como, o cumprimento legal inerente)</t>
  </si>
  <si>
    <t xml:space="preserve">F.12.08.01.02. </t>
  </si>
  <si>
    <t>de 600 gr/m2</t>
  </si>
  <si>
    <t xml:space="preserve">F.12.08.01.01.03.07.04. </t>
  </si>
  <si>
    <t>de 400 gr/m2</t>
  </si>
  <si>
    <t xml:space="preserve">F.12.08.01.01.03.07.03. </t>
  </si>
  <si>
    <t>de 300 gr/m2</t>
  </si>
  <si>
    <t>F.12.08.01.01.03.07.02.</t>
  </si>
  <si>
    <t>de 200 gr/m2</t>
  </si>
  <si>
    <t xml:space="preserve">F.12.08.01.01.03.07.01. </t>
  </si>
  <si>
    <t>Fornecimento e colocação de manta geotêxtil:</t>
  </si>
  <si>
    <t>F.12.08.01.01.03.07.</t>
  </si>
  <si>
    <t>Fornecimento e colocação de material britado de enrocamento, vulgo Rachão</t>
  </si>
  <si>
    <t>F.12.08.01.01.03.06.</t>
  </si>
  <si>
    <t>com granulometria 20/40mm</t>
  </si>
  <si>
    <t>F.12.08.01.01.03.05.03.</t>
  </si>
  <si>
    <t>com granulometria 14/20mm</t>
  </si>
  <si>
    <t xml:space="preserve">F.12.08.01.01.03.05.02. </t>
  </si>
  <si>
    <t>com granulometria 6/14mm</t>
  </si>
  <si>
    <t xml:space="preserve">F.12.08.01.01.03.05.01. </t>
  </si>
  <si>
    <t>Fornecimento e aplicação de brita de origem granítica</t>
  </si>
  <si>
    <t>F.12.08.01.01.03.05.</t>
  </si>
  <si>
    <t>Fornecimento e colocação de gravilha, com granulometria 2/6mm</t>
  </si>
  <si>
    <t>F.12.08.01.01.03.04.</t>
  </si>
  <si>
    <t>Fornecimento e aplicação de pó de pedra</t>
  </si>
  <si>
    <t>F.12.08.01.01.03.03.</t>
  </si>
  <si>
    <t>Fornecimento e aplicação de tout-venant, granulometria extensa 0/31</t>
  </si>
  <si>
    <t>F.12.08.01.01.03.02.</t>
  </si>
  <si>
    <t>Aterro com material de empréstimo selecionado</t>
  </si>
  <si>
    <t>F.12.08.01.01.03.01.</t>
  </si>
  <si>
    <t>Aterros e Macadames</t>
  </si>
  <si>
    <t xml:space="preserve">F.12.08.01.01.03. </t>
  </si>
  <si>
    <t>Fornecimento dos meios necessários (contentor / bidão) para recolha de resíduos</t>
  </si>
  <si>
    <t xml:space="preserve">F.12.08.01.01.02.09.02. </t>
  </si>
  <si>
    <t>Triagem, remoção, carga, transporte, armazenamento e encaminhamento de resíduos  a destino final licenciado</t>
  </si>
  <si>
    <t>F.12.08.01.01.02.09.01.</t>
  </si>
  <si>
    <t>Encaminhamento a destino final licenciado</t>
  </si>
  <si>
    <t>F.12.08.01.01.02.09.</t>
  </si>
  <si>
    <t>Levantamento de prumos de betão de vedação do tipo CP, incluindo picagem dos chumbadouros</t>
  </si>
  <si>
    <t>F.12.08.01.01.02.08.06.</t>
  </si>
  <si>
    <t>Levantamento de vedações em painéis de betão tipo CP</t>
  </si>
  <si>
    <t>F.12.08.01.01.02.08.05.</t>
  </si>
  <si>
    <t>Levantamento de vedação do tipo ovelheira</t>
  </si>
  <si>
    <t xml:space="preserve">F.12.08.01.01.02.08.04. </t>
  </si>
  <si>
    <t>Levantamento de prumos metálicos de vedações</t>
  </si>
  <si>
    <t xml:space="preserve">F.12.08.01.01.02.08.03. </t>
  </si>
  <si>
    <t>Idem em rede metálica</t>
  </si>
  <si>
    <t xml:space="preserve">F.12.08.01.01.02.08.02. </t>
  </si>
  <si>
    <t>Levantamento de vedações em painéis metálicos</t>
  </si>
  <si>
    <t xml:space="preserve">F.12.08.01.01.02.08.01. </t>
  </si>
  <si>
    <t>Vedações</t>
  </si>
  <si>
    <t>F.12.08.01.01.02.08.</t>
  </si>
  <si>
    <t>Demolição de barreiras acústicas de qualquer natureza, incluindo fundações e elementos de suporte</t>
  </si>
  <si>
    <t xml:space="preserve">F.12.08.01.01.02.07.09. </t>
  </si>
  <si>
    <t>Demolição de chaminés de qualquer natureza, incluindo meios de elevação</t>
  </si>
  <si>
    <t xml:space="preserve">F.12.08.01.01.02.07.08. </t>
  </si>
  <si>
    <t>Abertura e tapamento de furos em paredes e tetos de qualquer natureza para passagem de condutas com diâmetro inferior ou igual a 160mm</t>
  </si>
  <si>
    <t xml:space="preserve">F.12.08.01.01.02.07.07. </t>
  </si>
  <si>
    <t>Demolição de edifícios com recurso a meios mecânicos (giratória)</t>
  </si>
  <si>
    <t xml:space="preserve">F.12.08.01.01.02.07.06. </t>
  </si>
  <si>
    <t>Idem para diâmetro superior a 160mm e inferior a 250mm</t>
  </si>
  <si>
    <t>F.12.08.01.01.02.07.05.</t>
  </si>
  <si>
    <t>Abertura e tapamento de roços em pavimento para passagem de canalizações de água e esgoto com até ao diâmetro de 160mm</t>
  </si>
  <si>
    <t xml:space="preserve">F.12.08.01.01.02.07.04. </t>
  </si>
  <si>
    <t>Idem em paredes de alvenaria de tijolo</t>
  </si>
  <si>
    <t xml:space="preserve">F.12.08.01.01.02.07.03. </t>
  </si>
  <si>
    <t>Abertura e tapamento de roços em paredes de alvenaria de pedra</t>
  </si>
  <si>
    <t xml:space="preserve">F.12.08.01.01.02.07.02. </t>
  </si>
  <si>
    <t>Demolição de peças ou maciços em betão armado</t>
  </si>
  <si>
    <t xml:space="preserve">F.12.08.01.01.02.07.01. </t>
  </si>
  <si>
    <t>F.12.08.01.01.02.07.</t>
  </si>
  <si>
    <t>Levantamento, armazenamento temporário e recolocação das telhas cerâmicas de qualquer tipo</t>
  </si>
  <si>
    <t xml:space="preserve">F.12.08.01.01.02.06.15. </t>
  </si>
  <si>
    <t>Levantamento de beirado</t>
  </si>
  <si>
    <t xml:space="preserve">F.12.08.01.01.02.06.14. </t>
  </si>
  <si>
    <t>Demolição de coberturas em laje pré-fabricadas</t>
  </si>
  <si>
    <t xml:space="preserve">F.12.08.01.01.02.06.13. </t>
  </si>
  <si>
    <t>Desmonte de chapas de fibrocimento com amianto</t>
  </si>
  <si>
    <t xml:space="preserve">F.12.08.01.01.02.06.12. </t>
  </si>
  <si>
    <t>Levantamento de tela de impermeabilização de qualquer tipo, incluindo limpeza, regularização da base</t>
  </si>
  <si>
    <t xml:space="preserve">F.12.08.01.01.02.06.11. </t>
  </si>
  <si>
    <t>Levantamento de rufos, caleiras e algerozes de qualquer natureza</t>
  </si>
  <si>
    <t xml:space="preserve">F.12.08.01.01.02.06.10. </t>
  </si>
  <si>
    <t>Idem em alumínio</t>
  </si>
  <si>
    <t xml:space="preserve">F.12.08.01.01.02.06.09. </t>
  </si>
  <si>
    <t>Desmonte e transporte de estrutura metálica de suporte</t>
  </si>
  <si>
    <t>F.12.08.01.01.02.06.08.</t>
  </si>
  <si>
    <t>Desmonte e transporte de estruturas de madeira</t>
  </si>
  <si>
    <t xml:space="preserve">F.12.08.01.01.02.06.07. </t>
  </si>
  <si>
    <t>Desmonte de madres e frechais de madeira</t>
  </si>
  <si>
    <t xml:space="preserve">F.12.08.01.01.02.06.06. </t>
  </si>
  <si>
    <t>Desmonte e transporte de varedo e ripado em madeira</t>
  </si>
  <si>
    <t xml:space="preserve">F.12.08.01.01.02.06.05. </t>
  </si>
  <si>
    <t>Idem em telha cerâmica</t>
  </si>
  <si>
    <t>F.12.08.01.01.02.06.04.</t>
  </si>
  <si>
    <t>Idem em placas de vidro laminado termoendurecido</t>
  </si>
  <si>
    <t>F.12.08.01.01.02.06.03.</t>
  </si>
  <si>
    <t>Idem em policarbonato compacto ou alveolar</t>
  </si>
  <si>
    <t>F.12.08.01.01.02.06.02.</t>
  </si>
  <si>
    <t>Levantamento de chapas metálicas</t>
  </si>
  <si>
    <t xml:space="preserve">F.12.08.01.01.02.06.01. </t>
  </si>
  <si>
    <t>Coberturas</t>
  </si>
  <si>
    <t>F.12.08.01.01.02.06.</t>
  </si>
  <si>
    <t>Idem bancas de lavatórios</t>
  </si>
  <si>
    <t>F.12.08.01.01.02.05.04.</t>
  </si>
  <si>
    <t>Idem para divisórias de banheira ou chuveiro</t>
  </si>
  <si>
    <t>F.12.08.01.01.02.05.03.</t>
  </si>
  <si>
    <t>Idem para banheiras e bases de chuveiro</t>
  </si>
  <si>
    <t>F.12.08.01.01.02.05.02.</t>
  </si>
  <si>
    <t>Levantamento de aparelhos sanitários, nomeadamente lavatórios, bidés, sanitas, urinóis, turcas</t>
  </si>
  <si>
    <t>F.12.08.01.01.02.05.01.</t>
  </si>
  <si>
    <t>Loiças Sanitárias</t>
  </si>
  <si>
    <t>F.12.08.01.01.02.05.</t>
  </si>
  <si>
    <t>Levantamento de caixilharia em madeira, alumínio, PVC ou ferro, em vãos de janelas, portas ou outros</t>
  </si>
  <si>
    <t xml:space="preserve">F.12.08.01.01.02.04.01. </t>
  </si>
  <si>
    <t>Caixilharias</t>
  </si>
  <si>
    <t>F.12.08.01.01.02.04.</t>
  </si>
  <si>
    <t>Demolição de teto falso de diversos tipos e natureza</t>
  </si>
  <si>
    <t xml:space="preserve">F.12.08.01.01.02.03.04. </t>
  </si>
  <si>
    <t>Levantamento de teto falso</t>
  </si>
  <si>
    <t xml:space="preserve">F.12.08.01.01.02.03.03. </t>
  </si>
  <si>
    <t>Levantamento de estafe estucado</t>
  </si>
  <si>
    <t>F.12.08.01.01.02.03.02.</t>
  </si>
  <si>
    <t>Levantamento de forro de madeira</t>
  </si>
  <si>
    <t>F.12.08.01.01.02.03.01.</t>
  </si>
  <si>
    <t>F.12.08.01.01.02.03.</t>
  </si>
  <si>
    <t>Levantamento de telas de pavimento não coladas (manta geo textil, tela PVC, telas anti germinantes, etc.)</t>
  </si>
  <si>
    <t xml:space="preserve">F.12.08.01.01.02.02.09. </t>
  </si>
  <si>
    <t>Picagem de betonilha em pavimentos, até 10cm de espessura</t>
  </si>
  <si>
    <t xml:space="preserve">F.12.08.01.01.02.02.08. </t>
  </si>
  <si>
    <t>Idem, em calçada</t>
  </si>
  <si>
    <t xml:space="preserve">F.12.08.01.01.02.02.07. </t>
  </si>
  <si>
    <t>Levantamento de lajetas pré-fabricadas em pavimentos</t>
  </si>
  <si>
    <t>F.12.08.01.01.02.02.06.</t>
  </si>
  <si>
    <t>Idem entre 0,21m e 0,30m de espessura</t>
  </si>
  <si>
    <t>F.12.08.01.01.02.02.05.03.</t>
  </si>
  <si>
    <t>Idem entre 0,11m e 0,20m de espessura</t>
  </si>
  <si>
    <t>F.12.08.01.01.02.02.05.02.</t>
  </si>
  <si>
    <t>Até 0,10m de espessura</t>
  </si>
  <si>
    <t xml:space="preserve">F.12.08.01.01.02.02.05.01. </t>
  </si>
  <si>
    <t>Demolição de pavimento em betuminoso</t>
  </si>
  <si>
    <t xml:space="preserve">F.12.08.01.01.02.02.05. </t>
  </si>
  <si>
    <t>Picagem e levantamento de betonilha em pavimentos até 0,05m de espessura</t>
  </si>
  <si>
    <t xml:space="preserve">F.12.08.01.01.02.02.04. </t>
  </si>
  <si>
    <t>Idem em solho em pavimentos</t>
  </si>
  <si>
    <t>F.12.08.01.01.02.02.03.</t>
  </si>
  <si>
    <t>Idem em mosaico hidráulico em pavimentos</t>
  </si>
  <si>
    <t>F.12.08.01.01.02.02.02.</t>
  </si>
  <si>
    <t>Levantamento de tacos, alcatifa, parquet, mosaico em corticite, mosaico vinílico, linóleo, etc,</t>
  </si>
  <si>
    <t>F.12.08.01.01.02.02.01.</t>
  </si>
  <si>
    <t>Pavimentos</t>
  </si>
  <si>
    <t>F.12.08.01.01.02.02.</t>
  </si>
  <si>
    <t>Demolições de paredes em gesso cartonado</t>
  </si>
  <si>
    <t xml:space="preserve">F.12.08.01.01.02.01.21. </t>
  </si>
  <si>
    <t>Desmonte de divisórias amovíveis</t>
  </si>
  <si>
    <t xml:space="preserve">F.12.08.01.01.02.01.20. </t>
  </si>
  <si>
    <t>Levantamento de forro de madeira, PVC, corticite ou painéis em chapa em paredes</t>
  </si>
  <si>
    <t xml:space="preserve">F.12.08.01.01.02.01.19. </t>
  </si>
  <si>
    <t>Levantamento de lambris de azulejo ou forra de pedra em paredes</t>
  </si>
  <si>
    <t xml:space="preserve">F.12.08.01.01.02.01.18. </t>
  </si>
  <si>
    <t>Abertura de fissuras em paredes para posterior tratamento.</t>
  </si>
  <si>
    <t xml:space="preserve">F.12.08.01.01.02.01.17. </t>
  </si>
  <si>
    <t>Picagem de encasque em paredes de pedra</t>
  </si>
  <si>
    <t xml:space="preserve">F.12.08.01.01.02.01.16. </t>
  </si>
  <si>
    <t>Picagem de reboco em paredes de alvenaria ou pedra</t>
  </si>
  <si>
    <t xml:space="preserve">F.12.08.01.01.02.01.15. </t>
  </si>
  <si>
    <t>Demolição de paredes de tabique</t>
  </si>
  <si>
    <t>F.12.08.01.01.02.01.14.</t>
  </si>
  <si>
    <t>Demolição de paredes de betão</t>
  </si>
  <si>
    <t>F.12.08.01.01.02.01.13.</t>
  </si>
  <si>
    <t>Idem para espessura de 51 a 70 cm</t>
  </si>
  <si>
    <t>F.12.08.01.01.02.01.12.</t>
  </si>
  <si>
    <t>Idem para espessura de 31 a 50 cm</t>
  </si>
  <si>
    <t>F.12.08.01.01.02.01.11.</t>
  </si>
  <si>
    <t>Idem para espessura de 21 a 30 cm</t>
  </si>
  <si>
    <t>F.12.08.01.01.02.01.10.</t>
  </si>
  <si>
    <t>Demolição de paredes com espessura de 10 a 20 cm, em alvenaria de tijolo maciço ou alvenaria de pedra</t>
  </si>
  <si>
    <t xml:space="preserve">F.12.08.01.01.02.01.09. </t>
  </si>
  <si>
    <t>Idem para espessura de 41 a 50 cm</t>
  </si>
  <si>
    <t xml:space="preserve">F.12.08.01.01.02.01.08. </t>
  </si>
  <si>
    <t>Idem para espessura de 31 a 40 cm</t>
  </si>
  <si>
    <t xml:space="preserve">F.12.08.01.01.02.01.07. </t>
  </si>
  <si>
    <t>F.12.08.01.01.02.01.06.</t>
  </si>
  <si>
    <t>Demolição de paredes com espessura de 10 a 20 cm, em alvenaria de tijolo ou blocos de cimento</t>
  </si>
  <si>
    <t xml:space="preserve">F.12.08.01.01.02.01.05. </t>
  </si>
  <si>
    <t>F.12.08.01.01.02.01.04.</t>
  </si>
  <si>
    <t>F.12.08.01.01.02.01.03.</t>
  </si>
  <si>
    <t xml:space="preserve">F.12.08.01.01.02.01.02. </t>
  </si>
  <si>
    <t>Demolição de paredes com espessura de 10 a 20 cm, em alvenaria de tijolo ou blocos de cimento para abertura de vãos de portas, janelas e outros</t>
  </si>
  <si>
    <t xml:space="preserve">F.12.08.01.01.02.01.01. </t>
  </si>
  <si>
    <t>Paredes (incluindo revestimentos)</t>
  </si>
  <si>
    <t>F.12.08.01.01.02.01.</t>
  </si>
  <si>
    <t>Demolições</t>
  </si>
  <si>
    <t xml:space="preserve">F.12.08.01.01.02. </t>
  </si>
  <si>
    <t>Limpeza de terras e lixos urbanos em plataformas, e áreas envolventes de estações, apeadeiros e outras edificações.</t>
  </si>
  <si>
    <t xml:space="preserve">F.12.08.01.01.01.02.19. </t>
  </si>
  <si>
    <t>Aplicação de emulsão betuminosa em árvores de qualquer natureza.</t>
  </si>
  <si>
    <t xml:space="preserve">F.12.08.01.01.01.02.18. </t>
  </si>
  <si>
    <t>Tratamentos fitossanitários em árvores.</t>
  </si>
  <si>
    <t xml:space="preserve">F.12.08.01.01.01.02.17. </t>
  </si>
  <si>
    <t>Remoção de cepos, incluindo remoção de detritos a destino final autorizado ou local a designar pela IP.</t>
  </si>
  <si>
    <t xml:space="preserve">F.12.08.01.01.01.02.16. </t>
  </si>
  <si>
    <t>Idem, superior a 0,80.</t>
  </si>
  <si>
    <t xml:space="preserve">F.12.08.01.01.01.02.15. </t>
  </si>
  <si>
    <t>Idem, entre 0,50 e 0,80.</t>
  </si>
  <si>
    <t xml:space="preserve">F.12.08.01.01.01.02.14. </t>
  </si>
  <si>
    <t>Abate de árvores, com DAP (diâmetro à altura do peito) entre 0,15 e 0,50m, incluindo remoção de detritos a destino final autorizado ou local a designar pela IP.</t>
  </si>
  <si>
    <t xml:space="preserve">F.12.08.01.01.01.02.13. </t>
  </si>
  <si>
    <t>Poda de árvores de altura superior a 10 metros com recurso a equipamento mecânico e remoção de detritos a destino final autorizado ou local a designar.</t>
  </si>
  <si>
    <t xml:space="preserve">F.12.08.01.01.01.02.12. </t>
  </si>
  <si>
    <t>Poda de árvores até uma altura inferior ou igual a 10 metros com recurso a equipamento mecânico e remoção de detritos a destino final autorizado ou local a designar</t>
  </si>
  <si>
    <t xml:space="preserve">F.12.08.01.01.01.02.11. </t>
  </si>
  <si>
    <t>Deservagem de plataformas e áreas envolventes de estações e apeadeiros</t>
  </si>
  <si>
    <t xml:space="preserve">F.12.08.01.01.01.02.10. </t>
  </si>
  <si>
    <t>Desmatação de coberto vegetal, incluindo canas, silvas, arbustros de pequeno porte e todo o tipo de vegetação rasteira com recurso a equipamento mecânico, remoção de detritos a destino final autorizado e aplicação de deservagem química, tipo "Roundap", ou equivalente.</t>
  </si>
  <si>
    <t xml:space="preserve">F.12.08.01.01.01.02.09. </t>
  </si>
  <si>
    <t>Desmatação de coberto vegetal, incluindo canas, silvas, arbustros de pequeno porte e todo o tipo de vegetação rasteira com recurso a equipamento mecânico e remoção de detritos a destino final autorizado.</t>
  </si>
  <si>
    <t xml:space="preserve">F.12.08.01.01.01.02.08. </t>
  </si>
  <si>
    <t>Limpeza de grelhas tipo POLIDRAIN</t>
  </si>
  <si>
    <t>F.12.08.01.01.01.02.07.</t>
  </si>
  <si>
    <t>Limpeza de aquedutos até D1000 mm</t>
  </si>
  <si>
    <t>F.12.08.01.01.01.02.06.</t>
  </si>
  <si>
    <t>Limpeza de aquedutos até D600 mm</t>
  </si>
  <si>
    <t xml:space="preserve">F.12.08.01.01.01.02.05. </t>
  </si>
  <si>
    <t>Limpeza de valetas betonadas, quaisquer que sejam as suas dimensões</t>
  </si>
  <si>
    <t xml:space="preserve">F.12.08.01.01.01.02.04. </t>
  </si>
  <si>
    <t>Limpeza de valetas pré-fabricadas tipo CP</t>
  </si>
  <si>
    <t xml:space="preserve">F.12.08.01.01.01.02.03. </t>
  </si>
  <si>
    <t>Limpeza de valetas em terra</t>
  </si>
  <si>
    <t xml:space="preserve">F.12.08.01.01.01.02.02. </t>
  </si>
  <si>
    <t>Aplicação de um ou mais herbicidas em associação. "2.4.5 T". "2.4-D". sulfanato de amónio ou outros</t>
  </si>
  <si>
    <t xml:space="preserve">F.12.08.01.01.01.02.01. </t>
  </si>
  <si>
    <t>Desmatações e Limpezas</t>
  </si>
  <si>
    <t>F.12.08.01.01.01.02.</t>
  </si>
  <si>
    <t>Idem, até uma profundidade de 1,20m</t>
  </si>
  <si>
    <t xml:space="preserve">F.12.08.01.01.01.01.13. </t>
  </si>
  <si>
    <t>Terraplanagem em terreno de qualquer natureza para redefinição de forma</t>
  </si>
  <si>
    <t xml:space="preserve">F.12.08.01.01.01.01.12. </t>
  </si>
  <si>
    <t>Remoção de camada de terra vegetal de qualquer natureza, até 0,20m de profundidade</t>
  </si>
  <si>
    <t xml:space="preserve">F.12.08.01.01.01.01.11. </t>
  </si>
  <si>
    <t>Escavação em rocha</t>
  </si>
  <si>
    <t xml:space="preserve">F.12.08.01.01.01.01.10. </t>
  </si>
  <si>
    <t>Escavação de terreno de qualquer natureza</t>
  </si>
  <si>
    <t xml:space="preserve">F.12.08.01.01.01.01.09. </t>
  </si>
  <si>
    <t>Idem, com algaliamento em tubo PEAD</t>
  </si>
  <si>
    <t xml:space="preserve">F.12.08.01.01.01.01.08. </t>
  </si>
  <si>
    <t>Execução de atravessamentos à via férrea por perfuração mecânica dirigida, até 600mm de diâmetro</t>
  </si>
  <si>
    <t xml:space="preserve">F.12.08.01.01.01.01.07. </t>
  </si>
  <si>
    <t>Idem, em travessias na via ferroviária c/ 0,80mx1,30m</t>
  </si>
  <si>
    <t xml:space="preserve">F.12.08.01.01.01.01.06. </t>
  </si>
  <si>
    <t>Escavação manual para abertura de valas até 1,20m de profundidade</t>
  </si>
  <si>
    <t>F.12.08.01.01.01.01.05.</t>
  </si>
  <si>
    <t xml:space="preserve">F.12.08.01.01.01.01.04. </t>
  </si>
  <si>
    <t>Idem, para valas de profundidade entre 2,00 e 3,00m</t>
  </si>
  <si>
    <t xml:space="preserve">F.12.08.01.01.01.01.03. </t>
  </si>
  <si>
    <t>Idem, para valas de profundidade entre 1,20 e 2,00m</t>
  </si>
  <si>
    <t>F.12.08.01.01.01.01.02.</t>
  </si>
  <si>
    <t>Escavação mecânica em qualquer natureza de terreno para abertura de valas até 1,20m de profundidade</t>
  </si>
  <si>
    <t>F.12.08.01.01.01.01.01.</t>
  </si>
  <si>
    <t>Escavações e Perfurações</t>
  </si>
  <si>
    <t>F.12.08.01.01.01.01.</t>
  </si>
  <si>
    <t>Movimento de Terras</t>
  </si>
  <si>
    <t xml:space="preserve">F.12.08.01.01.01. </t>
  </si>
  <si>
    <t>Movimentos de Terras e Demolições</t>
  </si>
  <si>
    <t xml:space="preserve">F.12.08.01.01. </t>
  </si>
  <si>
    <t>Construção Civil (Edifícios / Cais de Passageiros / Outras Construções)</t>
  </si>
  <si>
    <t>F.12.08.01.</t>
  </si>
  <si>
    <t>EDIFICAÇÕES</t>
  </si>
  <si>
    <t>F.12.08.</t>
  </si>
  <si>
    <t>MANUTENÇÃO</t>
  </si>
  <si>
    <t>Preço Unitário</t>
  </si>
  <si>
    <t>GARANTIA</t>
  </si>
  <si>
    <t>Un</t>
  </si>
  <si>
    <t>DESIGNAÇÃO DOS CAPÍTULOS
IDENTIFICAÇÃO DOS TRABALHOS</t>
  </si>
  <si>
    <t>CÓDIGO
CAP</t>
  </si>
  <si>
    <t>ANEXO C - LISTA DE PREÇOS UNITÁRIOS</t>
  </si>
  <si>
    <t>Manutenção Preventiva Condicionada cp (MPCcp)</t>
  </si>
  <si>
    <t>UNITÁRIOS</t>
  </si>
  <si>
    <t>VALOR</t>
  </si>
  <si>
    <t>PREÇOS</t>
  </si>
  <si>
    <t>QT</t>
  </si>
  <si>
    <t>UNI</t>
  </si>
  <si>
    <t>DESIGNAÇÃO DOS TRABALHOS</t>
  </si>
  <si>
    <t>Quantificação prévia</t>
  </si>
  <si>
    <t>Descrição dos trabalhos:</t>
  </si>
  <si>
    <t>Local de Intervenção:</t>
  </si>
  <si>
    <t>Ref. Arco:</t>
  </si>
  <si>
    <t>C Custo:</t>
  </si>
  <si>
    <t>Requisição:</t>
  </si>
  <si>
    <t>T. Ação:</t>
  </si>
  <si>
    <t>x</t>
  </si>
  <si>
    <t>Tipo de intervcenção / ação:</t>
  </si>
  <si>
    <t>Manutenção Preventiva Condicionada lp (MPClp)</t>
  </si>
  <si>
    <t xml:space="preserve">Manutenção Corretiva Normal </t>
  </si>
  <si>
    <t>Manutenção Corretiva urgente</t>
  </si>
  <si>
    <t>Custo estimado da intervenção:</t>
  </si>
  <si>
    <t>Cod. LPU</t>
  </si>
  <si>
    <t>AÇÃO SIGMA :</t>
  </si>
  <si>
    <t>F.12.</t>
  </si>
  <si>
    <t xml:space="preserve">Data: </t>
  </si>
  <si>
    <t>REQUISIÇÃO DE TRABALHOS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</si>
</sst>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2" formatCode="_-* #,##0\ &quot;€&quot;_-;\-* #,##0\ &quot;€&quot;_-;_-* &quot;-&quot;\ &quot;€&quot;_-;_-@_-"/>
    <numFmt numFmtId="44" formatCode="_-* #,##0.00\ &quot;€&quot;_-;\-* #,##0.00\ &quot;€&quot;_-;_-* &quot;-&quot;??\ &quot;€&quot;_-;_-@_-"/>
    <numFmt numFmtId="164" formatCode="#,##0.00\ &quot;€&quot;"/>
    <numFmt numFmtId="165" formatCode="#,###&quot;$&quot;"/>
    <numFmt numFmtId="166" formatCode="dd/mm/yyyy;@"/>
    <numFmt numFmtId="167" formatCode="_-* #,##0.00\ [$€-1]_-;\-* #,##0.00\ [$€-1]_-;_-* &quot;-&quot;??\ [$€-1]_-"/>
    <numFmt numFmtId="168" formatCode="#,###\$"/>
    <numFmt numFmtId="169" formatCode="_-* #,##0.00&quot; €&quot;_-;\-* #,##0.00&quot; €&quot;_-;_-* \-??&quot; €&quot;_-;_-@_-"/>
    <numFmt numFmtId="171" formatCode="&quot;Requisição&quot;\ 0&quot;-2021/10006869&quot;"/>
    <numFmt numFmtId="172" formatCode="0&quot;-2024/5010043367lt2&quot;"/>
  </numFmts>
  <fonts count="34" x14ac:knownFonts="1">
    <font>
      <sz val="10"/>
      <color theme="1"/>
      <name val="Arial"/>
      <family val="2"/>
    </font>
    <font>
      <sz val="10"/>
      <color theme="1"/>
      <name val="Arial"/>
      <family val="2"/>
    </font>
    <font>
      <sz val="10"/>
      <name val="Arial"/>
      <family val="2"/>
    </font>
    <font>
      <b/>
      <sz val="10"/>
      <color theme="1"/>
      <name val="Arial"/>
      <family val="2"/>
    </font>
    <font>
      <b/>
      <sz val="10"/>
      <name val="Arial"/>
      <family val="2"/>
    </font>
    <font>
      <b/>
      <sz val="10"/>
      <name val="Calibri"/>
      <family val="2"/>
    </font>
    <font>
      <sz val="12"/>
      <name val="Calibri"/>
      <family val="2"/>
    </font>
    <font>
      <sz val="10"/>
      <name val="Calibri"/>
      <family val="2"/>
    </font>
    <font>
      <b/>
      <sz val="12"/>
      <name val="Calibri"/>
      <family val="2"/>
    </font>
    <font>
      <b/>
      <sz val="9"/>
      <color indexed="81"/>
      <name val="Tahoma"/>
      <family val="2"/>
    </font>
    <font>
      <sz val="9"/>
      <color indexed="81"/>
      <name val="Tahoma"/>
      <family val="2"/>
    </font>
    <font>
      <sz val="10"/>
      <name val="Arial"/>
      <family val="2"/>
    </font>
    <font>
      <u/>
      <sz val="10"/>
      <color indexed="12"/>
      <name val="Arial"/>
      <family val="2"/>
    </font>
    <font>
      <b/>
      <sz val="8"/>
      <color indexed="81"/>
      <name val="Tahoma"/>
      <family val="2"/>
    </font>
    <font>
      <sz val="8"/>
      <color indexed="81"/>
      <name val="Tahoma"/>
      <family val="2"/>
    </font>
    <font>
      <sz val="10"/>
      <name val="Century Gothic"/>
      <family val="2"/>
    </font>
    <font>
      <sz val="8.5"/>
      <name val="Century Gothic"/>
      <family val="2"/>
    </font>
    <font>
      <b/>
      <sz val="11"/>
      <color indexed="60"/>
      <name val="Century Gothic"/>
      <family val="2"/>
    </font>
    <font>
      <b/>
      <sz val="8"/>
      <name val="Century Gothic"/>
      <family val="2"/>
    </font>
    <font>
      <b/>
      <sz val="8.5"/>
      <name val="Century Gothic"/>
      <family val="2"/>
    </font>
    <font>
      <sz val="10"/>
      <color theme="5" tint="-0.499984740745262"/>
      <name val="Arial"/>
      <family val="2"/>
    </font>
    <font>
      <sz val="4"/>
      <color theme="5" tint="-0.499984740745262"/>
      <name val="Arial"/>
      <family val="2"/>
    </font>
    <font>
      <sz val="10"/>
      <color theme="5" tint="-0.499984740745262"/>
      <name val="Century Gothic"/>
      <family val="2"/>
    </font>
    <font>
      <sz val="8"/>
      <color indexed="9"/>
      <name val="Century Gothic"/>
      <family val="2"/>
    </font>
    <font>
      <b/>
      <sz val="10"/>
      <name val="Century Gothic"/>
      <family val="2"/>
    </font>
    <font>
      <sz val="10"/>
      <color indexed="9"/>
      <name val="Century Gothic"/>
      <family val="2"/>
    </font>
    <font>
      <b/>
      <sz val="9"/>
      <name val="Century Gothic"/>
      <family val="2"/>
    </font>
    <font>
      <sz val="10"/>
      <color indexed="18"/>
      <name val="Century Gothic"/>
      <family val="2"/>
    </font>
    <font>
      <b/>
      <sz val="11"/>
      <name val="Century Gothic"/>
      <family val="2"/>
    </font>
    <font>
      <b/>
      <sz val="10"/>
      <color indexed="18"/>
      <name val="Century Gothic"/>
      <family val="2"/>
    </font>
    <font>
      <sz val="10"/>
      <name val="Calibri"/>
      <family val="2"/>
      <charset val="1"/>
    </font>
    <font>
      <sz val="10"/>
      <color theme="1" tint="0.249977111117893"/>
      <name val="Arial"/>
      <family val="2"/>
    </font>
    <font>
      <sz val="8"/>
      <color indexed="8"/>
      <name val="Century Gothic"/>
      <family val="2"/>
    </font>
    <font>
      <b/>
      <sz val="9"/>
      <color theme="1"/>
      <name val="Arial"/>
      <family val="2"/>
    </font>
  </fonts>
  <fills count="8">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gray125">
        <fgColor indexed="22"/>
      </patternFill>
    </fill>
    <fill>
      <patternFill patternType="solid">
        <fgColor theme="1" tint="0.249977111117893"/>
        <bgColor indexed="64"/>
      </patternFill>
    </fill>
    <fill>
      <patternFill patternType="solid">
        <fgColor theme="0" tint="-0.14999847407452621"/>
        <bgColor indexed="64"/>
      </patternFill>
    </fill>
  </fills>
  <borders count="39">
    <border>
      <left/>
      <right/>
      <top/>
      <bottom/>
      <diagonal/>
    </border>
    <border>
      <left style="thin">
        <color indexed="64"/>
      </left>
      <right style="thin">
        <color indexed="64"/>
      </right>
      <top/>
      <bottom style="thin">
        <color indexed="64"/>
      </bottom>
      <diagonal/>
    </border>
    <border>
      <left style="thin">
        <color auto="1"/>
      </left>
      <right style="thin">
        <color auto="1"/>
      </right>
      <top style="hair">
        <color auto="1"/>
      </top>
      <bottom style="thin">
        <color auto="1"/>
      </bottom>
      <diagonal/>
    </border>
    <border>
      <left style="thin">
        <color indexed="64"/>
      </left>
      <right style="thin">
        <color indexed="64"/>
      </right>
      <top/>
      <bottom/>
      <diagonal/>
    </border>
    <border>
      <left style="thin">
        <color auto="1"/>
      </left>
      <right style="thin">
        <color auto="1"/>
      </right>
      <top style="hair">
        <color auto="1"/>
      </top>
      <bottom style="hair">
        <color auto="1"/>
      </bottom>
      <diagonal/>
    </border>
    <border>
      <left style="thin">
        <color auto="1"/>
      </left>
      <right style="thin">
        <color auto="1"/>
      </right>
      <top style="thin">
        <color auto="1"/>
      </top>
      <bottom style="hair">
        <color auto="1"/>
      </bottom>
      <diagonal/>
    </border>
    <border>
      <left style="thin">
        <color auto="1"/>
      </left>
      <right style="thin">
        <color auto="1"/>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diagonal/>
    </border>
    <border>
      <left style="thin">
        <color indexed="64"/>
      </left>
      <right style="thin">
        <color indexed="64"/>
      </right>
      <top style="hair">
        <color indexed="64"/>
      </top>
      <bottom/>
      <diagonal/>
    </border>
    <border>
      <left style="medium">
        <color indexed="64"/>
      </left>
      <right style="thin">
        <color indexed="64"/>
      </right>
      <top style="hair">
        <color indexed="64"/>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hair">
        <color indexed="64"/>
      </top>
      <bottom style="thin">
        <color indexed="64"/>
      </bottom>
      <diagonal/>
    </border>
    <border>
      <left/>
      <right/>
      <top style="hair">
        <color indexed="64"/>
      </top>
      <bottom style="thin">
        <color indexed="64"/>
      </bottom>
      <diagonal/>
    </border>
    <border>
      <left style="medium">
        <color indexed="64"/>
      </left>
      <right/>
      <top style="hair">
        <color indexed="64"/>
      </top>
      <bottom style="thin">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s>
  <cellStyleXfs count="9">
    <xf numFmtId="0" fontId="0" fillId="0" borderId="0"/>
    <xf numFmtId="44" fontId="1" fillId="0" borderId="0" applyFont="0" applyFill="0" applyBorder="0" applyAlignment="0" applyProtection="0"/>
    <xf numFmtId="0" fontId="11" fillId="0" borderId="0"/>
    <xf numFmtId="0" fontId="12" fillId="0" borderId="0" applyNumberFormat="0" applyFill="0" applyBorder="0" applyAlignment="0" applyProtection="0">
      <alignment vertical="top"/>
      <protection locked="0"/>
    </xf>
    <xf numFmtId="9" fontId="11" fillId="0" borderId="0" applyFont="0" applyFill="0" applyBorder="0" applyAlignment="0" applyProtection="0"/>
    <xf numFmtId="167" fontId="11" fillId="0" borderId="0" applyFont="0" applyFill="0" applyBorder="0" applyAlignment="0" applyProtection="0"/>
    <xf numFmtId="42" fontId="11" fillId="0" borderId="0" applyFont="0" applyFill="0" applyBorder="0" applyAlignment="0" applyProtection="0"/>
    <xf numFmtId="169" fontId="30" fillId="0" borderId="0"/>
    <xf numFmtId="44" fontId="11" fillId="0" borderId="0" applyFont="0" applyFill="0" applyBorder="0" applyAlignment="0" applyProtection="0"/>
  </cellStyleXfs>
  <cellXfs count="122">
    <xf numFmtId="0" fontId="0" fillId="0" borderId="0" xfId="0"/>
    <xf numFmtId="0" fontId="3" fillId="0" borderId="0" xfId="0" applyFont="1"/>
    <xf numFmtId="44" fontId="0" fillId="0" borderId="1" xfId="1" applyFont="1" applyBorder="1"/>
    <xf numFmtId="0" fontId="2" fillId="2" borderId="2" xfId="0" applyFont="1" applyFill="1" applyBorder="1" applyAlignment="1" applyProtection="1">
      <alignment horizontal="center" wrapText="1"/>
      <protection locked="0"/>
    </xf>
    <xf numFmtId="44" fontId="0" fillId="0" borderId="3" xfId="1" applyFont="1" applyBorder="1"/>
    <xf numFmtId="0" fontId="2" fillId="3" borderId="4" xfId="0" applyFont="1" applyFill="1" applyBorder="1" applyAlignment="1" applyProtection="1">
      <alignment horizontal="center" wrapText="1"/>
      <protection locked="0"/>
    </xf>
    <xf numFmtId="0" fontId="3" fillId="3" borderId="4" xfId="0" applyFont="1" applyFill="1" applyBorder="1" applyAlignment="1" applyProtection="1">
      <alignment vertical="top" wrapText="1"/>
      <protection locked="0"/>
    </xf>
    <xf numFmtId="0" fontId="3" fillId="3" borderId="4" xfId="0" applyFont="1" applyFill="1" applyBorder="1" applyProtection="1">
      <protection locked="0"/>
    </xf>
    <xf numFmtId="0" fontId="2" fillId="2" borderId="4" xfId="0" applyFont="1" applyFill="1" applyBorder="1" applyAlignment="1" applyProtection="1">
      <alignment horizontal="center" wrapText="1"/>
      <protection locked="0"/>
    </xf>
    <xf numFmtId="0" fontId="2" fillId="3" borderId="5" xfId="0" applyFont="1" applyFill="1" applyBorder="1" applyAlignment="1" applyProtection="1">
      <alignment horizontal="center" wrapText="1"/>
      <protection locked="0"/>
    </xf>
    <xf numFmtId="0" fontId="3" fillId="3" borderId="5" xfId="0" applyFont="1" applyFill="1" applyBorder="1" applyAlignment="1" applyProtection="1">
      <alignment vertical="top" wrapText="1"/>
      <protection locked="0"/>
    </xf>
    <xf numFmtId="0" fontId="3" fillId="3" borderId="5" xfId="0" applyFont="1" applyFill="1" applyBorder="1" applyProtection="1">
      <protection locked="0"/>
    </xf>
    <xf numFmtId="0" fontId="3" fillId="3" borderId="4" xfId="0" applyFont="1" applyFill="1" applyBorder="1" applyAlignment="1" applyProtection="1">
      <alignment vertical="center"/>
      <protection locked="0"/>
    </xf>
    <xf numFmtId="0" fontId="4" fillId="3" borderId="4" xfId="0" applyFont="1" applyFill="1" applyBorder="1" applyAlignment="1" applyProtection="1">
      <alignment horizontal="center" wrapText="1"/>
      <protection locked="0"/>
    </xf>
    <xf numFmtId="0" fontId="4" fillId="3" borderId="4" xfId="0" applyFont="1" applyFill="1" applyBorder="1" applyAlignment="1" applyProtection="1">
      <alignment vertical="top" wrapText="1"/>
      <protection locked="0"/>
    </xf>
    <xf numFmtId="0" fontId="3" fillId="3" borderId="4" xfId="0" applyFont="1" applyFill="1" applyBorder="1" applyAlignment="1" applyProtection="1">
      <alignment horizontal="left" wrapText="1"/>
      <protection locked="0"/>
    </xf>
    <xf numFmtId="0" fontId="2" fillId="3" borderId="6" xfId="0" applyFont="1" applyFill="1" applyBorder="1" applyAlignment="1" applyProtection="1">
      <alignment horizontal="center" wrapText="1"/>
      <protection locked="0"/>
    </xf>
    <xf numFmtId="0" fontId="3" fillId="3" borderId="6" xfId="0" applyFont="1" applyFill="1" applyBorder="1" applyAlignment="1" applyProtection="1">
      <alignment horizontal="left" vertical="top" wrapText="1"/>
      <protection locked="0"/>
    </xf>
    <xf numFmtId="0" fontId="3" fillId="3" borderId="6" xfId="0" applyFont="1" applyFill="1" applyBorder="1" applyAlignment="1" applyProtection="1">
      <alignment horizontal="left" wrapText="1"/>
      <protection locked="0"/>
    </xf>
    <xf numFmtId="0" fontId="3" fillId="0" borderId="7" xfId="0" applyFont="1" applyBorder="1" applyAlignment="1">
      <alignment horizontal="center" vertical="center" wrapText="1"/>
    </xf>
    <xf numFmtId="1" fontId="5" fillId="0" borderId="7" xfId="0" applyNumberFormat="1" applyFont="1" applyBorder="1" applyAlignment="1" applyProtection="1">
      <alignment horizontal="center" vertical="center" wrapText="1"/>
      <protection locked="0"/>
    </xf>
    <xf numFmtId="0" fontId="5" fillId="0" borderId="7" xfId="0" applyFont="1" applyBorder="1" applyAlignment="1" applyProtection="1">
      <alignment horizontal="center" vertical="top" wrapText="1"/>
      <protection locked="0"/>
    </xf>
    <xf numFmtId="0" fontId="5" fillId="0" borderId="7" xfId="0" applyFont="1" applyBorder="1" applyAlignment="1" applyProtection="1">
      <alignment horizontal="center" vertical="center" wrapText="1"/>
      <protection locked="0"/>
    </xf>
    <xf numFmtId="0" fontId="6" fillId="4" borderId="8" xfId="0" applyFont="1" applyFill="1" applyBorder="1" applyAlignment="1" applyProtection="1">
      <alignment horizontal="center" vertical="center" wrapText="1"/>
      <protection locked="0"/>
    </xf>
    <xf numFmtId="0" fontId="6" fillId="4" borderId="9" xfId="0" applyFont="1" applyFill="1" applyBorder="1" applyAlignment="1" applyProtection="1">
      <alignment horizontal="center" vertical="center" wrapText="1"/>
      <protection locked="0"/>
    </xf>
    <xf numFmtId="0" fontId="6" fillId="4" borderId="9" xfId="0" applyFont="1" applyFill="1" applyBorder="1" applyAlignment="1" applyProtection="1">
      <alignment horizontal="center" vertical="top" wrapText="1"/>
      <protection locked="0"/>
    </xf>
    <xf numFmtId="0" fontId="7" fillId="4" borderId="10" xfId="0" applyFont="1" applyFill="1" applyBorder="1" applyAlignment="1" applyProtection="1">
      <alignment vertical="center" wrapText="1"/>
      <protection locked="0"/>
    </xf>
    <xf numFmtId="0" fontId="7" fillId="0" borderId="0" xfId="0" applyFont="1" applyAlignment="1" applyProtection="1">
      <alignment horizontal="center"/>
      <protection locked="0"/>
    </xf>
    <xf numFmtId="0" fontId="7" fillId="0" borderId="0" xfId="0" applyFont="1" applyAlignment="1" applyProtection="1">
      <alignment vertical="top"/>
      <protection locked="0"/>
    </xf>
    <xf numFmtId="0" fontId="8" fillId="0" borderId="0" xfId="0" applyFont="1" applyProtection="1">
      <protection locked="0"/>
    </xf>
    <xf numFmtId="0" fontId="11" fillId="0" borderId="0" xfId="2"/>
    <xf numFmtId="167" fontId="16" fillId="0" borderId="19" xfId="5" applyFont="1" applyBorder="1" applyProtection="1"/>
    <xf numFmtId="0" fontId="16" fillId="0" borderId="4" xfId="2" applyFont="1" applyBorder="1" applyAlignment="1" applyProtection="1">
      <alignment horizontal="center"/>
      <protection locked="0"/>
    </xf>
    <xf numFmtId="0" fontId="15" fillId="0" borderId="0" xfId="2" applyFont="1"/>
    <xf numFmtId="0" fontId="24" fillId="0" borderId="29" xfId="2" applyFont="1" applyBorder="1" applyAlignment="1">
      <alignment horizontal="center" vertical="center"/>
    </xf>
    <xf numFmtId="0" fontId="24" fillId="0" borderId="30" xfId="2" applyFont="1" applyBorder="1" applyAlignment="1">
      <alignment horizontal="center" vertical="center"/>
    </xf>
    <xf numFmtId="0" fontId="24" fillId="0" borderId="31" xfId="2" applyFont="1" applyBorder="1" applyAlignment="1">
      <alignment horizontal="left" vertical="center"/>
    </xf>
    <xf numFmtId="166" fontId="15" fillId="0" borderId="29" xfId="6" applyNumberFormat="1" applyFont="1" applyBorder="1" applyAlignment="1" applyProtection="1">
      <alignment horizontal="center" wrapText="1"/>
    </xf>
    <xf numFmtId="0" fontId="24" fillId="0" borderId="30" xfId="2" applyFont="1" applyBorder="1" applyAlignment="1">
      <alignment horizontal="right" wrapText="1"/>
    </xf>
    <xf numFmtId="0" fontId="24" fillId="0" borderId="31" xfId="2" applyFont="1" applyBorder="1" applyAlignment="1">
      <alignment vertical="center"/>
    </xf>
    <xf numFmtId="166" fontId="15" fillId="0" borderId="0" xfId="2" applyNumberFormat="1" applyFont="1" applyAlignment="1" applyProtection="1">
      <alignment horizontal="left" vertical="center" wrapText="1"/>
      <protection locked="0"/>
    </xf>
    <xf numFmtId="0" fontId="18" fillId="0" borderId="15" xfId="2" applyFont="1" applyBorder="1" applyAlignment="1">
      <alignment horizontal="left" vertical="center" wrapText="1"/>
    </xf>
    <xf numFmtId="14" fontId="15" fillId="0" borderId="0" xfId="2" applyNumberFormat="1" applyFont="1" applyAlignment="1" applyProtection="1">
      <alignment horizontal="left" vertical="center" wrapText="1"/>
      <protection locked="0"/>
    </xf>
    <xf numFmtId="0" fontId="27" fillId="0" borderId="17" xfId="2" applyFont="1" applyBorder="1" applyAlignment="1">
      <alignment horizontal="center" vertical="center"/>
    </xf>
    <xf numFmtId="0" fontId="26" fillId="0" borderId="17" xfId="2" applyFont="1" applyBorder="1" applyAlignment="1">
      <alignment horizontal="left" vertical="center"/>
    </xf>
    <xf numFmtId="0" fontId="15" fillId="0" borderId="17" xfId="2" applyFont="1" applyBorder="1" applyAlignment="1" applyProtection="1">
      <alignment horizontal="left" vertical="center"/>
      <protection locked="0"/>
    </xf>
    <xf numFmtId="0" fontId="26" fillId="0" borderId="18" xfId="2" applyFont="1" applyBorder="1" applyAlignment="1">
      <alignment horizontal="left" vertical="center"/>
    </xf>
    <xf numFmtId="0" fontId="31" fillId="6" borderId="0" xfId="0" applyFont="1" applyFill="1" applyAlignment="1">
      <alignment horizontal="center" vertical="center"/>
    </xf>
    <xf numFmtId="0" fontId="32" fillId="0" borderId="20" xfId="2" applyFont="1" applyBorder="1" applyAlignment="1" applyProtection="1">
      <alignment horizontal="center" vertical="top"/>
      <protection locked="0"/>
    </xf>
    <xf numFmtId="0" fontId="11" fillId="0" borderId="0" xfId="2" applyProtection="1">
      <protection hidden="1"/>
    </xf>
    <xf numFmtId="0" fontId="20" fillId="0" borderId="0" xfId="2" applyFont="1"/>
    <xf numFmtId="0" fontId="21" fillId="0" borderId="0" xfId="2" applyFont="1"/>
    <xf numFmtId="0" fontId="15" fillId="0" borderId="0" xfId="2" applyFont="1" applyAlignment="1">
      <alignment horizontal="center"/>
    </xf>
    <xf numFmtId="42" fontId="15" fillId="0" borderId="0" xfId="6" applyFont="1" applyFill="1" applyBorder="1" applyProtection="1"/>
    <xf numFmtId="0" fontId="22" fillId="0" borderId="0" xfId="2" applyFont="1"/>
    <xf numFmtId="0" fontId="25" fillId="0" borderId="0" xfId="2" applyFont="1" applyProtection="1">
      <protection hidden="1"/>
    </xf>
    <xf numFmtId="0" fontId="23" fillId="0" borderId="0" xfId="2" applyFont="1"/>
    <xf numFmtId="0" fontId="15" fillId="0" borderId="0" xfId="2" applyFont="1" applyProtection="1">
      <protection hidden="1"/>
    </xf>
    <xf numFmtId="0" fontId="23" fillId="0" borderId="0" xfId="2" applyFont="1" applyProtection="1">
      <protection hidden="1"/>
    </xf>
    <xf numFmtId="168" fontId="19" fillId="7" borderId="22" xfId="2" applyNumberFormat="1" applyFont="1" applyFill="1" applyBorder="1" applyAlignment="1">
      <alignment horizontal="center"/>
    </xf>
    <xf numFmtId="168" fontId="19" fillId="7" borderId="1" xfId="2" applyNumberFormat="1" applyFont="1" applyFill="1" applyBorder="1" applyAlignment="1">
      <alignment horizontal="center" wrapText="1"/>
    </xf>
    <xf numFmtId="0" fontId="0" fillId="3" borderId="6" xfId="0" applyFill="1" applyBorder="1" applyAlignment="1" applyProtection="1">
      <alignment horizontal="left" wrapText="1"/>
      <protection locked="0"/>
    </xf>
    <xf numFmtId="0" fontId="0" fillId="0" borderId="3" xfId="0" applyBorder="1"/>
    <xf numFmtId="0" fontId="0" fillId="2" borderId="4" xfId="0" applyFill="1" applyBorder="1" applyProtection="1">
      <protection locked="0"/>
    </xf>
    <xf numFmtId="0" fontId="0" fillId="2" borderId="4" xfId="0" applyFill="1" applyBorder="1" applyAlignment="1" applyProtection="1">
      <alignment vertical="top" wrapText="1"/>
      <protection locked="0"/>
    </xf>
    <xf numFmtId="0" fontId="0" fillId="3" borderId="4"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vertical="top" wrapText="1"/>
      <protection locked="0"/>
    </xf>
    <xf numFmtId="0" fontId="0" fillId="0" borderId="0" xfId="0" applyAlignment="1">
      <alignment vertical="top" wrapText="1"/>
    </xf>
    <xf numFmtId="0" fontId="15" fillId="0" borderId="28" xfId="2" applyFont="1" applyBorder="1" applyAlignment="1" applyProtection="1">
      <alignment vertical="top" wrapText="1"/>
      <protection locked="0"/>
    </xf>
    <xf numFmtId="0" fontId="15" fillId="0" borderId="27" xfId="2" applyFont="1" applyBorder="1" applyAlignment="1" applyProtection="1">
      <alignment vertical="top"/>
      <protection locked="0"/>
    </xf>
    <xf numFmtId="0" fontId="15" fillId="0" borderId="26" xfId="2" applyFont="1" applyBorder="1" applyAlignment="1" applyProtection="1">
      <alignment vertical="top"/>
      <protection locked="0"/>
    </xf>
    <xf numFmtId="0" fontId="15" fillId="0" borderId="25" xfId="2" applyFont="1" applyBorder="1" applyAlignment="1" applyProtection="1">
      <alignment vertical="top"/>
      <protection locked="0"/>
    </xf>
    <xf numFmtId="0" fontId="15" fillId="0" borderId="11" xfId="2" applyFont="1" applyBorder="1" applyAlignment="1" applyProtection="1">
      <alignment vertical="top"/>
      <protection locked="0"/>
    </xf>
    <xf numFmtId="0" fontId="15" fillId="0" borderId="24" xfId="2" applyFont="1" applyBorder="1" applyAlignment="1" applyProtection="1">
      <alignment vertical="top"/>
      <protection locked="0"/>
    </xf>
    <xf numFmtId="0" fontId="24" fillId="0" borderId="0" xfId="2" applyFont="1"/>
    <xf numFmtId="0" fontId="24" fillId="0" borderId="30" xfId="2" applyFont="1" applyBorder="1"/>
    <xf numFmtId="0" fontId="16" fillId="0" borderId="4" xfId="2" applyFont="1" applyBorder="1" applyAlignment="1">
      <alignment horizontal="justify" vertical="justify"/>
    </xf>
    <xf numFmtId="0" fontId="16" fillId="0" borderId="4" xfId="2" applyFont="1" applyBorder="1" applyAlignment="1">
      <alignment horizontal="center"/>
    </xf>
    <xf numFmtId="164" fontId="16" fillId="0" borderId="4" xfId="2" applyNumberFormat="1" applyFont="1" applyBorder="1" applyAlignment="1">
      <alignment horizontal="center"/>
    </xf>
    <xf numFmtId="0" fontId="15" fillId="0" borderId="0" xfId="2" applyFont="1" applyAlignment="1">
      <alignment horizontal="left"/>
    </xf>
    <xf numFmtId="0" fontId="29" fillId="0" borderId="0" xfId="2" applyFont="1" applyAlignment="1">
      <alignment horizontal="center" wrapText="1"/>
    </xf>
    <xf numFmtId="0" fontId="15" fillId="0" borderId="13" xfId="2" applyFont="1" applyBorder="1" applyAlignment="1">
      <alignment horizontal="left"/>
    </xf>
    <xf numFmtId="0" fontId="32" fillId="0" borderId="0" xfId="2" applyFont="1" applyAlignment="1" applyProtection="1">
      <alignment horizontal="center" vertical="top"/>
      <protection locked="0"/>
    </xf>
    <xf numFmtId="0" fontId="16" fillId="0" borderId="0" xfId="2" applyFont="1" applyAlignment="1">
      <alignment horizontal="justify" vertical="justify"/>
    </xf>
    <xf numFmtId="0" fontId="16" fillId="0" borderId="0" xfId="2" applyFont="1" applyAlignment="1">
      <alignment horizontal="center"/>
    </xf>
    <xf numFmtId="0" fontId="16" fillId="0" borderId="0" xfId="2" applyFont="1" applyAlignment="1" applyProtection="1">
      <alignment horizontal="center"/>
      <protection locked="0"/>
    </xf>
    <xf numFmtId="164" fontId="16" fillId="0" borderId="0" xfId="2" applyNumberFormat="1" applyFont="1" applyAlignment="1">
      <alignment horizontal="center"/>
    </xf>
    <xf numFmtId="167" fontId="16" fillId="0" borderId="0" xfId="5" applyFont="1" applyBorder="1" applyProtection="1"/>
    <xf numFmtId="0" fontId="26" fillId="5" borderId="13" xfId="2" applyFont="1" applyFill="1" applyBorder="1" applyAlignment="1">
      <alignment horizontal="left" vertical="center" wrapText="1"/>
    </xf>
    <xf numFmtId="1" fontId="24" fillId="0" borderId="13" xfId="2" applyNumberFormat="1" applyFont="1" applyBorder="1" applyAlignment="1">
      <alignment horizontal="center" vertical="center" wrapText="1"/>
    </xf>
    <xf numFmtId="1" fontId="24" fillId="0" borderId="12" xfId="2" applyNumberFormat="1" applyFont="1" applyBorder="1" applyAlignment="1">
      <alignment horizontal="center" vertical="center" wrapText="1"/>
    </xf>
    <xf numFmtId="0" fontId="28" fillId="0" borderId="0" xfId="2" applyFont="1" applyAlignment="1">
      <alignment horizontal="center" vertical="center"/>
    </xf>
    <xf numFmtId="0" fontId="17" fillId="0" borderId="13" xfId="2" applyFont="1" applyBorder="1" applyAlignment="1">
      <alignment horizontal="center" vertical="center"/>
    </xf>
    <xf numFmtId="0" fontId="26" fillId="0" borderId="0" xfId="2" applyFont="1" applyAlignment="1">
      <alignment horizontal="left" vertical="center" wrapText="1"/>
    </xf>
    <xf numFmtId="1" fontId="24" fillId="0" borderId="0" xfId="2" applyNumberFormat="1" applyFont="1" applyAlignment="1" applyProtection="1">
      <alignment horizontal="center" vertical="center" wrapText="1"/>
      <protection locked="0"/>
    </xf>
    <xf numFmtId="1" fontId="24" fillId="0" borderId="14" xfId="2" applyNumberFormat="1" applyFont="1" applyBorder="1" applyAlignment="1" applyProtection="1">
      <alignment horizontal="center" vertical="center" wrapText="1"/>
      <protection locked="0"/>
    </xf>
    <xf numFmtId="171" fontId="33" fillId="4" borderId="0" xfId="0" applyNumberFormat="1" applyFont="1" applyFill="1" applyAlignment="1">
      <alignment horizontal="center"/>
    </xf>
    <xf numFmtId="0" fontId="24" fillId="0" borderId="30" xfId="2" applyFont="1" applyBorder="1" applyAlignment="1">
      <alignment horizontal="left" wrapText="1"/>
    </xf>
    <xf numFmtId="0" fontId="24" fillId="0" borderId="36" xfId="2" applyFont="1" applyBorder="1" applyAlignment="1">
      <alignment horizontal="left" wrapText="1"/>
    </xf>
    <xf numFmtId="0" fontId="15" fillId="0" borderId="33" xfId="2" applyFont="1" applyBorder="1" applyAlignment="1" applyProtection="1">
      <alignment horizontal="center" vertical="center"/>
      <protection locked="0"/>
    </xf>
    <xf numFmtId="0" fontId="15" fillId="0" borderId="32" xfId="2" applyFont="1" applyBorder="1" applyAlignment="1" applyProtection="1">
      <alignment horizontal="center" vertical="center"/>
      <protection locked="0"/>
    </xf>
    <xf numFmtId="0" fontId="15" fillId="0" borderId="37" xfId="2" applyFont="1" applyBorder="1" applyAlignment="1" applyProtection="1">
      <alignment horizontal="center" vertical="center"/>
      <protection locked="0"/>
    </xf>
    <xf numFmtId="164" fontId="19" fillId="7" borderId="38" xfId="2" applyNumberFormat="1" applyFont="1" applyFill="1" applyBorder="1" applyAlignment="1">
      <alignment horizontal="center" vertical="center"/>
    </xf>
    <xf numFmtId="164" fontId="19" fillId="7" borderId="37" xfId="2" applyNumberFormat="1" applyFont="1" applyFill="1" applyBorder="1" applyAlignment="1">
      <alignment horizontal="center" vertical="center"/>
    </xf>
    <xf numFmtId="0" fontId="15" fillId="0" borderId="25" xfId="2" applyFont="1" applyBorder="1" applyAlignment="1" applyProtection="1">
      <alignment horizontal="left" vertical="top"/>
      <protection locked="0"/>
    </xf>
    <xf numFmtId="0" fontId="15" fillId="0" borderId="11" xfId="2" applyFont="1" applyBorder="1" applyAlignment="1" applyProtection="1">
      <alignment horizontal="left" vertical="top"/>
      <protection locked="0"/>
    </xf>
    <xf numFmtId="0" fontId="15" fillId="0" borderId="24" xfId="2" applyFont="1" applyBorder="1" applyAlignment="1" applyProtection="1">
      <alignment horizontal="left" vertical="top"/>
      <protection locked="0"/>
    </xf>
    <xf numFmtId="0" fontId="24" fillId="7" borderId="25" xfId="2" applyFont="1" applyFill="1" applyBorder="1" applyAlignment="1">
      <alignment horizontal="center" vertical="center"/>
    </xf>
    <xf numFmtId="0" fontId="24" fillId="7" borderId="11" xfId="2" applyFont="1" applyFill="1" applyBorder="1" applyAlignment="1">
      <alignment horizontal="center" vertical="center"/>
    </xf>
    <xf numFmtId="0" fontId="24" fillId="7" borderId="24" xfId="2" applyFont="1" applyFill="1" applyBorder="1" applyAlignment="1">
      <alignment horizontal="center" vertical="center"/>
    </xf>
    <xf numFmtId="168" fontId="19" fillId="7" borderId="23" xfId="2" applyNumberFormat="1" applyFont="1" applyFill="1" applyBorder="1" applyAlignment="1">
      <alignment horizontal="center" vertical="center"/>
    </xf>
    <xf numFmtId="168" fontId="19" fillId="7" borderId="34" xfId="2" applyNumberFormat="1" applyFont="1" applyFill="1" applyBorder="1" applyAlignment="1">
      <alignment horizontal="center" vertical="center"/>
    </xf>
    <xf numFmtId="168" fontId="19" fillId="7" borderId="22" xfId="2" applyNumberFormat="1" applyFont="1" applyFill="1" applyBorder="1" applyAlignment="1">
      <alignment horizontal="center" vertical="center"/>
    </xf>
    <xf numFmtId="168" fontId="19" fillId="7" borderId="1" xfId="2" applyNumberFormat="1" applyFont="1" applyFill="1" applyBorder="1" applyAlignment="1">
      <alignment horizontal="center" vertical="center"/>
    </xf>
    <xf numFmtId="0" fontId="11" fillId="7" borderId="1" xfId="2" applyFill="1" applyBorder="1" applyAlignment="1">
      <alignment horizontal="center" vertical="center"/>
    </xf>
    <xf numFmtId="165" fontId="19" fillId="7" borderId="21" xfId="2" applyNumberFormat="1" applyFont="1" applyFill="1" applyBorder="1" applyAlignment="1">
      <alignment horizontal="center" vertical="center"/>
    </xf>
    <xf numFmtId="165" fontId="19" fillId="7" borderId="35" xfId="2" applyNumberFormat="1" applyFont="1" applyFill="1" applyBorder="1" applyAlignment="1">
      <alignment horizontal="center" vertical="center"/>
    </xf>
    <xf numFmtId="172" fontId="26" fillId="0" borderId="17" xfId="2" applyNumberFormat="1" applyFont="1" applyBorder="1" applyAlignment="1" applyProtection="1">
      <alignment horizontal="center" vertical="center" wrapText="1"/>
      <protection locked="0"/>
    </xf>
    <xf numFmtId="172" fontId="26" fillId="0" borderId="16" xfId="2" applyNumberFormat="1" applyFont="1" applyBorder="1" applyAlignment="1" applyProtection="1">
      <alignment horizontal="center" vertical="center" wrapText="1"/>
      <protection locked="0"/>
    </xf>
    <xf numFmtId="0" fontId="2" fillId="0" borderId="0" xfId="0" applyFont="1" applyAlignment="1">
      <alignment horizontal="left" vertical="center" wrapText="1"/>
    </xf>
    <xf numFmtId="0" fontId="2" fillId="0" borderId="0" xfId="0" applyFont="1" applyAlignment="1">
      <alignment horizontal="left" vertical="center"/>
    </xf>
  </cellXfs>
  <cellStyles count="9">
    <cellStyle name="Euro" xfId="5" xr:uid="{20F7B096-97FA-4021-9BBB-01DE60582EF0}"/>
    <cellStyle name="Excel Built-in Excel Built-in Excel Built-in Excel Built-in Excel Built-in TableStyleLight1" xfId="7" xr:uid="{329674DB-A63E-44FE-BE1D-942315848109}"/>
    <cellStyle name="Hiperligação 2" xfId="3" xr:uid="{C1319FD9-870E-4860-821C-94424C53DD76}"/>
    <cellStyle name="Moeda" xfId="1" builtinId="4"/>
    <cellStyle name="Moeda [0] 2" xfId="6" xr:uid="{50303315-9E07-46C3-A1B9-6994D181F576}"/>
    <cellStyle name="Moeda 2" xfId="8" xr:uid="{E0C800B1-23DF-49A5-9A3C-46D433DBB693}"/>
    <cellStyle name="Normal" xfId="0" builtinId="0"/>
    <cellStyle name="Normal 2" xfId="2" xr:uid="{08CCE056-B625-4290-8375-4BCCD1D9EEF3}"/>
    <cellStyle name="Percentagem 2" xfId="4" xr:uid="{31280EF3-47FB-4D4A-BF7B-F7DC17F00325}"/>
  </cellStyles>
  <dxfs count="2">
    <dxf>
      <fill>
        <patternFill>
          <bgColor theme="0" tint="-4.9989318521683403E-2"/>
        </patternFill>
      </fill>
    </dxf>
    <dxf>
      <fill>
        <patternFill>
          <bgColor theme="0" tint="-4.9989318521683403E-2"/>
        </patternFill>
      </fill>
    </dxf>
  </dxfs>
  <tableStyles count="1" defaultTableStyle="TableStyleMedium2" defaultPivotStyle="PivotStyleLight16">
    <tableStyle name="Invisible" pivot="0" table="0" count="0" xr9:uid="{92858C7A-CDB6-4EAF-BC00-F0ECD35D7162}"/>
  </tableStyles>
  <colors>
    <mruColors>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304800</xdr:colOff>
      <xdr:row>4</xdr:row>
      <xdr:rowOff>85725</xdr:rowOff>
    </xdr:from>
    <xdr:to>
      <xdr:col>6</xdr:col>
      <xdr:colOff>790575</xdr:colOff>
      <xdr:row>5</xdr:row>
      <xdr:rowOff>485775</xdr:rowOff>
    </xdr:to>
    <xdr:sp macro="" textlink="">
      <xdr:nvSpPr>
        <xdr:cNvPr id="2" name="CaixaDeTexto 1">
          <a:extLst>
            <a:ext uri="{FF2B5EF4-FFF2-40B4-BE49-F238E27FC236}">
              <a16:creationId xmlns:a16="http://schemas.microsoft.com/office/drawing/2014/main" id="{BE10205B-D14F-435E-BDDD-F94E2504AD32}"/>
            </a:ext>
          </a:extLst>
        </xdr:cNvPr>
        <xdr:cNvSpPr txBox="1"/>
      </xdr:nvSpPr>
      <xdr:spPr>
        <a:xfrm>
          <a:off x="304800" y="523875"/>
          <a:ext cx="8086725" cy="647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100"/>
            </a:lnSpc>
          </a:pPr>
          <a:r>
            <a:rPr lang="pt-PT" sz="1100" b="1">
              <a:solidFill>
                <a:schemeClr val="tx2">
                  <a:lumMod val="50000"/>
                </a:schemeClr>
              </a:solidFill>
            </a:rPr>
            <a:t>Prestação de Serviços de Manutenção de Construção Civil </a:t>
          </a:r>
        </a:p>
        <a:p>
          <a:pPr algn="ctr">
            <a:lnSpc>
              <a:spcPts val="1100"/>
            </a:lnSpc>
          </a:pPr>
          <a:r>
            <a:rPr lang="pt-PT" sz="1100" b="1">
              <a:solidFill>
                <a:schemeClr val="tx2">
                  <a:lumMod val="50000"/>
                </a:schemeClr>
              </a:solidFill>
            </a:rPr>
            <a:t>Centro Operacional de Manutenção Norte - Área de Coimbra</a:t>
          </a:r>
          <a:r>
            <a:rPr lang="pt-PT" sz="1100" b="1" baseline="0">
              <a:solidFill>
                <a:schemeClr val="tx2">
                  <a:lumMod val="50000"/>
                </a:schemeClr>
              </a:solidFill>
            </a:rPr>
            <a:t>  </a:t>
          </a:r>
        </a:p>
        <a:p>
          <a:pPr algn="ctr">
            <a:lnSpc>
              <a:spcPts val="1100"/>
            </a:lnSpc>
          </a:pPr>
          <a:r>
            <a:rPr lang="pt-PT" sz="1100" b="1" baseline="0">
              <a:solidFill>
                <a:schemeClr val="tx2">
                  <a:lumMod val="50000"/>
                </a:schemeClr>
              </a:solidFill>
            </a:rPr>
            <a:t>DESCO 5010043367</a:t>
          </a:r>
          <a:endParaRPr lang="pt-PT" sz="1000" b="1">
            <a:solidFill>
              <a:schemeClr val="tx2">
                <a:lumMod val="50000"/>
              </a:schemeClr>
            </a:solidFill>
          </a:endParaRPr>
        </a:p>
      </xdr:txBody>
    </xdr:sp>
    <xdr:clientData/>
  </xdr:twoCellAnchor>
  <xdr:twoCellAnchor>
    <xdr:from>
      <xdr:col>8</xdr:col>
      <xdr:colOff>19050</xdr:colOff>
      <xdr:row>3</xdr:row>
      <xdr:rowOff>47625</xdr:rowOff>
    </xdr:from>
    <xdr:to>
      <xdr:col>11</xdr:col>
      <xdr:colOff>47626</xdr:colOff>
      <xdr:row>5</xdr:row>
      <xdr:rowOff>257175</xdr:rowOff>
    </xdr:to>
    <xdr:sp macro="[0]!NovaReq" textlink="">
      <xdr:nvSpPr>
        <xdr:cNvPr id="3" name="Bisel 3">
          <a:extLst>
            <a:ext uri="{FF2B5EF4-FFF2-40B4-BE49-F238E27FC236}">
              <a16:creationId xmlns:a16="http://schemas.microsoft.com/office/drawing/2014/main" id="{7E477635-4129-4733-955F-FFFE4793E328}"/>
            </a:ext>
          </a:extLst>
        </xdr:cNvPr>
        <xdr:cNvSpPr/>
      </xdr:nvSpPr>
      <xdr:spPr>
        <a:xfrm>
          <a:off x="9382125" y="47625"/>
          <a:ext cx="1857376" cy="895350"/>
        </a:xfrm>
        <a:prstGeom prst="bevel">
          <a:avLst/>
        </a:prstGeom>
        <a:solidFill>
          <a:srgbClr val="009999">
            <a:alpha val="55000"/>
          </a:srgbClr>
        </a:solidFill>
        <a:ln>
          <a:noFill/>
        </a:ln>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r>
            <a:rPr lang="pt-PT" sz="1400" b="1" cap="all" spc="0">
              <a:ln w="9000" cmpd="sng">
                <a:noFill/>
                <a:prstDash val="solid"/>
              </a:ln>
              <a:solidFill>
                <a:schemeClr val="bg1"/>
              </a:solidFill>
              <a:effectLst>
                <a:reflection blurRad="12700" stA="28000" endPos="45000" dist="1000" dir="5400000" sy="-100000" algn="bl" rotWithShape="0"/>
              </a:effectLst>
            </a:rPr>
            <a:t>Nova RequisiCão</a:t>
          </a:r>
        </a:p>
      </xdr:txBody>
    </xdr:sp>
    <xdr:clientData/>
  </xdr:twoCellAnchor>
  <xdr:twoCellAnchor>
    <xdr:from>
      <xdr:col>1</xdr:col>
      <xdr:colOff>9525</xdr:colOff>
      <xdr:row>3</xdr:row>
      <xdr:rowOff>28575</xdr:rowOff>
    </xdr:from>
    <xdr:to>
      <xdr:col>2</xdr:col>
      <xdr:colOff>314325</xdr:colOff>
      <xdr:row>4</xdr:row>
      <xdr:rowOff>228600</xdr:rowOff>
    </xdr:to>
    <xdr:grpSp>
      <xdr:nvGrpSpPr>
        <xdr:cNvPr id="4" name="Grupo 5">
          <a:extLst>
            <a:ext uri="{FF2B5EF4-FFF2-40B4-BE49-F238E27FC236}">
              <a16:creationId xmlns:a16="http://schemas.microsoft.com/office/drawing/2014/main" id="{3E83090D-EB65-4158-AC0C-B281007F73DC}"/>
            </a:ext>
          </a:extLst>
        </xdr:cNvPr>
        <xdr:cNvGrpSpPr>
          <a:grpSpLocks/>
        </xdr:cNvGrpSpPr>
      </xdr:nvGrpSpPr>
      <xdr:grpSpPr bwMode="auto">
        <a:xfrm>
          <a:off x="9525" y="28575"/>
          <a:ext cx="1666875" cy="638175"/>
          <a:chOff x="0" y="47625"/>
          <a:chExt cx="1828800" cy="733424"/>
        </a:xfrm>
      </xdr:grpSpPr>
      <xdr:pic>
        <xdr:nvPicPr>
          <xdr:cNvPr id="5" name="objetos gráficos1">
            <a:extLst>
              <a:ext uri="{FF2B5EF4-FFF2-40B4-BE49-F238E27FC236}">
                <a16:creationId xmlns:a16="http://schemas.microsoft.com/office/drawing/2014/main" id="{FDF11A46-834F-B998-8BA9-4CADB29BBC3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47625"/>
            <a:ext cx="1781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6" name="CaixaDeTexto 5">
            <a:extLst>
              <a:ext uri="{FF2B5EF4-FFF2-40B4-BE49-F238E27FC236}">
                <a16:creationId xmlns:a16="http://schemas.microsoft.com/office/drawing/2014/main" id="{DCD5E32A-C2A2-5DAF-9DA7-EDD0DCEDEFA8}"/>
              </a:ext>
            </a:extLst>
          </xdr:cNvPr>
          <xdr:cNvSpPr txBox="1"/>
        </xdr:nvSpPr>
        <xdr:spPr>
          <a:xfrm>
            <a:off x="0" y="507383"/>
            <a:ext cx="637953" cy="273666"/>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000" b="0" i="0" u="none" strike="noStrike" kern="0" cap="none" spc="0" normalizeH="0" baseline="0" noProof="0">
                <a:ln>
                  <a:noFill/>
                </a:ln>
                <a:solidFill>
                  <a:sysClr val="windowText" lastClr="000000"/>
                </a:solidFill>
                <a:effectLst/>
                <a:uLnTx/>
                <a:uFillTx/>
                <a:latin typeface="Calibri"/>
                <a:ea typeface="+mn-ea"/>
                <a:cs typeface="+mn-cs"/>
              </a:rPr>
              <a:t>RF-EDN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304800</xdr:colOff>
      <xdr:row>4</xdr:row>
      <xdr:rowOff>85725</xdr:rowOff>
    </xdr:from>
    <xdr:to>
      <xdr:col>6</xdr:col>
      <xdr:colOff>790575</xdr:colOff>
      <xdr:row>5</xdr:row>
      <xdr:rowOff>485775</xdr:rowOff>
    </xdr:to>
    <xdr:sp macro="" textlink="">
      <xdr:nvSpPr>
        <xdr:cNvPr id="2" name="CaixaDeTexto 1">
          <a:extLst>
            <a:ext uri="{FF2B5EF4-FFF2-40B4-BE49-F238E27FC236}">
              <a16:creationId xmlns:a16="http://schemas.microsoft.com/office/drawing/2014/main" id="{C716A45B-8AC8-42A4-A602-C77EC30FA5E1}"/>
            </a:ext>
          </a:extLst>
        </xdr:cNvPr>
        <xdr:cNvSpPr txBox="1"/>
      </xdr:nvSpPr>
      <xdr:spPr>
        <a:xfrm>
          <a:off x="304800" y="523875"/>
          <a:ext cx="8086725" cy="647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100"/>
            </a:lnSpc>
          </a:pPr>
          <a:r>
            <a:rPr lang="pt-PT" sz="1100" b="1">
              <a:solidFill>
                <a:schemeClr val="tx2">
                  <a:lumMod val="50000"/>
                </a:schemeClr>
              </a:solidFill>
            </a:rPr>
            <a:t>Prestação de Serviços de Manutenção de Construção Civil </a:t>
          </a:r>
        </a:p>
        <a:p>
          <a:pPr algn="ctr">
            <a:lnSpc>
              <a:spcPts val="1100"/>
            </a:lnSpc>
          </a:pPr>
          <a:r>
            <a:rPr lang="pt-PT" sz="1100" b="1">
              <a:solidFill>
                <a:schemeClr val="tx2">
                  <a:lumMod val="50000"/>
                </a:schemeClr>
              </a:solidFill>
            </a:rPr>
            <a:t>Centro Operacional de Manutenção Norte - Área de Coimbra</a:t>
          </a:r>
          <a:r>
            <a:rPr lang="pt-PT" sz="1100" b="1" baseline="0">
              <a:solidFill>
                <a:schemeClr val="tx2">
                  <a:lumMod val="50000"/>
                </a:schemeClr>
              </a:solidFill>
            </a:rPr>
            <a:t>  </a:t>
          </a:r>
        </a:p>
        <a:p>
          <a:pPr algn="ctr">
            <a:lnSpc>
              <a:spcPts val="1100"/>
            </a:lnSpc>
          </a:pPr>
          <a:r>
            <a:rPr lang="pt-PT" sz="1100" b="1" baseline="0">
              <a:solidFill>
                <a:schemeClr val="tx2">
                  <a:lumMod val="50000"/>
                </a:schemeClr>
              </a:solidFill>
            </a:rPr>
            <a:t>DESCO 5010043367</a:t>
          </a:r>
          <a:endParaRPr lang="pt-PT" sz="1000" b="1">
            <a:solidFill>
              <a:schemeClr val="tx2">
                <a:lumMod val="50000"/>
              </a:schemeClr>
            </a:solidFill>
          </a:endParaRPr>
        </a:p>
      </xdr:txBody>
    </xdr:sp>
    <xdr:clientData/>
  </xdr:twoCellAnchor>
  <xdr:twoCellAnchor>
    <xdr:from>
      <xdr:col>8</xdr:col>
      <xdr:colOff>19050</xdr:colOff>
      <xdr:row>3</xdr:row>
      <xdr:rowOff>47625</xdr:rowOff>
    </xdr:from>
    <xdr:to>
      <xdr:col>11</xdr:col>
      <xdr:colOff>47626</xdr:colOff>
      <xdr:row>5</xdr:row>
      <xdr:rowOff>257175</xdr:rowOff>
    </xdr:to>
    <xdr:sp macro="[0]!NovaReq" textlink="">
      <xdr:nvSpPr>
        <xdr:cNvPr id="3" name="Bisel 3">
          <a:extLst>
            <a:ext uri="{FF2B5EF4-FFF2-40B4-BE49-F238E27FC236}">
              <a16:creationId xmlns:a16="http://schemas.microsoft.com/office/drawing/2014/main" id="{8572EA69-8BE6-4986-A0A6-A8B70A03837C}"/>
            </a:ext>
          </a:extLst>
        </xdr:cNvPr>
        <xdr:cNvSpPr/>
      </xdr:nvSpPr>
      <xdr:spPr>
        <a:xfrm>
          <a:off x="9382125" y="47625"/>
          <a:ext cx="1857376" cy="895350"/>
        </a:xfrm>
        <a:prstGeom prst="bevel">
          <a:avLst/>
        </a:prstGeom>
        <a:solidFill>
          <a:srgbClr val="009999">
            <a:alpha val="55000"/>
          </a:srgbClr>
        </a:solidFill>
        <a:ln>
          <a:noFill/>
        </a:ln>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r>
            <a:rPr lang="pt-PT" sz="1400" b="1" cap="all" spc="0">
              <a:ln w="9000" cmpd="sng">
                <a:noFill/>
                <a:prstDash val="solid"/>
              </a:ln>
              <a:solidFill>
                <a:schemeClr val="bg1"/>
              </a:solidFill>
              <a:effectLst>
                <a:reflection blurRad="12700" stA="28000" endPos="45000" dist="1000" dir="5400000" sy="-100000" algn="bl" rotWithShape="0"/>
              </a:effectLst>
            </a:rPr>
            <a:t>Nova RequisiCão</a:t>
          </a:r>
        </a:p>
      </xdr:txBody>
    </xdr:sp>
    <xdr:clientData/>
  </xdr:twoCellAnchor>
  <xdr:twoCellAnchor>
    <xdr:from>
      <xdr:col>1</xdr:col>
      <xdr:colOff>9525</xdr:colOff>
      <xdr:row>3</xdr:row>
      <xdr:rowOff>28575</xdr:rowOff>
    </xdr:from>
    <xdr:to>
      <xdr:col>2</xdr:col>
      <xdr:colOff>314325</xdr:colOff>
      <xdr:row>4</xdr:row>
      <xdr:rowOff>228600</xdr:rowOff>
    </xdr:to>
    <xdr:grpSp>
      <xdr:nvGrpSpPr>
        <xdr:cNvPr id="13" name="Grupo 5">
          <a:extLst>
            <a:ext uri="{FF2B5EF4-FFF2-40B4-BE49-F238E27FC236}">
              <a16:creationId xmlns:a16="http://schemas.microsoft.com/office/drawing/2014/main" id="{9C4ACAC9-54B5-41EF-8A35-491398767658}"/>
            </a:ext>
          </a:extLst>
        </xdr:cNvPr>
        <xdr:cNvGrpSpPr>
          <a:grpSpLocks/>
        </xdr:cNvGrpSpPr>
      </xdr:nvGrpSpPr>
      <xdr:grpSpPr bwMode="auto">
        <a:xfrm>
          <a:off x="9525" y="28575"/>
          <a:ext cx="1666875" cy="638175"/>
          <a:chOff x="0" y="47625"/>
          <a:chExt cx="1828800" cy="733424"/>
        </a:xfrm>
      </xdr:grpSpPr>
      <xdr:pic>
        <xdr:nvPicPr>
          <xdr:cNvPr id="14" name="objetos gráficos1">
            <a:extLst>
              <a:ext uri="{FF2B5EF4-FFF2-40B4-BE49-F238E27FC236}">
                <a16:creationId xmlns:a16="http://schemas.microsoft.com/office/drawing/2014/main" id="{C057321D-BD7B-44A6-B9A2-82DAFA3455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47625"/>
            <a:ext cx="1781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5" name="CaixaDeTexto 14">
            <a:extLst>
              <a:ext uri="{FF2B5EF4-FFF2-40B4-BE49-F238E27FC236}">
                <a16:creationId xmlns:a16="http://schemas.microsoft.com/office/drawing/2014/main" id="{E8592ED0-FAEC-4869-8B51-60DA1561D11D}"/>
              </a:ext>
            </a:extLst>
          </xdr:cNvPr>
          <xdr:cNvSpPr txBox="1"/>
        </xdr:nvSpPr>
        <xdr:spPr>
          <a:xfrm>
            <a:off x="0" y="507383"/>
            <a:ext cx="637953" cy="273666"/>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000" b="0" i="0" u="none" strike="noStrike" kern="0" cap="none" spc="0" normalizeH="0" baseline="0" noProof="0">
                <a:ln>
                  <a:noFill/>
                </a:ln>
                <a:solidFill>
                  <a:sysClr val="windowText" lastClr="000000"/>
                </a:solidFill>
                <a:effectLst/>
                <a:uLnTx/>
                <a:uFillTx/>
                <a:latin typeface="Calibri"/>
                <a:ea typeface="+mn-ea"/>
                <a:cs typeface="+mn-cs"/>
              </a:rPr>
              <a:t>RF-EDN</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MC\Estrat&#233;gia%20CC\UOS\Roteiro%20U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nfraestruturasportugal-my.sharepoint.com/personal/abilio_felix_infraestruturasdeportugal_pt/Documents/Documents/DISCO%20D/EDN/REGISTOS/GERAL/CONTRATOS%20MAN/2021/Requisicoes%20202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30%20-%20WORK%20Janeiro-2021\01%20-%20CONTRATOS\2021-2025\07%20-%20Novo%20Modelo\Novo%20Anexo%20C%20-%20Lista%20de%20pre&#231;os%20unit&#225;rios%20MPC_MC_CC.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Os%20meus%20documentos\Alive\USER\Or&#231;amentos\OR&#199;TOT10JU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lha1"/>
      <sheetName val="Trabalho"/>
    </sheet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q (5)"/>
      <sheetName val="Req (3)"/>
      <sheetName val="Req (2)"/>
      <sheetName val="Req (1)"/>
      <sheetName val="D"/>
      <sheetName val="Req"/>
      <sheetName val="Req (4)"/>
      <sheetName val="Requisicoes 2021"/>
    </sheetNames>
    <sheetDataSet>
      <sheetData sheetId="0" refreshError="1"/>
      <sheetData sheetId="1" refreshError="1"/>
      <sheetData sheetId="2" refreshError="1"/>
      <sheetData sheetId="3" refreshError="1"/>
      <sheetData sheetId="4">
        <row r="16">
          <cell r="C16" t="str">
            <v>Nota: Nos itens de substituíção de materiais ou equipamentos, encontra-se incluída a remoção do existente e o fornecimento e aplicação  novos materiais ou equipamentos equivalentes.</v>
          </cell>
        </row>
        <row r="17">
          <cell r="B17">
            <v>1</v>
          </cell>
          <cell r="C17" t="str">
            <v>MOVIMENTO DE TERRAS E DEMOLIÇÕES</v>
          </cell>
        </row>
        <row r="18">
          <cell r="B18" t="str">
            <v>1.1</v>
          </cell>
          <cell r="C18" t="str">
            <v>MOVIMENTO DE TERRAS</v>
          </cell>
        </row>
        <row r="19">
          <cell r="B19" t="str">
            <v>1.1.1</v>
          </cell>
          <cell r="C19" t="str">
            <v>ESCAVAÇÕES E PERFURAÇÕES</v>
          </cell>
        </row>
        <row r="20">
          <cell r="B20" t="str">
            <v>1.1.1.1</v>
          </cell>
          <cell r="C20" t="str">
            <v>Escavação mecânica em qualquer natureza de terreno para abertura de valas até 1,20m de profundidade, incluindo posterior refechamento com cirandagem de material e adequada compactação, escoramento e entivações quando necessário, bem como a recolha, a carga, o transporte e o encaminhamento a destino final autorizado/licenciado dos produtos/ resíduos sobrantes.</v>
          </cell>
          <cell r="D20" t="str">
            <v>m3</v>
          </cell>
          <cell r="E20">
            <v>20</v>
          </cell>
          <cell r="F20">
            <v>10</v>
          </cell>
        </row>
        <row r="21">
          <cell r="B21" t="str">
            <v>1.1.1.2</v>
          </cell>
          <cell r="C21" t="str">
            <v>Idem, para valas de profundidade ente 1,20 e 2,00m.</v>
          </cell>
          <cell r="D21" t="str">
            <v>m3</v>
          </cell>
          <cell r="E21">
            <v>5</v>
          </cell>
          <cell r="F21">
            <v>11.25</v>
          </cell>
        </row>
        <row r="22">
          <cell r="B22" t="str">
            <v>1.1.1.3</v>
          </cell>
          <cell r="C22" t="str">
            <v>Idem, para valas de profundidade ente 2,00 e 3,00m.</v>
          </cell>
          <cell r="D22" t="str">
            <v>m3</v>
          </cell>
          <cell r="E22">
            <v>0</v>
          </cell>
        </row>
        <row r="23">
          <cell r="B23" t="str">
            <v>1.1.1.4</v>
          </cell>
          <cell r="C23" t="str">
            <v>Idem, em travessias na via ferroviária c/ 0,80mx1,30m.</v>
          </cell>
          <cell r="D23" t="str">
            <v>m3</v>
          </cell>
          <cell r="E23">
            <v>0</v>
          </cell>
        </row>
        <row r="24">
          <cell r="B24" t="str">
            <v>1.1.1.5</v>
          </cell>
          <cell r="C24" t="str">
            <v>Escavação manual para abertura de valas até 1,20m de profundidade, incluindo posterior refechamento com cirandagem de material e adequada compactação, escoramento e entivações quando necessário, bem como, a recolha, a carga, o transporte e o encaminhamento a destino final autorizado/licenciado dos produtos/ resíduos sobrantes.</v>
          </cell>
          <cell r="D24" t="str">
            <v>m3</v>
          </cell>
          <cell r="E24">
            <v>50</v>
          </cell>
          <cell r="F24">
            <v>16.88</v>
          </cell>
        </row>
        <row r="25">
          <cell r="B25" t="str">
            <v>1.1.1.6</v>
          </cell>
          <cell r="C25" t="str">
            <v>Idem, em travessias na via ferroviária c/ 0,80mx1,30m.</v>
          </cell>
          <cell r="D25" t="str">
            <v>m3</v>
          </cell>
          <cell r="E25">
            <v>5</v>
          </cell>
          <cell r="F25">
            <v>62.5</v>
          </cell>
        </row>
        <row r="26">
          <cell r="B26" t="str">
            <v>1.1.1.7</v>
          </cell>
          <cell r="C26" t="str">
            <v>Execução de atravessamentos à via férrea por perfuração mecânica dirigida, até 600mm de diâmetro, incluindo poços de ataque, baldeação, com algaliamento em tudo de aço e recolha, a carga, o transporte e o encaminhamento a destino final autorizado/licenciado dos produtos/ resíduos sobrantes.</v>
          </cell>
          <cell r="D26" t="str">
            <v>m</v>
          </cell>
          <cell r="E26">
            <v>0</v>
          </cell>
        </row>
        <row r="27">
          <cell r="B27" t="str">
            <v>1.1.1.8</v>
          </cell>
          <cell r="C27" t="str">
            <v>Idem, com algaliamento em tubo PEAD.</v>
          </cell>
          <cell r="D27" t="str">
            <v>m</v>
          </cell>
          <cell r="E27">
            <v>0</v>
          </cell>
        </row>
        <row r="28">
          <cell r="B28" t="str">
            <v>1.1.1.9</v>
          </cell>
          <cell r="C28" t="str">
            <v>Escavação de terreno de qualquer natureza, incluindo escoramento e entivação quando necessário, bem como a recolha, a carga, o transporte e o encaminhamento a destino final autorizado/licenciado dos produtos/ resíduos sobrantes.</v>
          </cell>
          <cell r="D28" t="str">
            <v>m3</v>
          </cell>
          <cell r="E28">
            <v>100</v>
          </cell>
          <cell r="F28">
            <v>18.75</v>
          </cell>
        </row>
        <row r="29">
          <cell r="B29" t="str">
            <v>1.1.1.10</v>
          </cell>
          <cell r="C29" t="str">
            <v>Escavação em rocha, incluindo escoramento e entivação quando necessário, bem como transporte de sobrantes a destino final autorizado.</v>
          </cell>
          <cell r="D29" t="str">
            <v>m3</v>
          </cell>
          <cell r="E29">
            <v>5</v>
          </cell>
          <cell r="F29">
            <v>37.5</v>
          </cell>
        </row>
        <row r="30">
          <cell r="B30" t="str">
            <v>1.1.1.11</v>
          </cell>
          <cell r="C30" t="str">
            <v>Remoção de camada de terra vegetal de qualquer natureza, até 0,20m de profundidade, incluindo a recolha, a carga, o transporte e o encaminhamento a destino final autorizado/licenciado dos produtos/ resíduos sobrantes.</v>
          </cell>
          <cell r="D30" t="str">
            <v>m2</v>
          </cell>
          <cell r="E30">
            <v>100</v>
          </cell>
          <cell r="F30">
            <v>2.5</v>
          </cell>
        </row>
        <row r="31">
          <cell r="B31" t="str">
            <v>1.1.1.12</v>
          </cell>
          <cell r="C31" t="str">
            <v>Terraplanagem em terreno de qualquer natureza para redefinição de forma, incluindo escavações e aterros até uma profundidade de 0,50m, incluindo regularização de superficie e a recolha, a carga, o transporte e o encaminhamento a destino final autorizado/licenciado dos produtos/ resíduos sobrantes.</v>
          </cell>
          <cell r="D31" t="str">
            <v>m3</v>
          </cell>
          <cell r="E31">
            <v>20</v>
          </cell>
          <cell r="F31">
            <v>18.75</v>
          </cell>
        </row>
        <row r="32">
          <cell r="B32" t="str">
            <v>1.1.1.13</v>
          </cell>
          <cell r="C32" t="str">
            <v>Idem, até uma profundidade de 1,20m.</v>
          </cell>
          <cell r="D32" t="str">
            <v>m3</v>
          </cell>
          <cell r="E32">
            <v>0</v>
          </cell>
        </row>
        <row r="33">
          <cell r="B33" t="str">
            <v>1.1.2</v>
          </cell>
          <cell r="C33" t="str">
            <v>DESMATAÇÕES E LIMPEZAS (Inclui a recolha, a carga, o transporte e o encaminhamento a destino final autorizado/licenciado dos produtos/ resíduos sobrantes)</v>
          </cell>
        </row>
        <row r="34">
          <cell r="B34" t="str">
            <v>1.1.2.1</v>
          </cell>
          <cell r="C34" t="str">
            <v>Aplicação de um ou mais herbicidas em associação. "2.4.5 T". "2.4-D". sulfanato de amónio ou outros</v>
          </cell>
          <cell r="D34" t="str">
            <v>m2</v>
          </cell>
          <cell r="E34">
            <v>0</v>
          </cell>
        </row>
        <row r="35">
          <cell r="B35" t="str">
            <v>1.1.2.2</v>
          </cell>
          <cell r="C35" t="str">
            <v>Limpeza de valetas em terra</v>
          </cell>
          <cell r="D35" t="str">
            <v>m</v>
          </cell>
          <cell r="E35">
            <v>50</v>
          </cell>
          <cell r="F35">
            <v>6.25</v>
          </cell>
        </row>
        <row r="36">
          <cell r="B36" t="str">
            <v>1.1.2.3</v>
          </cell>
          <cell r="C36" t="str">
            <v>Limpeza de valetas pré-fabricadas tipo CP</v>
          </cell>
          <cell r="D36" t="str">
            <v>m</v>
          </cell>
          <cell r="E36">
            <v>0</v>
          </cell>
        </row>
        <row r="37">
          <cell r="B37" t="str">
            <v>1.1.2.4</v>
          </cell>
          <cell r="C37" t="str">
            <v>Limpeza de valetas betonadas. quaisquer que sejam as suas dimensões</v>
          </cell>
          <cell r="D37" t="str">
            <v>m</v>
          </cell>
          <cell r="E37">
            <v>20</v>
          </cell>
          <cell r="F37">
            <v>10</v>
          </cell>
        </row>
        <row r="38">
          <cell r="B38" t="str">
            <v>1.1.2.5</v>
          </cell>
          <cell r="C38" t="str">
            <v>Limpeza de aquedutos até D600 mm</v>
          </cell>
          <cell r="D38" t="str">
            <v>m</v>
          </cell>
          <cell r="E38">
            <v>0</v>
          </cell>
        </row>
        <row r="39">
          <cell r="B39" t="str">
            <v>1.1.2.6</v>
          </cell>
          <cell r="C39" t="str">
            <v>Limpeza de aquedutos até D1000 mm</v>
          </cell>
          <cell r="D39" t="str">
            <v>m</v>
          </cell>
          <cell r="E39">
            <v>0</v>
          </cell>
        </row>
        <row r="40">
          <cell r="B40" t="str">
            <v>1.1.2.7</v>
          </cell>
          <cell r="C40" t="str">
            <v>Limpeza de grelhas tipo POLIDRAIN de qualquer dimensão em plataformas e acessos, incluindo todos os trabalhos para o efeito</v>
          </cell>
          <cell r="D40" t="str">
            <v>m</v>
          </cell>
          <cell r="E40">
            <v>250</v>
          </cell>
          <cell r="F40">
            <v>12.5</v>
          </cell>
        </row>
        <row r="41">
          <cell r="B41" t="str">
            <v>1.1.2.8</v>
          </cell>
          <cell r="C41" t="str">
            <v>Desmatação de coberto vegetal em taludes, plataformas e áreas envolventes de estações e apeadeiros, incluindo arbustros de pequeno porte com recurso a equipamento mecânico e a recolha, a carga, o transporte e o encaminhamento a destino final autorizado/licenciado dos produtos/ resíduos sobrantes.</v>
          </cell>
          <cell r="D41" t="str">
            <v>m2</v>
          </cell>
          <cell r="E41">
            <v>500</v>
          </cell>
          <cell r="F41">
            <v>2.25</v>
          </cell>
        </row>
        <row r="42">
          <cell r="B42" t="str">
            <v>1.1.2.9</v>
          </cell>
          <cell r="C42" t="str">
            <v>Desmatação de coberto vegetal em taludes, plataformas de áreas envolventes de estações e apeadeiros, incluindo arbustos de pequeno porte com recurso a equipamento mecânico e a recolha, a carga, o transporte e o encaminhamento a destino final autorizado/licenciado dos produtos/ resíduos sobrantes e aplicação de deservagem química, tipo "Roundap", ou equivalente. Nota - A aplicação dos produtos fitofarmacêuticos em taludes deve ser controlada e só aprovada após análise, assegurando igualmente o  assegurando o cumprimento da Lei n.º 26/2013, de 11 de abril.</v>
          </cell>
          <cell r="D42" t="str">
            <v>m2</v>
          </cell>
          <cell r="E42">
            <v>0</v>
          </cell>
        </row>
        <row r="43">
          <cell r="B43" t="str">
            <v>1.1.2.10</v>
          </cell>
          <cell r="C43" t="str">
            <v>Desmatação de coberto vegetal, incluindo silvas e arbustros de pequeno porte com recurso a equipamento mecânico e a recolha, a carga, o transporte e o encaminhamento a destino final autorizado/ licenciado dos produtos/ resíduos sobrantes.</v>
          </cell>
          <cell r="D43" t="str">
            <v>m2</v>
          </cell>
          <cell r="E43">
            <v>1000</v>
          </cell>
          <cell r="F43">
            <v>2.5</v>
          </cell>
        </row>
        <row r="44">
          <cell r="B44" t="str">
            <v>1.1.2.11</v>
          </cell>
          <cell r="C44" t="str">
            <v>Deservagem de  plataformas  e áreas envolventes de estações e apeadeiros, incluindo a recolha, a carga, o transporte e o encaminhamento a destino final autorizado/licenciado dos produtos/ resíduos sobrantes, assegurando o cumprimento da Lei n.º 26/2013, de 11 de abril.</v>
          </cell>
          <cell r="D44" t="str">
            <v>m2</v>
          </cell>
          <cell r="E44">
            <v>350</v>
          </cell>
          <cell r="F44">
            <v>2.4</v>
          </cell>
        </row>
        <row r="45">
          <cell r="B45" t="str">
            <v>1.1.2.12</v>
          </cell>
          <cell r="C45" t="str">
            <v>Poda  ou corte de árvores de médio porte com recurso a equipamento mecânico e  recolha, a carga, o transporte e o encaminhamento a destino final autorizado/licenciado dos produtos/ resíduos sobrantes ou local a designar pela REFER, assegurando o cumprimento dos requisitos legais e internos.</v>
          </cell>
          <cell r="D45" t="str">
            <v>un</v>
          </cell>
          <cell r="E45">
            <v>2</v>
          </cell>
          <cell r="F45">
            <v>350</v>
          </cell>
        </row>
        <row r="46">
          <cell r="B46" t="str">
            <v>1.1.2.13</v>
          </cell>
          <cell r="C46" t="str">
            <v>Poda ou corte de árvores de grande porte com recurso a equipamento mecânico e a recolha, a carga, o transporte e o encaminhamento a destino final autorizado/licenciado dos produtos/ resíduos sobrantes ou local a designar pela REFER, assegurando o cumprimento dos requisitos legais e internos.</v>
          </cell>
          <cell r="D46" t="str">
            <v>un</v>
          </cell>
          <cell r="E46">
            <v>2</v>
          </cell>
          <cell r="F46">
            <v>437.5</v>
          </cell>
        </row>
        <row r="47">
          <cell r="B47" t="str">
            <v>1.2</v>
          </cell>
          <cell r="C47" t="str">
            <v>DEMOLIÇÕES (Inclui a recolha, triagem, remoção e encaminhamento a destino final licenciado de todos os resíduos resultantes, bem como todas as operações necessárias para o efeito onde aplicável)</v>
          </cell>
        </row>
        <row r="48">
          <cell r="B48" t="str">
            <v>1.2.1</v>
          </cell>
          <cell r="C48" t="str">
            <v>PAREDES (incluindo revestimentos)</v>
          </cell>
        </row>
        <row r="49">
          <cell r="B49" t="str">
            <v>1.2.1.1</v>
          </cell>
          <cell r="C49" t="str">
            <v>Demolição de paredes com espessura de 10 a 20 cm, em alvenaria de tijolo ou blocos de cimento para abertura de vãos de portas, janelas e outros.</v>
          </cell>
          <cell r="D49" t="str">
            <v>m2</v>
          </cell>
          <cell r="E49">
            <v>0</v>
          </cell>
        </row>
        <row r="50">
          <cell r="B50" t="str">
            <v>1.2.1.2</v>
          </cell>
          <cell r="C50" t="str">
            <v>Idem para espessura de 21 a 30 cm</v>
          </cell>
          <cell r="D50" t="str">
            <v>m2</v>
          </cell>
          <cell r="E50">
            <v>0</v>
          </cell>
        </row>
        <row r="51">
          <cell r="B51" t="str">
            <v>1.2.1.3</v>
          </cell>
          <cell r="C51" t="str">
            <v>Idem para espessura de 31 a 40 cm</v>
          </cell>
          <cell r="D51" t="str">
            <v>m2</v>
          </cell>
          <cell r="E51">
            <v>0</v>
          </cell>
        </row>
        <row r="52">
          <cell r="B52" t="str">
            <v>1.2.1.4</v>
          </cell>
          <cell r="C52" t="str">
            <v>Idem para espessura de 41 a 50 cm</v>
          </cell>
          <cell r="D52" t="str">
            <v>m2</v>
          </cell>
          <cell r="E52">
            <v>0</v>
          </cell>
        </row>
        <row r="53">
          <cell r="B53" t="str">
            <v>1.2.1.5</v>
          </cell>
          <cell r="C53" t="str">
            <v>Demolição de paredes com espessura de 10 a 20 cm, em alvenaria de tijolo ou blocos de cimento.</v>
          </cell>
          <cell r="D53" t="str">
            <v>m2</v>
          </cell>
          <cell r="E53">
            <v>35</v>
          </cell>
          <cell r="F53">
            <v>10</v>
          </cell>
        </row>
        <row r="54">
          <cell r="B54" t="str">
            <v>1.2.1.6</v>
          </cell>
          <cell r="C54" t="str">
            <v>Idem para espessura de 21 a 30 cm</v>
          </cell>
          <cell r="D54" t="str">
            <v>m2</v>
          </cell>
          <cell r="E54">
            <v>1</v>
          </cell>
          <cell r="F54">
            <v>10</v>
          </cell>
        </row>
        <row r="55">
          <cell r="B55" t="str">
            <v>1.2.1.7</v>
          </cell>
          <cell r="C55" t="str">
            <v>Idem para espessura de 31 a 40 cm</v>
          </cell>
          <cell r="D55" t="str">
            <v>m2</v>
          </cell>
          <cell r="E55">
            <v>1</v>
          </cell>
          <cell r="F55">
            <v>12.5</v>
          </cell>
        </row>
        <row r="56">
          <cell r="B56" t="str">
            <v>1.2.1.8</v>
          </cell>
          <cell r="C56" t="str">
            <v>Idem para espessura de 41 a 50 cm</v>
          </cell>
          <cell r="D56" t="str">
            <v>m2</v>
          </cell>
          <cell r="E56">
            <v>0</v>
          </cell>
        </row>
        <row r="57">
          <cell r="B57" t="str">
            <v>1.2.1.9</v>
          </cell>
          <cell r="C57" t="str">
            <v>Demolição de paredes com espessura de 10 a 20 cm, em alvenaria de tijolo maciço ou alvenaria de pedra.</v>
          </cell>
          <cell r="D57" t="str">
            <v>m2</v>
          </cell>
          <cell r="E57">
            <v>20</v>
          </cell>
          <cell r="F57">
            <v>11.25</v>
          </cell>
        </row>
        <row r="58">
          <cell r="B58" t="str">
            <v>1.2.1.10</v>
          </cell>
          <cell r="C58" t="str">
            <v>Idem para espessura de 21 a 30 cm</v>
          </cell>
          <cell r="D58" t="str">
            <v>m2</v>
          </cell>
          <cell r="E58">
            <v>5</v>
          </cell>
          <cell r="F58">
            <v>25</v>
          </cell>
        </row>
        <row r="59">
          <cell r="B59" t="str">
            <v>1.2.1.11</v>
          </cell>
          <cell r="C59" t="str">
            <v>Idem para espessura de 31 a 50 cm</v>
          </cell>
          <cell r="D59" t="str">
            <v>m2</v>
          </cell>
          <cell r="E59">
            <v>10</v>
          </cell>
          <cell r="F59">
            <v>31.25</v>
          </cell>
        </row>
        <row r="60">
          <cell r="B60" t="str">
            <v>1.2.1.12</v>
          </cell>
          <cell r="C60" t="str">
            <v>Idem para espessura de 51 a 70 cm</v>
          </cell>
          <cell r="D60" t="str">
            <v>m2</v>
          </cell>
          <cell r="E60">
            <v>10</v>
          </cell>
          <cell r="F60">
            <v>37.5</v>
          </cell>
        </row>
        <row r="61">
          <cell r="B61" t="str">
            <v>1.2.1.13</v>
          </cell>
          <cell r="C61" t="str">
            <v>Demolição de paredes de betão</v>
          </cell>
          <cell r="D61" t="str">
            <v>m3</v>
          </cell>
          <cell r="E61">
            <v>1</v>
          </cell>
          <cell r="F61">
            <v>125</v>
          </cell>
        </row>
        <row r="62">
          <cell r="B62" t="str">
            <v>1.2.1.14</v>
          </cell>
          <cell r="C62" t="str">
            <v>Demolição de paredes de tabique com 0.15m</v>
          </cell>
          <cell r="D62" t="str">
            <v>m2</v>
          </cell>
          <cell r="E62">
            <v>0</v>
          </cell>
        </row>
        <row r="63">
          <cell r="B63" t="str">
            <v>1.2.1.15</v>
          </cell>
          <cell r="C63" t="str">
            <v>Picagem de reboco em paredes de alvenaria ou pedra</v>
          </cell>
          <cell r="D63" t="str">
            <v>m2</v>
          </cell>
          <cell r="E63">
            <v>150</v>
          </cell>
          <cell r="F63">
            <v>8.5</v>
          </cell>
        </row>
        <row r="64">
          <cell r="B64" t="str">
            <v>1.2.1.16</v>
          </cell>
          <cell r="C64" t="str">
            <v>Levantamento de lambris de azulejo ou forra de pedra em paredes</v>
          </cell>
          <cell r="D64" t="str">
            <v>m2</v>
          </cell>
          <cell r="E64">
            <v>5</v>
          </cell>
          <cell r="F64">
            <v>8.75</v>
          </cell>
        </row>
        <row r="65">
          <cell r="B65" t="str">
            <v>1.2.1.17</v>
          </cell>
          <cell r="C65" t="str">
            <v>Levantamento de forro de madeira, PVC, corticite ou paineis em chapa em paredes</v>
          </cell>
          <cell r="D65" t="str">
            <v>m2</v>
          </cell>
          <cell r="E65">
            <v>10</v>
          </cell>
          <cell r="F65">
            <v>5.7</v>
          </cell>
        </row>
        <row r="66">
          <cell r="B66" t="str">
            <v>1.2.1.18</v>
          </cell>
          <cell r="C66" t="str">
            <v>Desmonte de divisórias amovíveis com aproveitamento de todas as peças retiradas, incluíndo transporte para local a designar pela fiscalização.</v>
          </cell>
          <cell r="D66" t="str">
            <v>m2</v>
          </cell>
          <cell r="E66">
            <v>10</v>
          </cell>
          <cell r="F66">
            <v>43.75</v>
          </cell>
        </row>
        <row r="67">
          <cell r="B67" t="str">
            <v>1.2.1.19</v>
          </cell>
          <cell r="C67" t="str">
            <v>Demolições de paredes em gesso cartonado, incluindo estrutura de suporte.</v>
          </cell>
          <cell r="D67" t="str">
            <v>m2</v>
          </cell>
          <cell r="E67">
            <v>0</v>
          </cell>
        </row>
        <row r="68">
          <cell r="B68" t="str">
            <v>1.2.2</v>
          </cell>
          <cell r="C68" t="str">
            <v>PAVIMENTOS</v>
          </cell>
        </row>
        <row r="69">
          <cell r="B69" t="str">
            <v>1.2.2.1</v>
          </cell>
          <cell r="C69" t="str">
            <v>Levantamento de tacos, alcatifa, parquet, mosaico em corticite, mosaico vinilico, linóleo, etc, incluíndo remoção de cola, limpeza e regularização da superfície</v>
          </cell>
          <cell r="D69" t="str">
            <v>m2</v>
          </cell>
          <cell r="E69">
            <v>20</v>
          </cell>
          <cell r="F69">
            <v>6.25</v>
          </cell>
        </row>
        <row r="70">
          <cell r="B70" t="str">
            <v>1.2.2.2</v>
          </cell>
          <cell r="C70" t="str">
            <v>Idem em mosaico hidráulico em pavimentos</v>
          </cell>
          <cell r="D70" t="str">
            <v>m2</v>
          </cell>
          <cell r="E70">
            <v>5</v>
          </cell>
          <cell r="F70">
            <v>10</v>
          </cell>
        </row>
        <row r="71">
          <cell r="B71" t="str">
            <v>1.2.2.3</v>
          </cell>
          <cell r="C71" t="str">
            <v>Idem em solho em pavimentos</v>
          </cell>
          <cell r="D71" t="str">
            <v>m2</v>
          </cell>
          <cell r="E71">
            <v>5</v>
          </cell>
          <cell r="F71">
            <v>6.25</v>
          </cell>
        </row>
        <row r="72">
          <cell r="B72" t="str">
            <v>1.2.2.4</v>
          </cell>
          <cell r="C72" t="str">
            <v>Picagem e levantamento de de betonilha em pavimentos até 0,05m de espessura.</v>
          </cell>
          <cell r="D72" t="str">
            <v>m2</v>
          </cell>
          <cell r="E72">
            <v>10</v>
          </cell>
          <cell r="F72">
            <v>8.6</v>
          </cell>
        </row>
        <row r="73">
          <cell r="B73" t="str">
            <v>1.2.2.5</v>
          </cell>
          <cell r="C73" t="str">
            <v>Demolição de pavimento em betuminoso com equipamento de corte adequado</v>
          </cell>
        </row>
        <row r="74">
          <cell r="B74" t="str">
            <v>1.2.2.5.1</v>
          </cell>
          <cell r="C74" t="str">
            <v>Até 0,10m de espessura</v>
          </cell>
          <cell r="D74" t="str">
            <v>m2</v>
          </cell>
          <cell r="E74">
            <v>10</v>
          </cell>
          <cell r="F74">
            <v>8.75</v>
          </cell>
        </row>
        <row r="75">
          <cell r="B75" t="str">
            <v>1.2.2.5.2</v>
          </cell>
          <cell r="C75" t="str">
            <v>Entre 0,11m e 0,20m de espessura</v>
          </cell>
          <cell r="D75" t="str">
            <v>m2</v>
          </cell>
          <cell r="E75">
            <v>5</v>
          </cell>
          <cell r="F75">
            <v>20</v>
          </cell>
        </row>
        <row r="76">
          <cell r="B76" t="str">
            <v>1.2.2.5.3</v>
          </cell>
          <cell r="C76" t="str">
            <v>Entre 0,21m e 0,30m de espessura</v>
          </cell>
          <cell r="D76" t="str">
            <v>m2</v>
          </cell>
          <cell r="E76">
            <v>5</v>
          </cell>
          <cell r="F76">
            <v>23.15</v>
          </cell>
        </row>
        <row r="77">
          <cell r="B77" t="str">
            <v>1.2.2.6</v>
          </cell>
          <cell r="C77" t="str">
            <v>Levantamento de lajetas pré-fabricadas em pavimento de plataformas, incluindo limpeza e regularização da superfície e baldeação</v>
          </cell>
          <cell r="D77" t="str">
            <v>m2</v>
          </cell>
          <cell r="E77">
            <v>50</v>
          </cell>
          <cell r="F77">
            <v>5.7</v>
          </cell>
        </row>
        <row r="78">
          <cell r="B78" t="str">
            <v>1.2.2.7</v>
          </cell>
          <cell r="C78" t="str">
            <v>Idem, em calçada</v>
          </cell>
          <cell r="D78" t="str">
            <v>m2</v>
          </cell>
          <cell r="E78">
            <v>10</v>
          </cell>
          <cell r="F78">
            <v>6.1</v>
          </cell>
        </row>
        <row r="79">
          <cell r="B79" t="str">
            <v>1.2.2.8</v>
          </cell>
          <cell r="C79" t="str">
            <v>Picagem de betonilha em pavimentos, até 10cm de espessura, incluindo regularização de superfície e baldeação</v>
          </cell>
          <cell r="D79" t="str">
            <v>m2</v>
          </cell>
          <cell r="E79">
            <v>50</v>
          </cell>
          <cell r="F79">
            <v>10.65</v>
          </cell>
        </row>
        <row r="80">
          <cell r="B80" t="str">
            <v>1.2.3</v>
          </cell>
          <cell r="C80" t="str">
            <v>TECTOS</v>
          </cell>
        </row>
        <row r="81">
          <cell r="B81" t="str">
            <v>1.2.3.1</v>
          </cell>
          <cell r="C81" t="str">
            <v>Levantamento de forro de madeira com aproveitamento para posterior colocação.</v>
          </cell>
          <cell r="D81" t="str">
            <v>m2</v>
          </cell>
          <cell r="E81">
            <v>25</v>
          </cell>
          <cell r="F81">
            <v>4.7</v>
          </cell>
        </row>
        <row r="82">
          <cell r="B82" t="str">
            <v>1.2.3.2</v>
          </cell>
          <cell r="C82" t="str">
            <v>Levantamento de estafe estucado</v>
          </cell>
          <cell r="D82" t="str">
            <v>m2</v>
          </cell>
          <cell r="E82">
            <v>50</v>
          </cell>
          <cell r="F82">
            <v>6.25</v>
          </cell>
        </row>
        <row r="83">
          <cell r="B83" t="str">
            <v>1.2.3.3</v>
          </cell>
          <cell r="C83" t="str">
            <v>Levantamento de tecto falso de qualquer natureza para posterior colocação.</v>
          </cell>
          <cell r="D83" t="str">
            <v>m2</v>
          </cell>
          <cell r="E83">
            <v>5</v>
          </cell>
          <cell r="F83">
            <v>33.75</v>
          </cell>
        </row>
        <row r="84">
          <cell r="B84" t="str">
            <v>1.2.3.4</v>
          </cell>
          <cell r="C84" t="str">
            <v>Demolição de tecto falso de diversos tipos e natureza.</v>
          </cell>
          <cell r="D84" t="str">
            <v>m2</v>
          </cell>
          <cell r="E84">
            <v>20</v>
          </cell>
          <cell r="F84">
            <v>7.5</v>
          </cell>
        </row>
        <row r="85">
          <cell r="B85" t="str">
            <v>1.2.4</v>
          </cell>
          <cell r="C85" t="str">
            <v>CAIXILHARIAS</v>
          </cell>
        </row>
        <row r="86">
          <cell r="B86" t="str">
            <v>1.2.4.1</v>
          </cell>
          <cell r="C86" t="str">
            <v>Levantamento de caixilharia em madeira, alumínio, PVC ou ferro, em vãos de janelas, portas ou outros, incluindo regularização e remate das superficies</v>
          </cell>
          <cell r="D86" t="str">
            <v>un</v>
          </cell>
          <cell r="E86">
            <v>20</v>
          </cell>
          <cell r="F86">
            <v>37.5</v>
          </cell>
        </row>
        <row r="87">
          <cell r="B87" t="str">
            <v>1.2.5</v>
          </cell>
          <cell r="C87" t="str">
            <v>LOIÇAS SANITÁRIAS (Inclui transporte a local a indicar pela Fiscalização)</v>
          </cell>
        </row>
        <row r="88">
          <cell r="B88" t="str">
            <v>1.2.5.1</v>
          </cell>
          <cell r="C88" t="str">
            <v>Levantamento de aparelhos sanitários, nomeadamente lavatórios, bidés, sanitas, urinóis, turcas, incluído autoclismos e respetivos acessórios.</v>
          </cell>
          <cell r="D88" t="str">
            <v>un</v>
          </cell>
          <cell r="E88">
            <v>5</v>
          </cell>
          <cell r="F88">
            <v>12.5</v>
          </cell>
        </row>
        <row r="89">
          <cell r="B89" t="str">
            <v>1.2.5.2</v>
          </cell>
          <cell r="C89" t="str">
            <v>Idem para banheiras e bases de chuveiro</v>
          </cell>
          <cell r="D89" t="str">
            <v>un</v>
          </cell>
          <cell r="E89">
            <v>1</v>
          </cell>
          <cell r="F89">
            <v>12.5</v>
          </cell>
        </row>
        <row r="90">
          <cell r="B90" t="str">
            <v>1.2.5.3</v>
          </cell>
          <cell r="C90" t="str">
            <v>Idem para divisórias de banheira ou chuveiro</v>
          </cell>
          <cell r="D90" t="str">
            <v>un</v>
          </cell>
          <cell r="E90">
            <v>1</v>
          </cell>
          <cell r="F90">
            <v>16.899999999999999</v>
          </cell>
        </row>
        <row r="91">
          <cell r="B91" t="str">
            <v>1.2.5.4</v>
          </cell>
          <cell r="C91" t="str">
            <v>Idem bancas de lavatórios</v>
          </cell>
          <cell r="D91" t="str">
            <v>m2</v>
          </cell>
          <cell r="E91">
            <v>1</v>
          </cell>
          <cell r="F91">
            <v>25</v>
          </cell>
        </row>
        <row r="92">
          <cell r="B92" t="str">
            <v>1.2.6</v>
          </cell>
          <cell r="C92" t="str">
            <v>COBERTURAS (incluindo meios de elevação para a execução dos trabalhos)</v>
          </cell>
        </row>
        <row r="93">
          <cell r="B93" t="str">
            <v>1.2.6.1</v>
          </cell>
          <cell r="C93" t="str">
            <v>Levantamento de chapas metálicas com aproveitamento das mesmas</v>
          </cell>
          <cell r="D93" t="str">
            <v>m2</v>
          </cell>
          <cell r="E93">
            <v>85</v>
          </cell>
          <cell r="F93">
            <v>3.75</v>
          </cell>
        </row>
        <row r="94">
          <cell r="B94" t="str">
            <v>1.2.6.2</v>
          </cell>
          <cell r="C94" t="str">
            <v>Idem em policarbonato compacto ou alveolar</v>
          </cell>
          <cell r="D94" t="str">
            <v>m2</v>
          </cell>
          <cell r="E94">
            <v>0</v>
          </cell>
        </row>
        <row r="95">
          <cell r="B95" t="str">
            <v>1.2.6.3</v>
          </cell>
          <cell r="C95" t="str">
            <v>Idem em placas de vidro laminado termoendurecido.</v>
          </cell>
          <cell r="D95" t="str">
            <v>m2</v>
          </cell>
          <cell r="E95">
            <v>0</v>
          </cell>
        </row>
        <row r="96">
          <cell r="B96" t="str">
            <v>1.2.6.4</v>
          </cell>
          <cell r="C96" t="str">
            <v>Idem em telha cerâmica</v>
          </cell>
          <cell r="D96" t="str">
            <v>m2</v>
          </cell>
          <cell r="E96">
            <v>25</v>
          </cell>
          <cell r="F96">
            <v>4.9000000000000004</v>
          </cell>
        </row>
        <row r="97">
          <cell r="B97" t="str">
            <v>1.2.6.5</v>
          </cell>
          <cell r="C97" t="str">
            <v>Desmonte e transporte de varedo e ripado em madeira</v>
          </cell>
          <cell r="D97" t="str">
            <v>m2</v>
          </cell>
          <cell r="E97">
            <v>25</v>
          </cell>
          <cell r="F97">
            <v>4.4000000000000004</v>
          </cell>
        </row>
        <row r="98">
          <cell r="B98" t="str">
            <v>1.2.6.6</v>
          </cell>
          <cell r="C98" t="str">
            <v>Desmonte e transporte de estrutura metalica de suporte, incluindo a recolha, a carga e o encaminhamento de resíduos a destino final licenciado.</v>
          </cell>
          <cell r="D98" t="str">
            <v>kg</v>
          </cell>
          <cell r="E98">
            <v>0</v>
          </cell>
        </row>
        <row r="99">
          <cell r="B99" t="str">
            <v>1.2.6.7</v>
          </cell>
          <cell r="C99" t="str">
            <v>Idem em alumínio.</v>
          </cell>
          <cell r="D99" t="str">
            <v>kg</v>
          </cell>
          <cell r="E99">
            <v>0</v>
          </cell>
        </row>
        <row r="100">
          <cell r="B100" t="str">
            <v>1.2.6.8</v>
          </cell>
          <cell r="C100" t="str">
            <v>Levantamento de caleiras e algerozes de qualquer natureza</v>
          </cell>
          <cell r="D100" t="str">
            <v>m</v>
          </cell>
          <cell r="E100">
            <v>10</v>
          </cell>
          <cell r="F100">
            <v>1.9</v>
          </cell>
        </row>
        <row r="101">
          <cell r="B101" t="str">
            <v>1.2.6.9</v>
          </cell>
          <cell r="C101" t="str">
            <v>Levantamento de tela de alumínio, de xisto e asfáltica, incluindo limpeza, regularização da base</v>
          </cell>
          <cell r="D101" t="str">
            <v>m2</v>
          </cell>
          <cell r="E101">
            <v>50</v>
          </cell>
          <cell r="F101">
            <v>3.15</v>
          </cell>
        </row>
        <row r="102">
          <cell r="B102" t="str">
            <v>1.2.6.10</v>
          </cell>
          <cell r="C102" t="str">
            <v>Desmonte de chapas de fibrocimento com amianto</v>
          </cell>
          <cell r="D102" t="str">
            <v>m2</v>
          </cell>
          <cell r="E102">
            <v>50</v>
          </cell>
          <cell r="F102">
            <v>60</v>
          </cell>
        </row>
        <row r="103">
          <cell r="B103" t="str">
            <v>1.2.6.11</v>
          </cell>
          <cell r="C103" t="str">
            <v>Demolição de coberturas em laje pré-fabricadas incluindo todos os meios necessários para a sua remoção</v>
          </cell>
          <cell r="D103" t="str">
            <v>m2</v>
          </cell>
          <cell r="E103">
            <v>2</v>
          </cell>
          <cell r="F103">
            <v>28.15</v>
          </cell>
        </row>
        <row r="104">
          <cell r="B104" t="str">
            <v>1.2.7</v>
          </cell>
          <cell r="C104" t="str">
            <v>DIVERSOS</v>
          </cell>
        </row>
        <row r="105">
          <cell r="B105" t="str">
            <v>1.2.7.1</v>
          </cell>
          <cell r="C105" t="str">
            <v>Demolição de peças ou maciços em betão armado</v>
          </cell>
          <cell r="D105" t="str">
            <v>m3</v>
          </cell>
          <cell r="E105">
            <v>8</v>
          </cell>
          <cell r="F105">
            <v>56.25</v>
          </cell>
        </row>
        <row r="106">
          <cell r="B106" t="str">
            <v>1.2.7.2</v>
          </cell>
          <cell r="C106" t="str">
            <v>Abertura e tapamento de roços em paredes de alvenaria de pedra para passagem de tubagens e canalizações, incluíndo refechamento</v>
          </cell>
          <cell r="D106" t="str">
            <v>m</v>
          </cell>
          <cell r="E106">
            <v>20</v>
          </cell>
          <cell r="F106">
            <v>6.25</v>
          </cell>
        </row>
        <row r="107">
          <cell r="B107" t="str">
            <v>1.2.7.3</v>
          </cell>
          <cell r="C107" t="str">
            <v>Idem em paredes de alvenaria de tijolo.</v>
          </cell>
          <cell r="D107" t="str">
            <v>m</v>
          </cell>
          <cell r="E107">
            <v>1</v>
          </cell>
          <cell r="F107">
            <v>3.75</v>
          </cell>
        </row>
        <row r="108">
          <cell r="B108" t="str">
            <v>1.2.7.4</v>
          </cell>
          <cell r="C108" t="str">
            <v>Abertura e tapamento de roços em pavimento para passagem de canalizações de água e esgoto com até ao diâmetro de 160mm</v>
          </cell>
          <cell r="D108" t="str">
            <v>m</v>
          </cell>
          <cell r="E108">
            <v>10</v>
          </cell>
          <cell r="F108">
            <v>6.25</v>
          </cell>
        </row>
        <row r="109">
          <cell r="B109" t="str">
            <v>1.2.7.5</v>
          </cell>
          <cell r="C109" t="str">
            <v>Idem para diâmetro superior a 160mm e inferior a 250mm</v>
          </cell>
          <cell r="D109" t="str">
            <v>m</v>
          </cell>
          <cell r="E109">
            <v>0</v>
          </cell>
        </row>
        <row r="110">
          <cell r="B110" t="str">
            <v>1.2.7.6</v>
          </cell>
          <cell r="C110" t="str">
            <v>Levantamento de tela de alumínio, de xisto e asfáltica, incluindo limpeza, regularização da base</v>
          </cell>
          <cell r="D110" t="str">
            <v>m2</v>
          </cell>
          <cell r="E110">
            <v>0</v>
          </cell>
        </row>
        <row r="111">
          <cell r="B111" t="str">
            <v>1.2.7.7</v>
          </cell>
          <cell r="C111" t="str">
            <v>Demolição de edificios com recurso a meios mecânicos (giratória) tendo em conta o seu volume incluindo remoção, armazenamento e encaminhamento de resíduos  a destino final licenciado, bem como, a carga e  descarga em local autorizado pela Fiscalização REFER de materiais considerados valorizáveis e/ou passíveis de reutilização e limpeza das zonas afectadas pelos trabalhos.</v>
          </cell>
          <cell r="D111" t="str">
            <v>m3</v>
          </cell>
          <cell r="E111">
            <v>0</v>
          </cell>
        </row>
        <row r="112">
          <cell r="B112" t="str">
            <v>1.2.8</v>
          </cell>
          <cell r="C112" t="str">
            <v>VEDAÇÕES (incluído transporte, carga e  descarga de materiais considerados valorizáveis e/ou passíveis de reutilizaçãoem local autorizado pela Fiscalização REFER ou encaminhamento dos resíduos a destino final licenciado e limpeza das zonas afetadas pelos trabalhos)</v>
          </cell>
        </row>
        <row r="113">
          <cell r="B113" t="str">
            <v>1.2.8.1</v>
          </cell>
          <cell r="C113" t="str">
            <v>Levantamento de vedações em painéis metálicos</v>
          </cell>
          <cell r="D113" t="str">
            <v>m2</v>
          </cell>
          <cell r="E113">
            <v>15</v>
          </cell>
          <cell r="F113">
            <v>3.75</v>
          </cell>
        </row>
        <row r="114">
          <cell r="B114" t="str">
            <v>1.2.8.2</v>
          </cell>
          <cell r="C114" t="str">
            <v>Idem em rede metálica.</v>
          </cell>
          <cell r="D114" t="str">
            <v>m2</v>
          </cell>
          <cell r="E114">
            <v>100</v>
          </cell>
          <cell r="F114">
            <v>3.15</v>
          </cell>
        </row>
        <row r="115">
          <cell r="B115" t="str">
            <v>1.2.8.3</v>
          </cell>
          <cell r="C115" t="str">
            <v>Levantamento de prumos metálicos de vedações, incluindo remoção das fixações ou picagem dos chumbadouros</v>
          </cell>
          <cell r="D115" t="str">
            <v>un</v>
          </cell>
          <cell r="E115">
            <v>20</v>
          </cell>
          <cell r="F115">
            <v>1.9</v>
          </cell>
        </row>
        <row r="116">
          <cell r="B116" t="str">
            <v>1.2.8.4</v>
          </cell>
          <cell r="C116" t="str">
            <v>Levantamento de vedação do tipo ovelheira, incluindo postes e pórticos</v>
          </cell>
          <cell r="D116" t="str">
            <v>m2</v>
          </cell>
          <cell r="E116">
            <v>200</v>
          </cell>
          <cell r="F116">
            <v>3.75</v>
          </cell>
        </row>
        <row r="117">
          <cell r="B117" t="str">
            <v>1.2.8.5</v>
          </cell>
          <cell r="C117" t="str">
            <v>Levantamento de vedações em painéis de betão tipo CP</v>
          </cell>
          <cell r="D117" t="str">
            <v>m2</v>
          </cell>
          <cell r="E117">
            <v>10</v>
          </cell>
          <cell r="F117">
            <v>3.15</v>
          </cell>
        </row>
        <row r="118">
          <cell r="B118" t="str">
            <v>1.2.8.6</v>
          </cell>
          <cell r="C118" t="str">
            <v>Levantamento de prumos de betão de vedação do tipo CP, incluindo picagem dos chumbadouros.</v>
          </cell>
          <cell r="D118" t="str">
            <v>m</v>
          </cell>
          <cell r="E118">
            <v>5</v>
          </cell>
          <cell r="F118">
            <v>2.5</v>
          </cell>
        </row>
        <row r="119">
          <cell r="B119" t="str">
            <v>1.2.9</v>
          </cell>
          <cell r="C119" t="str">
            <v>ENCAMINHAMENTO A DESTINO FINAL LICENCIADO</v>
          </cell>
        </row>
        <row r="120">
          <cell r="B120" t="str">
            <v>1.2.9.1</v>
          </cell>
          <cell r="C120" t="str">
            <v>Triagem, remoção, carga, transporte, armazenamento e encaminhamento de resíduos  a destino final licenciado, incluindo carga e  descarga em local autorizado pela Fiscalização REFER e limpeza das zonas afectadas pelos trabalhos</v>
          </cell>
          <cell r="D120" t="str">
            <v>m3</v>
          </cell>
          <cell r="E120">
            <v>20</v>
          </cell>
          <cell r="F120">
            <v>34.4</v>
          </cell>
        </row>
        <row r="121">
          <cell r="B121" t="str">
            <v>1.2.9.2</v>
          </cell>
          <cell r="C121" t="str">
            <v>Fornecimento dos meios necessários (contentor/ bidão) para recolha de resíduos, incluindo carregamento. transporte e encamihamento a destino final licenciado.</v>
          </cell>
          <cell r="D121" t="str">
            <v>un</v>
          </cell>
          <cell r="E121">
            <v>0</v>
          </cell>
        </row>
        <row r="122">
          <cell r="B122" t="str">
            <v>1.3</v>
          </cell>
          <cell r="C122" t="str">
            <v>ATERROS E MACADAMES</v>
          </cell>
        </row>
        <row r="123">
          <cell r="B123" t="str">
            <v>1.3.1</v>
          </cell>
          <cell r="C123" t="str">
            <v>Aterro com material de empréstimo selecionado, incluindo compactação por camadas com altura máxima de 0,30m.</v>
          </cell>
          <cell r="D123" t="str">
            <v>m3</v>
          </cell>
          <cell r="E123">
            <v>25</v>
          </cell>
          <cell r="F123">
            <v>12.5</v>
          </cell>
        </row>
        <row r="124">
          <cell r="B124" t="str">
            <v>1.3.2</v>
          </cell>
          <cell r="C124" t="str">
            <v>Fornecimento e aplicação de tout-venant, granulemtria extensa 0/32,  incluindo compactação com cilindro vibratório por camadas de espessura não espessura a 0,10m.</v>
          </cell>
          <cell r="D124" t="str">
            <v>m3</v>
          </cell>
          <cell r="E124">
            <v>25</v>
          </cell>
          <cell r="F124">
            <v>18.75</v>
          </cell>
        </row>
        <row r="125">
          <cell r="B125" t="str">
            <v>1.3.3</v>
          </cell>
          <cell r="C125" t="str">
            <v>Fornecimento e aplicação de pó de pedra, incluindo compactação com cilindro vibratório.</v>
          </cell>
          <cell r="D125" t="str">
            <v>m3</v>
          </cell>
          <cell r="E125">
            <v>1</v>
          </cell>
          <cell r="F125">
            <v>15.7</v>
          </cell>
        </row>
        <row r="126">
          <cell r="B126" t="str">
            <v>1.3.4</v>
          </cell>
          <cell r="C126" t="str">
            <v>Fornecimento e colocação de gravilha, com granulometria 2/6mm.</v>
          </cell>
          <cell r="D126" t="str">
            <v>m3</v>
          </cell>
          <cell r="E126">
            <v>1</v>
          </cell>
          <cell r="F126">
            <v>16.25</v>
          </cell>
        </row>
        <row r="127">
          <cell r="B127" t="str">
            <v>1.3.5</v>
          </cell>
          <cell r="C127" t="str">
            <v>Fornecimento e aplicação de brita de origem granítica, incluindo espalhamento e compatação:</v>
          </cell>
        </row>
        <row r="128">
          <cell r="B128" t="str">
            <v>1.3.5.1</v>
          </cell>
          <cell r="C128" t="str">
            <v>com granulometria 6/14mm</v>
          </cell>
          <cell r="D128" t="str">
            <v>m3</v>
          </cell>
          <cell r="E128">
            <v>0</v>
          </cell>
        </row>
        <row r="129">
          <cell r="B129" t="str">
            <v>1.3.5.2</v>
          </cell>
          <cell r="C129" t="str">
            <v>com granulometria 14/20mm</v>
          </cell>
          <cell r="D129" t="str">
            <v>m3</v>
          </cell>
          <cell r="E129">
            <v>15</v>
          </cell>
          <cell r="F129">
            <v>15</v>
          </cell>
        </row>
        <row r="130">
          <cell r="B130" t="str">
            <v>1.3.5.3</v>
          </cell>
          <cell r="C130" t="str">
            <v>com granulometria 20/40mm</v>
          </cell>
          <cell r="D130" t="str">
            <v>m3</v>
          </cell>
          <cell r="E130">
            <v>5</v>
          </cell>
          <cell r="F130">
            <v>14.75</v>
          </cell>
        </row>
        <row r="131">
          <cell r="B131" t="str">
            <v>1.3.6</v>
          </cell>
          <cell r="C131" t="str">
            <v>Fornecimento e colocação de material britado de enrocamento, vulgo Rachão, em pedra granitica com granulometria 90/220mm.</v>
          </cell>
          <cell r="D131" t="str">
            <v>m3</v>
          </cell>
          <cell r="E131">
            <v>5</v>
          </cell>
          <cell r="F131">
            <v>45</v>
          </cell>
        </row>
        <row r="132">
          <cell r="B132" t="str">
            <v>1.3.7</v>
          </cell>
          <cell r="C132" t="str">
            <v>Fornecimento e colocação de manta geotêxtil:</v>
          </cell>
        </row>
        <row r="133">
          <cell r="B133" t="str">
            <v>1.3.7.1</v>
          </cell>
          <cell r="C133" t="str">
            <v>de 200 gr/m2</v>
          </cell>
          <cell r="D133" t="str">
            <v>m2</v>
          </cell>
          <cell r="E133">
            <v>20</v>
          </cell>
          <cell r="F133">
            <v>2.1</v>
          </cell>
        </row>
        <row r="134">
          <cell r="B134" t="str">
            <v>1.3.7.2</v>
          </cell>
          <cell r="C134" t="str">
            <v>de 300 gr/m2</v>
          </cell>
          <cell r="D134" t="str">
            <v>m2</v>
          </cell>
          <cell r="E134">
            <v>0</v>
          </cell>
        </row>
        <row r="135">
          <cell r="B135" t="str">
            <v>1.3.7.3</v>
          </cell>
          <cell r="C135" t="str">
            <v>de 400 gr/m2</v>
          </cell>
          <cell r="D135" t="str">
            <v>m2</v>
          </cell>
          <cell r="E135">
            <v>0</v>
          </cell>
        </row>
        <row r="136">
          <cell r="B136" t="str">
            <v>1.3.7.4</v>
          </cell>
          <cell r="C136" t="str">
            <v>de 600 gr/m2</v>
          </cell>
          <cell r="D136" t="str">
            <v>m2</v>
          </cell>
          <cell r="E136">
            <v>0</v>
          </cell>
        </row>
        <row r="137">
          <cell r="B137">
            <v>2</v>
          </cell>
          <cell r="C137" t="str">
            <v>BETÕES. ALVENARIAS E CANTARIAS (inclui a recolha, triagem, remoção, transporte a armazenamento preliminar e encaminhamento a destino final licenciado, bem como, o cumprimento legal inerente)</v>
          </cell>
        </row>
        <row r="138">
          <cell r="B138" t="str">
            <v>2.1</v>
          </cell>
          <cell r="C138" t="str">
            <v>BETÕES</v>
          </cell>
        </row>
        <row r="139">
          <cell r="B139" t="str">
            <v>2.1.1</v>
          </cell>
          <cell r="C139" t="str">
            <v>EDIFÍCIOS</v>
          </cell>
        </row>
        <row r="140">
          <cell r="B140" t="str">
            <v>2.1.1.1</v>
          </cell>
          <cell r="C140" t="str">
            <v>Fornecimento e aplicação de betão de limpeza em fundações</v>
          </cell>
          <cell r="D140" t="str">
            <v>m3</v>
          </cell>
          <cell r="E140">
            <v>5</v>
          </cell>
          <cell r="F140">
            <v>85</v>
          </cell>
        </row>
        <row r="141">
          <cell r="B141" t="str">
            <v>2.1.1.2</v>
          </cell>
          <cell r="C141" t="str">
            <v>Fornecimento e aplicação de betão armado C16/20 e aço A400NR em elementos estruturais, incluindo cofragem, escoramentos, vibração, descofragem e todos os trabalhos complementares.</v>
          </cell>
          <cell r="D141" t="str">
            <v>m3</v>
          </cell>
          <cell r="E141">
            <v>5</v>
          </cell>
          <cell r="F141">
            <v>143.75</v>
          </cell>
        </row>
        <row r="142">
          <cell r="B142" t="str">
            <v>2.1.1.3</v>
          </cell>
          <cell r="C142" t="str">
            <v>Idem, C20/25</v>
          </cell>
          <cell r="D142" t="str">
            <v>m3</v>
          </cell>
          <cell r="E142">
            <v>15</v>
          </cell>
          <cell r="F142">
            <v>207.5</v>
          </cell>
        </row>
        <row r="143">
          <cell r="B143" t="str">
            <v>2.1.1.4</v>
          </cell>
          <cell r="C143" t="str">
            <v>Idem, C25/30</v>
          </cell>
          <cell r="D143" t="str">
            <v>m3</v>
          </cell>
          <cell r="E143">
            <v>5</v>
          </cell>
          <cell r="F143">
            <v>231.25</v>
          </cell>
        </row>
        <row r="144">
          <cell r="B144" t="str">
            <v>2.1.1.5</v>
          </cell>
          <cell r="C144" t="str">
            <v>Idem, C30/35</v>
          </cell>
          <cell r="D144" t="str">
            <v>m3</v>
          </cell>
          <cell r="E144">
            <v>5</v>
          </cell>
          <cell r="F144">
            <v>246.25</v>
          </cell>
        </row>
        <row r="145">
          <cell r="B145" t="str">
            <v>2.1.2</v>
          </cell>
          <cell r="C145" t="str">
            <v>MUROS E MACIÇOS</v>
          </cell>
        </row>
        <row r="146">
          <cell r="B146" t="str">
            <v>2.1.2.1</v>
          </cell>
          <cell r="C146" t="str">
            <v>Betão ciclópico em fundações</v>
          </cell>
          <cell r="D146" t="str">
            <v>m3</v>
          </cell>
          <cell r="E146">
            <v>5</v>
          </cell>
          <cell r="F146">
            <v>81.25</v>
          </cell>
        </row>
        <row r="147">
          <cell r="B147" t="str">
            <v>2.1.2.2</v>
          </cell>
          <cell r="C147" t="str">
            <v>Construção de muros de suporte em C20/25 e A400 incluindo armadura, cofragem, escoramento e todos os trabalhos acessórios e complementares necessários para o efeito.</v>
          </cell>
          <cell r="D147" t="str">
            <v>m3</v>
          </cell>
          <cell r="E147">
            <v>5</v>
          </cell>
          <cell r="F147">
            <v>227.5</v>
          </cell>
        </row>
        <row r="148">
          <cell r="B148" t="str">
            <v>2.1.2.3</v>
          </cell>
          <cell r="C148" t="str">
            <v>Construção de muros de suporte em pedra arrumada à mão e argamassada incluindo todos os trabalhos acessórios e complementares necessários para o efeito.</v>
          </cell>
          <cell r="D148" t="str">
            <v>m3</v>
          </cell>
          <cell r="E148">
            <v>1</v>
          </cell>
          <cell r="F148">
            <v>231.25</v>
          </cell>
        </row>
        <row r="149">
          <cell r="B149" t="str">
            <v>2.1.2.4</v>
          </cell>
          <cell r="C149" t="str">
            <v>Construção de muros tipo GABION, com pedra de dimensão normalizada, incluindo todos os trabalhos acessórios e complementares necessários para o efeito.</v>
          </cell>
          <cell r="D149" t="str">
            <v>m3</v>
          </cell>
          <cell r="E149">
            <v>0</v>
          </cell>
        </row>
        <row r="150">
          <cell r="B150" t="str">
            <v>2.1.2.5</v>
          </cell>
          <cell r="C150" t="str">
            <v>Execução de muretes de betão armado para vedações urbanas do tipo I ou II, conforme IT.CCE.004</v>
          </cell>
          <cell r="D150" t="str">
            <v>m</v>
          </cell>
          <cell r="E150">
            <v>25</v>
          </cell>
          <cell r="F150">
            <v>66.5</v>
          </cell>
        </row>
        <row r="151">
          <cell r="B151" t="str">
            <v>2.1.2.6</v>
          </cell>
          <cell r="C151" t="str">
            <v>Execução de argamassagem e recalçamento de fendas em taludes ou muros, revestimento de taludes, com recurso a preenchimento com pedra arrumada e argamassada manualmente, respeitando a boa arrumação das pedras, constituindo camadas o mais coesas e horizontais</v>
          </cell>
          <cell r="D151" t="str">
            <v>m3</v>
          </cell>
          <cell r="E151">
            <v>1</v>
          </cell>
          <cell r="F151">
            <v>187.5</v>
          </cell>
        </row>
        <row r="152">
          <cell r="B152" t="str">
            <v>2.1.2.7</v>
          </cell>
          <cell r="C152" t="str">
            <v>Execução de selagens com argamassa monocomponente de retracção compensada, à base de cimento, fornecida pronta a aplicar após simples amassadura com água, incluindo todos os meios necessárias à sua execução.</v>
          </cell>
          <cell r="D152" t="str">
            <v>m3</v>
          </cell>
          <cell r="E152">
            <v>1</v>
          </cell>
          <cell r="F152">
            <v>1500</v>
          </cell>
        </row>
        <row r="153">
          <cell r="B153" t="str">
            <v>2.1.3</v>
          </cell>
          <cell r="C153" t="str">
            <v>PRÉ-FABRICADOS</v>
          </cell>
        </row>
        <row r="154">
          <cell r="B154" t="str">
            <v>2.1.3.1</v>
          </cell>
          <cell r="C154" t="str">
            <v>Fornecimento e assentamento de pilaretes pré-fabricados para suporte de placas de vedação.</v>
          </cell>
          <cell r="D154" t="str">
            <v>m</v>
          </cell>
          <cell r="E154">
            <v>0</v>
          </cell>
        </row>
        <row r="155">
          <cell r="B155" t="str">
            <v>2.1.3.2</v>
          </cell>
          <cell r="C155" t="str">
            <v>Idem de placas de vedação maciças em betão com 2.10m de comprimento para fixação em pilares</v>
          </cell>
          <cell r="D155" t="str">
            <v>m2</v>
          </cell>
          <cell r="E155">
            <v>0</v>
          </cell>
        </row>
        <row r="156">
          <cell r="B156" t="str">
            <v>2.1.3.3</v>
          </cell>
          <cell r="C156" t="str">
            <v>Idem de placas de vedação em betão.  tipo CP - A. para fixação em pilares</v>
          </cell>
          <cell r="D156" t="str">
            <v>m2</v>
          </cell>
          <cell r="E156">
            <v>0</v>
          </cell>
        </row>
        <row r="157">
          <cell r="B157" t="str">
            <v>2.1.3.4</v>
          </cell>
          <cell r="C157" t="str">
            <v>Idem de placas de vedação em betão.  tipo CP - B para fixação em pilares</v>
          </cell>
          <cell r="D157" t="str">
            <v>m2</v>
          </cell>
          <cell r="E157">
            <v>0</v>
          </cell>
        </row>
        <row r="158">
          <cell r="B158" t="str">
            <v>2.1.3.5</v>
          </cell>
          <cell r="C158" t="str">
            <v>Fornecimento e assentamento de bordaduras de plataforma em betão armado, conforme IT.CCE.001.</v>
          </cell>
          <cell r="D158" t="str">
            <v>un</v>
          </cell>
          <cell r="E158">
            <v>0</v>
          </cell>
        </row>
        <row r="159">
          <cell r="B159" t="str">
            <v>2.1.3.6</v>
          </cell>
          <cell r="C159" t="str">
            <v>Reparação\fixação de bordaduras das plataformas tipo REFER, incluíndo levantamento, regularização do suporte, estabilização e chumbagem</v>
          </cell>
          <cell r="D159" t="str">
            <v>un</v>
          </cell>
          <cell r="E159">
            <v>25</v>
          </cell>
          <cell r="F159">
            <v>43.75</v>
          </cell>
        </row>
        <row r="160">
          <cell r="B160" t="str">
            <v>2.1.3.7</v>
          </cell>
          <cell r="C160" t="str">
            <v xml:space="preserve">Fornecimento e assentamento de caleira de auto-estrada armada, pré-fabricados em betão armado, com 1000mm de comprimento, do tipo "Cimenteira do Louro", ou equivalente. </v>
          </cell>
        </row>
        <row r="161">
          <cell r="B161" t="str">
            <v>2.1.3.7.1</v>
          </cell>
          <cell r="C161" t="str">
            <v>com secção 500mmx500mm e rasgo superior de 30mm</v>
          </cell>
          <cell r="D161" t="str">
            <v>m</v>
          </cell>
          <cell r="E161">
            <v>0</v>
          </cell>
        </row>
        <row r="162">
          <cell r="B162" t="str">
            <v>2.1.3.7.2</v>
          </cell>
          <cell r="C162" t="str">
            <v>com secção 500mmx500mm e rasgo superior de 50mm</v>
          </cell>
          <cell r="D162" t="str">
            <v>m</v>
          </cell>
          <cell r="E162">
            <v>0</v>
          </cell>
        </row>
        <row r="163">
          <cell r="B163" t="str">
            <v>2.1.3.8</v>
          </cell>
          <cell r="C163" t="str">
            <v>Fornecimento e aplicação de marcos indicadores de paragem, quaisquer que sejam os seus dígitos.</v>
          </cell>
          <cell r="D163" t="str">
            <v>un</v>
          </cell>
          <cell r="E163">
            <v>5</v>
          </cell>
          <cell r="F163">
            <v>39.4</v>
          </cell>
        </row>
        <row r="164">
          <cell r="B164" t="str">
            <v>2.1.3.9</v>
          </cell>
          <cell r="C164" t="str">
            <v>Fornecimento e aplicação de paineis compósito de madeira e cimento do tipo "Viroc", ou equivalente, com as dimensões 2600mmx1250mmx25mm</v>
          </cell>
          <cell r="D164" t="str">
            <v>m2</v>
          </cell>
          <cell r="E164">
            <v>0</v>
          </cell>
        </row>
        <row r="165">
          <cell r="B165" t="str">
            <v>2.1.3.10</v>
          </cell>
          <cell r="C165" t="str">
            <v>Refechamento de juntas em valetas com argamassa, incluindo transporte de detritos a destino final autorizado.</v>
          </cell>
          <cell r="D165" t="str">
            <v>un</v>
          </cell>
          <cell r="E165">
            <v>0</v>
          </cell>
        </row>
        <row r="166">
          <cell r="B166" t="str">
            <v>2.1.3.11</v>
          </cell>
          <cell r="C166" t="str">
            <v>Fornecimento e aplicação de lajes aligeiradas em vãos livres até 5.5m (vigotas pré-esforçadas tipo P3 + blocos cerâmicos/abobadilhas), incluindo escoramento, lâmina de compressão em betão C16/20, malhasol CQ38 e demais trabalhos complementares.</v>
          </cell>
          <cell r="D166" t="str">
            <v>m2</v>
          </cell>
          <cell r="E166">
            <v>0</v>
          </cell>
        </row>
        <row r="167">
          <cell r="B167" t="str">
            <v>2.1.3.12</v>
          </cell>
          <cell r="C167" t="str">
            <v>Idem, em vãos livres até 7.3m</v>
          </cell>
          <cell r="D167" t="str">
            <v>m2</v>
          </cell>
          <cell r="E167">
            <v>0</v>
          </cell>
        </row>
        <row r="168">
          <cell r="B168" t="str">
            <v>2.1.3.13</v>
          </cell>
          <cell r="C168" t="str">
            <v>Fornecimento e assentamento de tampas de betão armado com 6cm de espessura, incluindo aro e contra aro galvanizados e pintados</v>
          </cell>
          <cell r="D168" t="str">
            <v>m2</v>
          </cell>
          <cell r="E168">
            <v>10</v>
          </cell>
          <cell r="F168">
            <v>166.4</v>
          </cell>
        </row>
        <row r="169">
          <cell r="B169" t="str">
            <v>2.1.3.14</v>
          </cell>
          <cell r="C169" t="str">
            <v>Fornecimento e assentamento de lancis pré-fabricadas em betão, com 1000mm de comprimento, do tipo "Cimenteira do Louro", ou equivalente, com as seguintes dimensões:</v>
          </cell>
        </row>
        <row r="170">
          <cell r="B170" t="str">
            <v>2.1.3.14.1</v>
          </cell>
          <cell r="C170" t="str">
            <v>200mmx80mmx80mm</v>
          </cell>
          <cell r="D170" t="str">
            <v>m</v>
          </cell>
          <cell r="E170">
            <v>20</v>
          </cell>
          <cell r="F170">
            <v>9.4</v>
          </cell>
        </row>
        <row r="171">
          <cell r="B171" t="str">
            <v>2.1.3.14.2</v>
          </cell>
          <cell r="C171" t="str">
            <v>200mmx200mmx170mm</v>
          </cell>
          <cell r="D171" t="str">
            <v>m</v>
          </cell>
          <cell r="E171">
            <v>5</v>
          </cell>
          <cell r="F171">
            <v>12.5</v>
          </cell>
        </row>
        <row r="172">
          <cell r="B172" t="str">
            <v>2.1.3.14.3</v>
          </cell>
          <cell r="C172" t="str">
            <v>250mmx150mmx120mm</v>
          </cell>
          <cell r="D172" t="str">
            <v>m</v>
          </cell>
          <cell r="E172">
            <v>15</v>
          </cell>
          <cell r="F172">
            <v>11.25</v>
          </cell>
        </row>
        <row r="173">
          <cell r="B173" t="str">
            <v>2.1.3.14.4</v>
          </cell>
          <cell r="C173" t="str">
            <v>250mmx240mmx200mm</v>
          </cell>
          <cell r="D173" t="str">
            <v>m</v>
          </cell>
          <cell r="E173">
            <v>0</v>
          </cell>
        </row>
        <row r="174">
          <cell r="B174" t="str">
            <v>2.1.3.15</v>
          </cell>
          <cell r="C174" t="str">
            <v>Fornecimento e colocação de limitadores de parqueamento tipo "TRIEF", ou equivalente.</v>
          </cell>
          <cell r="D174" t="str">
            <v>m</v>
          </cell>
          <cell r="E174">
            <v>0</v>
          </cell>
        </row>
        <row r="175">
          <cell r="B175" t="str">
            <v>2.1.3.16</v>
          </cell>
          <cell r="C175" t="str">
            <v>Fornecimento e aplicação de placas para passadeiras, anti derrapantes, em betão armado C20/25 e aço A400NR (#8mm af. 0,10m), com dimensão 1.00x0.60x0.05.</v>
          </cell>
          <cell r="D175" t="str">
            <v>un</v>
          </cell>
          <cell r="E175">
            <v>10</v>
          </cell>
          <cell r="F175">
            <v>17.649999999999999</v>
          </cell>
        </row>
        <row r="176">
          <cell r="B176" t="str">
            <v>2.1.3.17</v>
          </cell>
          <cell r="C176" t="str">
            <v>Fornecimento e assentamento de lancil de segurança (autosafe), com 1000mm de comprimento, pré-fabricados em betão, do tipo "Cimenteira do Louro", ou equivalente, com com secção 350mmx350mmx120mm</v>
          </cell>
          <cell r="D176" t="str">
            <v>m</v>
          </cell>
          <cell r="E176">
            <v>5</v>
          </cell>
          <cell r="F176">
            <v>15.9</v>
          </cell>
        </row>
        <row r="177">
          <cell r="B177" t="str">
            <v>2.1.3.18</v>
          </cell>
          <cell r="C177" t="str">
            <v>Idem com secção 300mmx250mmx120mm</v>
          </cell>
          <cell r="D177" t="str">
            <v>m</v>
          </cell>
          <cell r="E177">
            <v>0</v>
          </cell>
        </row>
        <row r="178">
          <cell r="B178" t="str">
            <v>2.1.3.19</v>
          </cell>
          <cell r="C178" t="str">
            <v>Fornecimento e assentamento de caixa de visita em anéis de betão pré-fabricado, com Ø1,00m, incluindo boca tronco-cónica e respectiva tampa em ferro fundido classe D400 de 0,60m de abertura. Inclui ainda toda a movimentação de terras necessária para caixas até 2mts de profundidade</v>
          </cell>
          <cell r="D178" t="str">
            <v>un</v>
          </cell>
          <cell r="E178">
            <v>1</v>
          </cell>
          <cell r="F178">
            <v>343.75</v>
          </cell>
        </row>
        <row r="179">
          <cell r="B179" t="str">
            <v>2.1.3.20</v>
          </cell>
          <cell r="C179" t="str">
            <v>Idem, para caixas de 2 a 4mts de profundidade</v>
          </cell>
          <cell r="D179" t="str">
            <v>un</v>
          </cell>
          <cell r="E179">
            <v>0</v>
          </cell>
        </row>
        <row r="180">
          <cell r="B180" t="str">
            <v>2.1.3.21</v>
          </cell>
          <cell r="C180" t="str">
            <v>Fornecimento e assentamento de caixa de visita em anéis de betão pré-fabricado, com Ø1,50m, incluindo boca tronco-cónica e respectiva tampa em ferro fundido classe D400 de 0,60m de abertura. Inclui ainda toda a movimentação de terras necessária para caixas até 2mts de profundidade</v>
          </cell>
          <cell r="D180" t="str">
            <v>un</v>
          </cell>
          <cell r="E180">
            <v>1</v>
          </cell>
          <cell r="F180">
            <v>425</v>
          </cell>
        </row>
        <row r="181">
          <cell r="B181" t="str">
            <v>2.1.3.22</v>
          </cell>
          <cell r="C181" t="str">
            <v>Idem, para caixas de 2 a 4mts de profundidade</v>
          </cell>
          <cell r="D181" t="str">
            <v>un</v>
          </cell>
          <cell r="E181">
            <v>0</v>
          </cell>
        </row>
        <row r="182">
          <cell r="B182" t="str">
            <v>2.1.3.23</v>
          </cell>
          <cell r="C182" t="str">
            <v>Fornecimento e assentamento de canelete com tampa, em betão pré fabricado do tipo "Cimenteira do Louro", ou equivalente.</v>
          </cell>
        </row>
        <row r="183">
          <cell r="B183" t="str">
            <v>2.1.3.23.1</v>
          </cell>
          <cell r="C183" t="str">
            <v>com secção 390mmx150mm</v>
          </cell>
          <cell r="D183" t="str">
            <v>m</v>
          </cell>
          <cell r="E183">
            <v>0</v>
          </cell>
        </row>
        <row r="184">
          <cell r="B184" t="str">
            <v>2.1.3.23.2</v>
          </cell>
          <cell r="C184" t="str">
            <v>com secção 250mmx150mm</v>
          </cell>
          <cell r="D184" t="str">
            <v>m</v>
          </cell>
          <cell r="E184">
            <v>0</v>
          </cell>
        </row>
        <row r="185">
          <cell r="B185" t="str">
            <v>2.1.3.23.3</v>
          </cell>
          <cell r="C185" t="str">
            <v>com secção 600mmx150mm</v>
          </cell>
          <cell r="D185" t="str">
            <v>m</v>
          </cell>
          <cell r="E185">
            <v>0</v>
          </cell>
        </row>
        <row r="186">
          <cell r="B186" t="str">
            <v>2.1.3.24</v>
          </cell>
          <cell r="C186" t="str">
            <v>Fornecimento e assentamento de canelete com grade galvanizada, anti roubo, em betão pré fabricado do tipo "Cimenteira do Louro", ou equivalente.</v>
          </cell>
        </row>
        <row r="187">
          <cell r="B187" t="str">
            <v>2.1.3.24.1</v>
          </cell>
          <cell r="C187" t="str">
            <v>com secção 280mmx240mm</v>
          </cell>
          <cell r="D187" t="str">
            <v>m</v>
          </cell>
          <cell r="E187">
            <v>0</v>
          </cell>
        </row>
        <row r="188">
          <cell r="B188" t="str">
            <v>2.1.3.24.2</v>
          </cell>
          <cell r="C188" t="str">
            <v>com secção 225mmx215mm</v>
          </cell>
          <cell r="D188" t="str">
            <v>m</v>
          </cell>
          <cell r="E188">
            <v>0</v>
          </cell>
        </row>
        <row r="189">
          <cell r="B189" t="str">
            <v>2.1.3.24.3</v>
          </cell>
          <cell r="C189" t="str">
            <v>com secção 165mmx175mm</v>
          </cell>
          <cell r="D189" t="str">
            <v>m</v>
          </cell>
          <cell r="E189">
            <v>0</v>
          </cell>
        </row>
        <row r="190">
          <cell r="B190" t="str">
            <v>2.1.3.25</v>
          </cell>
          <cell r="C190" t="str">
            <v>Fornecimento e assentamento de tampas de betão armado com 6cm de espessura.</v>
          </cell>
          <cell r="D190" t="str">
            <v>m2</v>
          </cell>
          <cell r="E190">
            <v>10</v>
          </cell>
          <cell r="F190">
            <v>166.4</v>
          </cell>
        </row>
        <row r="191">
          <cell r="B191" t="str">
            <v>2.1.3.26</v>
          </cell>
          <cell r="C191" t="str">
            <v>Fornecimento e assentamento de caixa para águas pluviais com grelha em ferro fundido, basculante, incluindo abertura de fundação, com dimensão 800mmx550mmx1100mmx100mm do tipo "Cimenteira do Louro", ou equivalente.</v>
          </cell>
          <cell r="D191" t="str">
            <v>un</v>
          </cell>
          <cell r="E191">
            <v>1</v>
          </cell>
          <cell r="F191">
            <v>170</v>
          </cell>
        </row>
        <row r="192">
          <cell r="B192" t="str">
            <v>2.1.3.27</v>
          </cell>
          <cell r="C192" t="str">
            <v>Fornecimento e assentamento de manilhas pré-fabricadas em betão, com 1000mm de comprimento, do tipo "Cimenteira do Louro", ou equivalente.</v>
          </cell>
        </row>
        <row r="193">
          <cell r="B193" t="str">
            <v>2.1.3.27.1</v>
          </cell>
          <cell r="C193" t="str">
            <v>Ø 200mm</v>
          </cell>
          <cell r="D193" t="str">
            <v>m</v>
          </cell>
          <cell r="E193">
            <v>0</v>
          </cell>
        </row>
        <row r="194">
          <cell r="B194" t="str">
            <v>2.1.3.27.2</v>
          </cell>
          <cell r="C194" t="str">
            <v>Ø 300mm</v>
          </cell>
          <cell r="D194" t="str">
            <v>m</v>
          </cell>
          <cell r="E194">
            <v>1</v>
          </cell>
          <cell r="F194">
            <v>13</v>
          </cell>
        </row>
        <row r="195">
          <cell r="B195" t="str">
            <v>2.1.3.27.3</v>
          </cell>
          <cell r="C195" t="str">
            <v>Ø 400mm</v>
          </cell>
          <cell r="D195" t="str">
            <v>m</v>
          </cell>
          <cell r="E195">
            <v>10</v>
          </cell>
          <cell r="F195">
            <v>15.15</v>
          </cell>
        </row>
        <row r="196">
          <cell r="B196" t="str">
            <v>2.1.3.27.4</v>
          </cell>
          <cell r="C196" t="str">
            <v>Ø 500mm</v>
          </cell>
          <cell r="D196" t="str">
            <v>m</v>
          </cell>
          <cell r="E196">
            <v>0</v>
          </cell>
        </row>
        <row r="197">
          <cell r="B197" t="str">
            <v>2.1.3.27.5</v>
          </cell>
          <cell r="C197" t="str">
            <v>Ø 600mm</v>
          </cell>
          <cell r="D197" t="str">
            <v>m</v>
          </cell>
          <cell r="E197">
            <v>0</v>
          </cell>
        </row>
        <row r="198">
          <cell r="B198" t="str">
            <v>2.1.3.27.6</v>
          </cell>
          <cell r="C198" t="str">
            <v>Ø 800mm</v>
          </cell>
          <cell r="D198" t="str">
            <v>m</v>
          </cell>
          <cell r="E198">
            <v>0</v>
          </cell>
        </row>
        <row r="199">
          <cell r="B199" t="str">
            <v>2.1.3.28</v>
          </cell>
          <cell r="C199" t="str">
            <v>Fornecimento e assentamento de manilhas reforçadas classe IV pré-fabricadas em betão, com 2000mm de comprimento, do tipo "Cimenteira do Louro", ou equivalente.</v>
          </cell>
        </row>
        <row r="200">
          <cell r="B200" t="str">
            <v>2.1.3.28.1</v>
          </cell>
          <cell r="C200" t="str">
            <v>Ø 400mm</v>
          </cell>
          <cell r="D200" t="str">
            <v>m</v>
          </cell>
          <cell r="E200">
            <v>1</v>
          </cell>
          <cell r="F200">
            <v>29.1</v>
          </cell>
        </row>
        <row r="201">
          <cell r="B201" t="str">
            <v>2.1.3.28.2</v>
          </cell>
          <cell r="C201" t="str">
            <v>Ø 500mm</v>
          </cell>
          <cell r="D201" t="str">
            <v>m</v>
          </cell>
          <cell r="E201">
            <v>1</v>
          </cell>
          <cell r="F201">
            <v>37.200000000000003</v>
          </cell>
        </row>
        <row r="202">
          <cell r="B202" t="str">
            <v>2.1.3.28.3</v>
          </cell>
          <cell r="C202" t="str">
            <v>Ø 600mm</v>
          </cell>
          <cell r="D202" t="str">
            <v>m</v>
          </cell>
          <cell r="E202">
            <v>1</v>
          </cell>
          <cell r="F202">
            <v>43</v>
          </cell>
        </row>
        <row r="203">
          <cell r="B203" t="str">
            <v>2.1.3.28.4</v>
          </cell>
          <cell r="C203" t="str">
            <v>Ø 800mm</v>
          </cell>
          <cell r="D203" t="str">
            <v>m</v>
          </cell>
          <cell r="E203">
            <v>1</v>
          </cell>
          <cell r="F203">
            <v>79.25</v>
          </cell>
        </row>
        <row r="204">
          <cell r="B204" t="str">
            <v>2.1.3.28.5</v>
          </cell>
          <cell r="C204" t="str">
            <v>Ø 1000mm</v>
          </cell>
          <cell r="D204" t="str">
            <v>m</v>
          </cell>
          <cell r="E204">
            <v>1</v>
          </cell>
          <cell r="F204">
            <v>100</v>
          </cell>
        </row>
        <row r="205">
          <cell r="B205" t="str">
            <v>2.1.3.29</v>
          </cell>
          <cell r="C205" t="str">
            <v>Fornecimento e assentamento de meias-manilhas pré fabricadas em betão com 1000mm de comprimento</v>
          </cell>
        </row>
        <row r="206">
          <cell r="B206" t="str">
            <v>2.1.3.29.1</v>
          </cell>
          <cell r="C206" t="str">
            <v>Ø 200mm</v>
          </cell>
          <cell r="D206" t="str">
            <v>m</v>
          </cell>
          <cell r="E206">
            <v>0</v>
          </cell>
        </row>
        <row r="207">
          <cell r="B207" t="str">
            <v>2.1.3.29.2</v>
          </cell>
          <cell r="C207" t="str">
            <v>Ø 300mm</v>
          </cell>
          <cell r="D207" t="str">
            <v>m</v>
          </cell>
          <cell r="E207">
            <v>1</v>
          </cell>
          <cell r="F207">
            <v>12.5</v>
          </cell>
        </row>
        <row r="208">
          <cell r="B208" t="str">
            <v>2.1.3.29.3</v>
          </cell>
          <cell r="C208" t="str">
            <v>Ø 400mm</v>
          </cell>
          <cell r="D208" t="str">
            <v>m</v>
          </cell>
          <cell r="E208">
            <v>1</v>
          </cell>
          <cell r="F208">
            <v>15</v>
          </cell>
        </row>
        <row r="209">
          <cell r="B209" t="str">
            <v>2.1.3.29.4</v>
          </cell>
          <cell r="C209" t="str">
            <v>Ø 500mm</v>
          </cell>
          <cell r="D209" t="str">
            <v>m</v>
          </cell>
          <cell r="E209">
            <v>0</v>
          </cell>
        </row>
        <row r="210">
          <cell r="B210" t="str">
            <v>2.1.3.30</v>
          </cell>
          <cell r="C210" t="str">
            <v>Fornecimento e assentamento de marcos kilométricos tipo REFER, incluindo movimento de terras, pintura e todos os trabalhos complementares.</v>
          </cell>
          <cell r="D210" t="str">
            <v>un</v>
          </cell>
          <cell r="E210">
            <v>0</v>
          </cell>
        </row>
        <row r="211">
          <cell r="B211" t="str">
            <v>2.1.3.31</v>
          </cell>
          <cell r="C211" t="str">
            <v>Fornecimento e assentamento de marcos hectométricos tipo REFER, incluindo movimento de terras, pintura e todos os trabalhos complementares.</v>
          </cell>
          <cell r="D211" t="str">
            <v>un</v>
          </cell>
          <cell r="E211">
            <v>0</v>
          </cell>
        </row>
        <row r="212">
          <cell r="B212" t="str">
            <v>2.1.3.32</v>
          </cell>
          <cell r="C212" t="str">
            <v>Fornecimento e assentamento de marcos delimitadores de propriedade REFER, incluindo movimento de terras, pintura e todos os trabalhos complementares.</v>
          </cell>
          <cell r="D212" t="str">
            <v>un</v>
          </cell>
          <cell r="E212">
            <v>20</v>
          </cell>
          <cell r="F212">
            <v>31.25</v>
          </cell>
        </row>
        <row r="213">
          <cell r="B213" t="str">
            <v>2.1.3.33</v>
          </cell>
          <cell r="C213" t="str">
            <v>Fornecimento e colocação de separadores "New Jersey" simétricos, pré-fabricados em betão do tipo "Cimenteira do Louro", ou equivalente.</v>
          </cell>
        </row>
        <row r="214">
          <cell r="B214" t="str">
            <v>2.1.3.33.1</v>
          </cell>
          <cell r="C214" t="str">
            <v>Com 2 m de comprimento</v>
          </cell>
          <cell r="D214" t="str">
            <v>un</v>
          </cell>
          <cell r="E214">
            <v>0</v>
          </cell>
        </row>
        <row r="215">
          <cell r="B215" t="str">
            <v>2.1.3.33.2</v>
          </cell>
          <cell r="C215" t="str">
            <v>Com 4 m de comprimento</v>
          </cell>
          <cell r="D215" t="str">
            <v>un</v>
          </cell>
          <cell r="E215">
            <v>5</v>
          </cell>
          <cell r="F215">
            <v>174.4</v>
          </cell>
        </row>
        <row r="216">
          <cell r="B216" t="str">
            <v>2.1.3.33.3</v>
          </cell>
          <cell r="C216" t="str">
            <v>Com 6 m de comprimento</v>
          </cell>
          <cell r="D216" t="str">
            <v>un</v>
          </cell>
          <cell r="E216">
            <v>1</v>
          </cell>
          <cell r="F216">
            <v>228.4</v>
          </cell>
        </row>
        <row r="217">
          <cell r="B217" t="str">
            <v>2.1.3.34</v>
          </cell>
          <cell r="C217" t="str">
            <v>Fornecimento e assentamento de caixa para águas pluviais com grelha em ferro fundido, basculante, incluindo abertura de fundação, com dimensão 800mmx550mmx1100mmx100mm do tipo "Cimenteira do Louro", ou equivalente.</v>
          </cell>
          <cell r="D217" t="str">
            <v>un</v>
          </cell>
          <cell r="E217">
            <v>0</v>
          </cell>
        </row>
        <row r="218">
          <cell r="B218" t="str">
            <v>2.1.3.35</v>
          </cell>
          <cell r="C218" t="str">
            <v>Fornecimento e assentamento de caixas de derivação com fundo pré-fabricadas em betão, do tipo "Cimenteira do Louro", ou equivalente, com as seguintes dimensões:</v>
          </cell>
        </row>
        <row r="219">
          <cell r="B219" t="str">
            <v>2.1.3.35.1</v>
          </cell>
          <cell r="C219" t="str">
            <v>400mmx400mmx420mm</v>
          </cell>
          <cell r="D219" t="str">
            <v>un</v>
          </cell>
          <cell r="E219">
            <v>1</v>
          </cell>
          <cell r="F219">
            <v>87</v>
          </cell>
        </row>
        <row r="220">
          <cell r="B220" t="str">
            <v>2.1.3.35.2</v>
          </cell>
          <cell r="C220" t="str">
            <v>500mmx500mmx500mm</v>
          </cell>
          <cell r="D220" t="str">
            <v>un</v>
          </cell>
          <cell r="E220">
            <v>1</v>
          </cell>
          <cell r="F220">
            <v>93.75</v>
          </cell>
        </row>
        <row r="221">
          <cell r="B221" t="str">
            <v>2.1.3.35.3</v>
          </cell>
          <cell r="C221" t="str">
            <v>600mmx600mmx640mm</v>
          </cell>
          <cell r="D221" t="str">
            <v>un</v>
          </cell>
          <cell r="E221">
            <v>1</v>
          </cell>
          <cell r="F221">
            <v>109.4</v>
          </cell>
        </row>
        <row r="222">
          <cell r="B222" t="str">
            <v>2.1.3.36</v>
          </cell>
          <cell r="C222" t="str">
            <v>Refechamento de juntas em valetas com argamassa, incluindo transporte de detritos a destino final autorizado.</v>
          </cell>
          <cell r="D222" t="str">
            <v>un</v>
          </cell>
          <cell r="E222">
            <v>0</v>
          </cell>
        </row>
        <row r="223">
          <cell r="B223" t="str">
            <v>2.1.3.37</v>
          </cell>
          <cell r="C223" t="str">
            <v>Fornecimento e assentamento de capeamento de muro em betão, incluindo pintura e todos os trabalhos complementares.</v>
          </cell>
          <cell r="D223" t="str">
            <v>m</v>
          </cell>
          <cell r="E223">
            <v>10</v>
          </cell>
          <cell r="F223">
            <v>60</v>
          </cell>
        </row>
        <row r="224">
          <cell r="B224" t="str">
            <v>2.1.3.38</v>
          </cell>
          <cell r="C224" t="str">
            <v>Fornecimento e aplicação de capeamento em U em betão para muros</v>
          </cell>
          <cell r="D224" t="str">
            <v>m</v>
          </cell>
          <cell r="E224">
            <v>10</v>
          </cell>
          <cell r="F224">
            <v>43.75</v>
          </cell>
        </row>
        <row r="225">
          <cell r="B225" t="str">
            <v>2.1.3.39</v>
          </cell>
          <cell r="C225" t="str">
            <v>Idem em betão com cimento branco.</v>
          </cell>
          <cell r="D225" t="str">
            <v>m</v>
          </cell>
          <cell r="E225">
            <v>0</v>
          </cell>
        </row>
        <row r="226">
          <cell r="B226" t="str">
            <v>2.1.3.40</v>
          </cell>
          <cell r="C226" t="str">
            <v>Reparação/fixação de capeamentos em betão em muros.</v>
          </cell>
          <cell r="D226" t="str">
            <v>un</v>
          </cell>
          <cell r="E226">
            <v>10</v>
          </cell>
          <cell r="F226">
            <v>50</v>
          </cell>
        </row>
        <row r="227">
          <cell r="B227" t="str">
            <v>2.1.3.41</v>
          </cell>
          <cell r="C227" t="str">
            <v>Fornecimento e aplicação de barreiras acústicas em betão de lava pré-fabricado tipo MEURIN com uma face absorvente, em estrutura existente.</v>
          </cell>
          <cell r="D227" t="str">
            <v>m2</v>
          </cell>
          <cell r="E227">
            <v>0</v>
          </cell>
        </row>
        <row r="228">
          <cell r="B228" t="str">
            <v>2.1.3.42</v>
          </cell>
          <cell r="C228" t="str">
            <v>Idem em betão poroso</v>
          </cell>
          <cell r="D228" t="str">
            <v>m2</v>
          </cell>
          <cell r="E228">
            <v>0</v>
          </cell>
        </row>
        <row r="229">
          <cell r="B229" t="str">
            <v>2.1.3.43</v>
          </cell>
          <cell r="C229" t="str">
            <v>Fornecimento e aplicação de asnas reticuladas em betão pré-esforçado do Tipo ricel ou equivalente, adaptadas à cobertura, incluindo todos os trabalhos acessórios, materiais e equipamentos inerentes à sua aplicação.</v>
          </cell>
        </row>
        <row r="230">
          <cell r="B230" t="str">
            <v>2.1.3.43.1</v>
          </cell>
          <cell r="C230" t="str">
            <v>Em vãos até 5,00 m de comprimento.</v>
          </cell>
          <cell r="D230" t="str">
            <v>un</v>
          </cell>
          <cell r="E230">
            <v>0</v>
          </cell>
        </row>
        <row r="231">
          <cell r="B231" t="str">
            <v>2.1.3.43.2</v>
          </cell>
          <cell r="C231" t="str">
            <v>Em vãos superior a 5,00 m até 9,00 m de comprimento .</v>
          </cell>
          <cell r="D231" t="str">
            <v>un</v>
          </cell>
          <cell r="E231">
            <v>0</v>
          </cell>
        </row>
        <row r="232">
          <cell r="B232" t="str">
            <v>2.1.3.43.3</v>
          </cell>
          <cell r="C232" t="str">
            <v>Em vãos superior a 9,00 m até 12,00 m de comprimento .</v>
          </cell>
          <cell r="D232" t="str">
            <v>un</v>
          </cell>
          <cell r="E232">
            <v>0</v>
          </cell>
        </row>
        <row r="233">
          <cell r="B233" t="str">
            <v>2.1.3.44</v>
          </cell>
          <cell r="C233" t="str">
            <v>Fornecimento e aplicação de vigas de fileiro, varas e rincões do tipo Ricel F, incluíndo fixações e chumbamento, todos os meios, materiais e equipamentos necessários à sua execução.</v>
          </cell>
          <cell r="D233" t="str">
            <v>m</v>
          </cell>
          <cell r="E233">
            <v>0</v>
          </cell>
        </row>
        <row r="234">
          <cell r="B234" t="str">
            <v>2.1.3.45</v>
          </cell>
          <cell r="C234" t="str">
            <v>Fornecimento e aplicação de ripado do tipo RB3 da ricel ou equivalente, incluíndo todos os meios, materiais e trabalhos necessários à sua correcta execução.</v>
          </cell>
          <cell r="D234" t="str">
            <v>m</v>
          </cell>
          <cell r="E234">
            <v>0</v>
          </cell>
        </row>
        <row r="235">
          <cell r="B235" t="str">
            <v>2.2</v>
          </cell>
          <cell r="C235" t="str">
            <v>ALVENARIAS</v>
          </cell>
        </row>
        <row r="236">
          <cell r="B236" t="str">
            <v>2.2.1</v>
          </cell>
          <cell r="C236" t="str">
            <v>CAIXAS DE VISITA</v>
          </cell>
        </row>
        <row r="237">
          <cell r="B237" t="str">
            <v>2.2.1.1</v>
          </cell>
          <cell r="C237" t="str">
            <v>Construção de caixas de visita em alvenaria de tijolo com 30x20x11, com as dimensões com 0,40mx0,40mx0,50m, assente com argamassa de cimento e areia ao traço 1:4, rebocado e tampa em betão armado com 0,05m de espessura, aro e contra-aro metálico galvanizado em cantoneira em "L" 50mmx50mmx4mm, com 80 microns de espessura de galvanização.</v>
          </cell>
          <cell r="D237" t="str">
            <v>un</v>
          </cell>
          <cell r="E237">
            <v>5</v>
          </cell>
          <cell r="F237">
            <v>106.25</v>
          </cell>
        </row>
        <row r="238">
          <cell r="B238" t="str">
            <v>2.2.1.2</v>
          </cell>
          <cell r="C238" t="str">
            <v>Idem, com as dimensões de 0,50mx0,50mx0,60m.</v>
          </cell>
          <cell r="D238" t="str">
            <v>un</v>
          </cell>
          <cell r="E238">
            <v>1</v>
          </cell>
          <cell r="F238">
            <v>131.25</v>
          </cell>
        </row>
        <row r="239">
          <cell r="B239" t="str">
            <v>2.2.1.3</v>
          </cell>
          <cell r="C239" t="str">
            <v>Idem, com as dimensões de 0,60mx0,60mx0,80m.</v>
          </cell>
          <cell r="D239" t="str">
            <v>un</v>
          </cell>
          <cell r="E239">
            <v>5</v>
          </cell>
          <cell r="F239">
            <v>150</v>
          </cell>
        </row>
        <row r="240">
          <cell r="B240" t="str">
            <v>2.2.1.4</v>
          </cell>
          <cell r="C240" t="str">
            <v>Construção de caixas de visita em alvenaria de tijolo com 30x20x22, com as dimensões  1,00mx1,00mx1m50m, assente com argamassa de cimento e areia ao traço 1:4, rebocado e 2 tampas em betão armado com 0,50mx1,00mx0,06m, aro e contra-aro metálico galvanizado em cantoneira em "L" 60mmx60mmx5mm a 80 microns de espessura de galvanização.</v>
          </cell>
          <cell r="D240" t="str">
            <v>un</v>
          </cell>
          <cell r="E240">
            <v>1</v>
          </cell>
          <cell r="F240">
            <v>312.5</v>
          </cell>
        </row>
        <row r="241">
          <cell r="B241" t="str">
            <v>2.2.2</v>
          </cell>
          <cell r="C241" t="str">
            <v>PAREDES</v>
          </cell>
        </row>
        <row r="242">
          <cell r="B242" t="str">
            <v>2.2.2.1</v>
          </cell>
          <cell r="C242" t="str">
            <v>Fornecimento e assentamento de alvenaria em tijolo furado c/ 30x20x7. c/ argamassa de cimento e areia ao traço 1:3</v>
          </cell>
          <cell r="D242" t="str">
            <v>m2</v>
          </cell>
          <cell r="E242">
            <v>0</v>
          </cell>
        </row>
        <row r="243">
          <cell r="B243" t="str">
            <v>2.2.2.2</v>
          </cell>
          <cell r="C243" t="str">
            <v>Idem em tijolo de 30x20x9</v>
          </cell>
          <cell r="D243" t="str">
            <v>m2</v>
          </cell>
          <cell r="E243">
            <v>0</v>
          </cell>
        </row>
        <row r="244">
          <cell r="B244" t="str">
            <v>2.2.2.3</v>
          </cell>
          <cell r="C244" t="str">
            <v>Idem em tijolo de 30x20x11</v>
          </cell>
          <cell r="D244" t="str">
            <v>m2</v>
          </cell>
          <cell r="E244">
            <v>10</v>
          </cell>
          <cell r="F244">
            <v>13.75</v>
          </cell>
        </row>
        <row r="245">
          <cell r="B245" t="str">
            <v>2.2.2.4</v>
          </cell>
          <cell r="C245" t="str">
            <v>Idem em tijolo de 30x20x15</v>
          </cell>
          <cell r="D245" t="str">
            <v>m2</v>
          </cell>
          <cell r="E245">
            <v>20</v>
          </cell>
          <cell r="F245">
            <v>15.4</v>
          </cell>
        </row>
        <row r="246">
          <cell r="B246" t="str">
            <v>2.2.2.5</v>
          </cell>
          <cell r="C246" t="str">
            <v>Idem em tijolo de 30x20x22</v>
          </cell>
          <cell r="D246" t="str">
            <v>m2</v>
          </cell>
          <cell r="E246">
            <v>0</v>
          </cell>
        </row>
        <row r="247">
          <cell r="B247" t="str">
            <v>2.2.2.6</v>
          </cell>
          <cell r="C247" t="str">
            <v>Fornecimento e assentamento de alvenaria de blocos de cimento c/ 40x20x15. c/ argamassa de cimento e areia ao traço 1:3</v>
          </cell>
          <cell r="D247" t="str">
            <v>m2</v>
          </cell>
          <cell r="E247">
            <v>10</v>
          </cell>
          <cell r="F247">
            <v>16.2</v>
          </cell>
        </row>
        <row r="248">
          <cell r="B248" t="str">
            <v>2.2.2.7</v>
          </cell>
          <cell r="C248" t="str">
            <v>Idem 40x20x20</v>
          </cell>
          <cell r="D248" t="str">
            <v>m2</v>
          </cell>
          <cell r="E248">
            <v>5</v>
          </cell>
          <cell r="F248">
            <v>19.399999999999999</v>
          </cell>
        </row>
        <row r="249">
          <cell r="B249" t="str">
            <v>2.2.2.8</v>
          </cell>
          <cell r="C249" t="str">
            <v>Idem 50x20x20</v>
          </cell>
          <cell r="D249" t="str">
            <v>m2</v>
          </cell>
          <cell r="E249">
            <v>15</v>
          </cell>
          <cell r="F249">
            <v>19.399999999999999</v>
          </cell>
        </row>
        <row r="250">
          <cell r="B250" t="str">
            <v>2.2.2.9</v>
          </cell>
          <cell r="C250" t="str">
            <v>Idem 50x20x25</v>
          </cell>
          <cell r="D250" t="str">
            <v>m2</v>
          </cell>
          <cell r="E250">
            <v>0</v>
          </cell>
        </row>
        <row r="251">
          <cell r="B251" t="str">
            <v>2.2.2.10</v>
          </cell>
          <cell r="C251" t="str">
            <v>Fornecimento e assentamento de alvenaria em pedra argamassada em paredes e muros, incluindo refechamento de juntas, limpeza e todos os trabalhos complementares.</v>
          </cell>
          <cell r="D251" t="str">
            <v>m3</v>
          </cell>
          <cell r="E251">
            <v>0</v>
          </cell>
        </row>
        <row r="252">
          <cell r="B252" t="str">
            <v>2.2.2.11</v>
          </cell>
          <cell r="C252" t="str">
            <v>Fornecimento e assentamento de alvenaria de tijolo de vidro de 19x19x8, com argamassa para o efeito, incluindo refechamento de juntas, limpeza e todos os trabalhos complementares.</v>
          </cell>
          <cell r="D252" t="str">
            <v>m2</v>
          </cell>
          <cell r="E252">
            <v>0</v>
          </cell>
        </row>
        <row r="253">
          <cell r="B253" t="str">
            <v>2.2.2.12</v>
          </cell>
          <cell r="C253" t="str">
            <v>Fornecimento e assentamento de blocos de betão acústicos tipo soundblox 495 x 195 x 195 mm, incluindo todos os trabalhos acessórios e complementares.</v>
          </cell>
          <cell r="D253" t="str">
            <v>m2</v>
          </cell>
          <cell r="E253">
            <v>0</v>
          </cell>
        </row>
        <row r="254">
          <cell r="B254" t="str">
            <v>2.3</v>
          </cell>
          <cell r="C254" t="str">
            <v>CANTARIAS</v>
          </cell>
        </row>
        <row r="255">
          <cell r="B255" t="str">
            <v>2.3.1.1</v>
          </cell>
          <cell r="C255" t="str">
            <v>Fornecimento e assentamento de molduras de mármore polido em janelas e portas, com a espessura de 30mm, incluindo refechamento de juntas e todos os trabalhos complementares.</v>
          </cell>
          <cell r="D255" t="str">
            <v>m2</v>
          </cell>
          <cell r="E255">
            <v>1</v>
          </cell>
          <cell r="F255">
            <v>81</v>
          </cell>
        </row>
        <row r="256">
          <cell r="B256" t="str">
            <v>2.3.1.2</v>
          </cell>
          <cell r="C256" t="str">
            <v>Idem, em moleanos bujardado.</v>
          </cell>
          <cell r="D256" t="str">
            <v>m2</v>
          </cell>
          <cell r="E256">
            <v>1</v>
          </cell>
          <cell r="F256">
            <v>89</v>
          </cell>
        </row>
        <row r="257">
          <cell r="B257" t="str">
            <v>2.3.1.3</v>
          </cell>
          <cell r="C257" t="str">
            <v>Idem, em moleanos amaciado.</v>
          </cell>
          <cell r="D257" t="str">
            <v>m2</v>
          </cell>
          <cell r="E257">
            <v>1</v>
          </cell>
          <cell r="F257">
            <v>74</v>
          </cell>
        </row>
        <row r="258">
          <cell r="B258" t="str">
            <v>2.3.1.4</v>
          </cell>
          <cell r="C258" t="str">
            <v>Idem, em granito polido.</v>
          </cell>
          <cell r="D258" t="str">
            <v>m2</v>
          </cell>
          <cell r="E258">
            <v>1</v>
          </cell>
          <cell r="F258">
            <v>132</v>
          </cell>
        </row>
        <row r="259">
          <cell r="B259" t="str">
            <v>2.3.1.5</v>
          </cell>
          <cell r="C259" t="str">
            <v>Idem, em lioz polido.</v>
          </cell>
          <cell r="D259" t="str">
            <v>m2</v>
          </cell>
          <cell r="E259">
            <v>1</v>
          </cell>
          <cell r="F259">
            <v>182</v>
          </cell>
        </row>
        <row r="260">
          <cell r="B260" t="str">
            <v>2.3.1.6</v>
          </cell>
          <cell r="C260" t="str">
            <v>Fornecimento e assentamento de soleiras e peitoris em mármore polido de portas e janelas, com a espessura de 30mm, incluindo corte em paredes, remates, pingadeira e todos os trabalhos complementares.</v>
          </cell>
          <cell r="D260" t="str">
            <v>m2</v>
          </cell>
          <cell r="E260">
            <v>1</v>
          </cell>
          <cell r="F260">
            <v>97.75</v>
          </cell>
        </row>
        <row r="261">
          <cell r="B261" t="str">
            <v>2.3.1.7</v>
          </cell>
          <cell r="C261" t="str">
            <v>Idem, em moleanos bujardado.</v>
          </cell>
          <cell r="D261" t="str">
            <v>m2</v>
          </cell>
          <cell r="E261">
            <v>1</v>
          </cell>
          <cell r="F261">
            <v>101</v>
          </cell>
        </row>
        <row r="262">
          <cell r="B262" t="str">
            <v>2.3.1.8</v>
          </cell>
          <cell r="C262" t="str">
            <v>Idem, em moleanos amaciado.</v>
          </cell>
          <cell r="D262" t="str">
            <v>m2</v>
          </cell>
          <cell r="E262">
            <v>1</v>
          </cell>
          <cell r="F262">
            <v>86.5</v>
          </cell>
        </row>
        <row r="263">
          <cell r="B263" t="str">
            <v>2.3.1.9</v>
          </cell>
          <cell r="C263" t="str">
            <v>Idem, em granito polido.</v>
          </cell>
          <cell r="D263" t="str">
            <v>m2</v>
          </cell>
          <cell r="E263">
            <v>1</v>
          </cell>
          <cell r="F263">
            <v>137</v>
          </cell>
        </row>
        <row r="264">
          <cell r="B264" t="str">
            <v>2.3.1.10</v>
          </cell>
          <cell r="C264" t="str">
            <v>Idem, em lioz polido.</v>
          </cell>
          <cell r="D264" t="str">
            <v>m2</v>
          </cell>
          <cell r="E264">
            <v>1</v>
          </cell>
          <cell r="F264">
            <v>143.75</v>
          </cell>
        </row>
        <row r="265">
          <cell r="B265" t="str">
            <v>2.3.1.11</v>
          </cell>
          <cell r="C265" t="str">
            <v>Fornecimento e assentamento de degrau (cobertor) de escada em mármore polido, com a espessura de 40mm, incluindo corte em paredes, remates e todos os trabalhos complementares.</v>
          </cell>
          <cell r="D265" t="str">
            <v>m2</v>
          </cell>
          <cell r="E265">
            <v>1</v>
          </cell>
          <cell r="F265">
            <v>91</v>
          </cell>
        </row>
        <row r="266">
          <cell r="B266" t="str">
            <v>2.3.1.12</v>
          </cell>
          <cell r="C266" t="str">
            <v>Idem, em granito polido.</v>
          </cell>
          <cell r="D266" t="str">
            <v>m2</v>
          </cell>
          <cell r="E266">
            <v>1</v>
          </cell>
          <cell r="F266">
            <v>147.5</v>
          </cell>
        </row>
        <row r="267">
          <cell r="B267" t="str">
            <v>2.3.1.13</v>
          </cell>
          <cell r="C267" t="str">
            <v>Idem, em lioz polido.</v>
          </cell>
          <cell r="D267" t="str">
            <v>m2</v>
          </cell>
          <cell r="E267">
            <v>1</v>
          </cell>
          <cell r="F267">
            <v>160</v>
          </cell>
        </row>
        <row r="268">
          <cell r="B268" t="str">
            <v>2.3.1.14</v>
          </cell>
          <cell r="C268" t="str">
            <v>Fornecimento e assentamento de espelho de escada em mármore polido, com a espessura de 20mm, incluindo corte em paredes, remates e todos os trabalhos complementares.</v>
          </cell>
          <cell r="D268" t="str">
            <v>m2</v>
          </cell>
          <cell r="E268">
            <v>1</v>
          </cell>
          <cell r="F268">
            <v>82</v>
          </cell>
        </row>
        <row r="269">
          <cell r="B269" t="str">
            <v>2.3.1.15</v>
          </cell>
          <cell r="C269" t="str">
            <v>Idem, em granito polido.</v>
          </cell>
          <cell r="D269" t="str">
            <v>m2</v>
          </cell>
          <cell r="E269">
            <v>1</v>
          </cell>
          <cell r="F269">
            <v>125</v>
          </cell>
        </row>
        <row r="270">
          <cell r="B270" t="str">
            <v>2.3.1.16</v>
          </cell>
          <cell r="C270" t="str">
            <v>Idem, em lioz polido.</v>
          </cell>
          <cell r="D270" t="str">
            <v>m2</v>
          </cell>
          <cell r="E270">
            <v>1</v>
          </cell>
          <cell r="F270">
            <v>131.25</v>
          </cell>
        </row>
        <row r="271">
          <cell r="B271" t="str">
            <v>2.3.1.17</v>
          </cell>
          <cell r="C271" t="str">
            <v>Substituição de socos em pedra em forras de material idêntico ao existente, incluindo corte em paredes, remates e todos os trabalhos complementares.</v>
          </cell>
          <cell r="D271" t="str">
            <v>m</v>
          </cell>
          <cell r="E271">
            <v>1</v>
          </cell>
          <cell r="F271">
            <v>53</v>
          </cell>
        </row>
        <row r="272">
          <cell r="B272" t="str">
            <v>2.3.1.18</v>
          </cell>
          <cell r="C272" t="str">
            <v>Fornecimento e assentamento de pedra de bancada em composto constituido por 94% de quartzo natural polido com proteção bateriana e 20mm de espessura, do tipo "Silestone", ou equivalente, com uma quina boleada, orifícios para lavatórios, placas eletricas e torneiras.</v>
          </cell>
          <cell r="D272" t="str">
            <v>m2</v>
          </cell>
          <cell r="E272">
            <v>1</v>
          </cell>
          <cell r="F272">
            <v>425</v>
          </cell>
        </row>
        <row r="273">
          <cell r="B273" t="str">
            <v>2.3.1.19</v>
          </cell>
          <cell r="C273" t="str">
            <v>Fornecimento e assentamento de pedra de bancada em granito, com 30mm de espessura, incluindo arestas exteriores boleadas e cortes para inserção de equipamentos.</v>
          </cell>
          <cell r="D273" t="str">
            <v>m2</v>
          </cell>
          <cell r="E273">
            <v>1</v>
          </cell>
          <cell r="F273">
            <v>150</v>
          </cell>
        </row>
        <row r="274">
          <cell r="B274" t="str">
            <v>2.3.1.20</v>
          </cell>
          <cell r="C274" t="str">
            <v>Fornecimento e assentamento de pedra de bancada em mármore, com 30mm de espessura, incluindo arestas exteriores boleadas e cortes para inserção de equipamentos.</v>
          </cell>
          <cell r="D274" t="str">
            <v>m2</v>
          </cell>
          <cell r="E274">
            <v>1</v>
          </cell>
          <cell r="F274">
            <v>125</v>
          </cell>
        </row>
        <row r="275">
          <cell r="B275" t="str">
            <v>2.3.1.21</v>
          </cell>
          <cell r="C275" t="str">
            <v>Fornecimento e aplicação de monomassas em textura variada para reparação de cantarias danificadas, incluindo remoção de elementos danificados, preparação de superficies e acabamento superficial.</v>
          </cell>
          <cell r="D275" t="str">
            <v>m2</v>
          </cell>
          <cell r="E275">
            <v>1</v>
          </cell>
          <cell r="F275">
            <v>62.5</v>
          </cell>
        </row>
        <row r="276">
          <cell r="B276" t="str">
            <v>2.3.1.22</v>
          </cell>
          <cell r="C276" t="str">
            <v>Fornecimento e aplicação de fita antiderrapante e autoadesiva em degraus de escadas, com a largura de 50mm, incluindo prévia limpeza da superfície.</v>
          </cell>
          <cell r="D276" t="str">
            <v>m</v>
          </cell>
          <cell r="E276">
            <v>1</v>
          </cell>
          <cell r="F276">
            <v>9.4</v>
          </cell>
        </row>
        <row r="277">
          <cell r="B277" t="str">
            <v>2.3.1.23</v>
          </cell>
          <cell r="C277" t="str">
            <v>Fornecimento e aplicação de produto antiderrapante com silica em degraus de escadas, com largura de 50mm, incluindo prévia limpeza da superfície e abertura de caixa.</v>
          </cell>
          <cell r="D277" t="str">
            <v>m</v>
          </cell>
          <cell r="E277">
            <v>1</v>
          </cell>
          <cell r="F277">
            <v>31.25</v>
          </cell>
        </row>
        <row r="278">
          <cell r="B278" t="str">
            <v>2.3.1.24</v>
          </cell>
          <cell r="C278" t="str">
            <v>Bujardamento de faixa antiderrapante em degraus de escada.</v>
          </cell>
          <cell r="D278" t="str">
            <v>m2</v>
          </cell>
          <cell r="E278">
            <v>1</v>
          </cell>
          <cell r="F278">
            <v>62.5</v>
          </cell>
        </row>
        <row r="279">
          <cell r="B279" t="str">
            <v>3.</v>
          </cell>
          <cell r="C279" t="str">
            <v>LIMPEZAS E DESOBSTRUÇÕES:</v>
          </cell>
        </row>
        <row r="280">
          <cell r="B280" t="str">
            <v>3.1</v>
          </cell>
          <cell r="C280" t="str">
            <v>de DRENAGENS PLUVIAIS</v>
          </cell>
        </row>
        <row r="281">
          <cell r="B281" t="str">
            <v>3.1.1</v>
          </cell>
          <cell r="C281" t="str">
            <v>Limpeza e desobstrução de valetas em terra, incluindo remoção de detritos a destino final autorizado.</v>
          </cell>
          <cell r="D281" t="str">
            <v>m</v>
          </cell>
          <cell r="E281">
            <v>20</v>
          </cell>
          <cell r="F281">
            <v>1.9</v>
          </cell>
        </row>
        <row r="282">
          <cell r="B282" t="str">
            <v>3.1.2</v>
          </cell>
          <cell r="C282" t="str">
            <v>Limpeza e desobstrução de valetas pré-fabricadas com tampa, tipo REFER, incluindo levantamento e reassentamento de tampas, bem como remoção de detritos a destino final autorizado.</v>
          </cell>
          <cell r="D282" t="str">
            <v>m</v>
          </cell>
          <cell r="E282">
            <v>0</v>
          </cell>
        </row>
        <row r="283">
          <cell r="B283" t="str">
            <v>3.1.3</v>
          </cell>
          <cell r="C283" t="str">
            <v>Limpeza e desobstrução de valetas em betão até 1,20m de altura variável, incluindo remoção de detritos a destino final autorizado.</v>
          </cell>
          <cell r="D283" t="str">
            <v>m</v>
          </cell>
          <cell r="E283">
            <v>0</v>
          </cell>
        </row>
        <row r="284">
          <cell r="B284" t="str">
            <v>3.1.4</v>
          </cell>
          <cell r="C284" t="str">
            <v>Idem, entre 1,20 e 2,00m</v>
          </cell>
          <cell r="D284" t="str">
            <v>m</v>
          </cell>
          <cell r="E284">
            <v>0</v>
          </cell>
        </row>
        <row r="285">
          <cell r="B285" t="str">
            <v>3.1.5</v>
          </cell>
          <cell r="C285" t="str">
            <v>Limpeza e desobstrução de caixas de visita até 2 m3 de volume, incluindo remoção de detritos a destino final autorizado.</v>
          </cell>
          <cell r="D285" t="str">
            <v>un</v>
          </cell>
          <cell r="E285">
            <v>2</v>
          </cell>
          <cell r="F285">
            <v>93.75</v>
          </cell>
        </row>
        <row r="286">
          <cell r="B286" t="str">
            <v>3.1.6</v>
          </cell>
          <cell r="C286" t="str">
            <v>Limpeza e desobstrução de caixas de visita entre 2 e 5 m3 de volume, incluindo remoção de detritos a destino final autorizado.</v>
          </cell>
          <cell r="D286" t="str">
            <v>un</v>
          </cell>
          <cell r="E286">
            <v>2</v>
          </cell>
          <cell r="F286">
            <v>150</v>
          </cell>
        </row>
        <row r="287">
          <cell r="B287" t="str">
            <v>3.1.7</v>
          </cell>
          <cell r="C287" t="str">
            <v>Limpeza e desobstrução de aquedutos até D600 mm, incluindo o devido cumprimento legal inerente.</v>
          </cell>
          <cell r="D287" t="str">
            <v>m</v>
          </cell>
          <cell r="E287">
            <v>1</v>
          </cell>
          <cell r="F287">
            <v>37.5</v>
          </cell>
        </row>
        <row r="288">
          <cell r="B288" t="str">
            <v>3.1.8</v>
          </cell>
          <cell r="C288" t="str">
            <v>Limpeza de desobstrução de aquedutos até D1000 mm, incluindo o devido cumprimento legal inerente.</v>
          </cell>
          <cell r="D288" t="str">
            <v>m</v>
          </cell>
          <cell r="E288">
            <v>1</v>
          </cell>
          <cell r="F288">
            <v>75</v>
          </cell>
        </row>
        <row r="289">
          <cell r="B289" t="str">
            <v>3.2</v>
          </cell>
          <cell r="C289" t="str">
            <v>de COBERTURAS</v>
          </cell>
        </row>
        <row r="290">
          <cell r="B290" t="str">
            <v>3.2.1</v>
          </cell>
          <cell r="C290" t="str">
            <v>Limpeza de revestimento de cobertura de qualquer tipo, por meio de jacto de água com produto químico sujeito a aprovação pela fiscalização, até á integral remoção de musgos, liquens ou outras contaminações, incluindo substituição de telhas partidas, renovação de massames e recolha e encaminhamento de detritos/resíduos a destino final autorizado/ licenciado.</v>
          </cell>
          <cell r="D290" t="str">
            <v>m2</v>
          </cell>
          <cell r="E290">
            <v>50</v>
          </cell>
          <cell r="F290">
            <v>4.4000000000000004</v>
          </cell>
        </row>
        <row r="291">
          <cell r="B291" t="str">
            <v>3.2.2</v>
          </cell>
          <cell r="C291" t="str">
            <v>Limpeza de revestimento de cobertura de qualquer tipo por meios manuais contemplando  a integral remoção de musgos, liquens ou outras contaminações, de forma manual incluindo o levantamento, recolocação, substituição de telhas partidas, renovação de massames e recolha e encaminhamento de detritos/resíduos a destino final autorizado/ licenciado.</v>
          </cell>
          <cell r="D291" t="str">
            <v>m2</v>
          </cell>
          <cell r="E291">
            <v>30</v>
          </cell>
          <cell r="F291">
            <v>3.75</v>
          </cell>
        </row>
        <row r="292">
          <cell r="B292" t="str">
            <v>3.2.3</v>
          </cell>
          <cell r="C292" t="str">
            <v>Limpeza e desobstrução de algerozes, caleiras e tubos de queda, incluindo a recolha e encaminhamento de detritos/resíduos a destino final autorizado/ licenciado.</v>
          </cell>
          <cell r="D292" t="str">
            <v>m</v>
          </cell>
          <cell r="E292">
            <v>70</v>
          </cell>
          <cell r="F292">
            <v>3.5</v>
          </cell>
        </row>
        <row r="293">
          <cell r="B293" t="str">
            <v>3.3</v>
          </cell>
          <cell r="C293" t="str">
            <v>DIVERSOS</v>
          </cell>
        </row>
        <row r="294">
          <cell r="B294" t="str">
            <v>3.3.1</v>
          </cell>
          <cell r="C294" t="str">
            <v>Lavagem de pedra em cantaria, socos, cimalhas, capitéis, ombreiras, com produtos e métodos clinicos a aprovar pela fiscalização, incluindo meios elevatórios, a recolha e encaminhamento de detritos/resíduos a destino final autorizado/ licenciado.</v>
          </cell>
          <cell r="D294" t="str">
            <v>m2</v>
          </cell>
          <cell r="E294">
            <v>70</v>
          </cell>
          <cell r="F294">
            <v>4.4000000000000004</v>
          </cell>
        </row>
        <row r="295">
          <cell r="B295" t="str">
            <v>3.3.2</v>
          </cell>
          <cell r="C295" t="str">
            <v>Remoção de graffiti em paineis de azulejo, com produtos e métodos clinicos devidamente aprovados pela fiscalização, incluido protecção de zona envolvente aos trabalhos.</v>
          </cell>
          <cell r="D295" t="str">
            <v>m2</v>
          </cell>
          <cell r="E295">
            <v>10</v>
          </cell>
          <cell r="F295">
            <v>4.9000000000000004</v>
          </cell>
        </row>
        <row r="296">
          <cell r="B296" t="str">
            <v>3.3.3</v>
          </cell>
          <cell r="C296" t="str">
            <v>Remoção de pinturas graffiti com solventes adequados sobre superfícies não tratadas preventivamente, incluindo todos os trabalhos complementares.</v>
          </cell>
          <cell r="D296" t="str">
            <v>m2</v>
          </cell>
          <cell r="E296">
            <v>25</v>
          </cell>
          <cell r="F296">
            <v>6.25</v>
          </cell>
        </row>
        <row r="297">
          <cell r="B297" t="str">
            <v>3.3.4</v>
          </cell>
          <cell r="C297" t="str">
            <v>Fornecimento e aplicação de protecção de anti-graffiti, com produtos e métodos devidamente aprovados pela fiscalização, incluido protecção de zona envolvente aos trabalhos.</v>
          </cell>
          <cell r="D297" t="str">
            <v>m2</v>
          </cell>
          <cell r="E297">
            <v>0</v>
          </cell>
        </row>
        <row r="298">
          <cell r="B298" t="str">
            <v>3.3.5</v>
          </cell>
          <cell r="C298" t="str">
            <v>Lavagem de pavimentos, paredes e outras superfícies, por meio de jacto de água, com produto químico ou outro metodos, sujeito a aprovação pela fiscalização, até á integral remoção de musgos, liquens ou outras contaminações e recolha e encaminhamento de detritos/resíduos a destino final autorizado/ licenciado.</v>
          </cell>
          <cell r="D298" t="str">
            <v>m2</v>
          </cell>
          <cell r="E298">
            <v>300</v>
          </cell>
          <cell r="F298">
            <v>3.5</v>
          </cell>
        </row>
        <row r="299">
          <cell r="B299" t="str">
            <v>3.3.6</v>
          </cell>
          <cell r="C299" t="str">
            <v>Limpeza de redes anti-pombo com produtos e métodos a aprovar pela fiscalização, incluindo meios de elevação e gestão dos resíduos.</v>
          </cell>
          <cell r="D299" t="str">
            <v>m2</v>
          </cell>
          <cell r="E299">
            <v>0</v>
          </cell>
        </row>
        <row r="300">
          <cell r="B300" t="str">
            <v>4</v>
          </cell>
          <cell r="C300" t="str">
            <v>COBERTURAS (Inclui a recolha, triagem, remoção e transporte dos materiais com potencial de reutilização/ valorizáveis a local designado pela Fiscalização e a recolha, triagem, remoção, transporte a armazenamento preliminar e encaminhamento a destino final licenciado, bem como, o cumprimento legal inerente).</v>
          </cell>
        </row>
        <row r="301">
          <cell r="B301" t="str">
            <v>4.1</v>
          </cell>
          <cell r="C301" t="str">
            <v>COBERTURAS  (incluindo meios de elevação para a execução dos trabalhos)</v>
          </cell>
        </row>
        <row r="302">
          <cell r="B302" t="str">
            <v>4.1.1</v>
          </cell>
          <cell r="C302" t="str">
            <v>REVESTIMENTO DE COBERTURAS</v>
          </cell>
        </row>
        <row r="303">
          <cell r="B303" t="str">
            <v>4.1.1.1</v>
          </cell>
          <cell r="C303" t="str">
            <v>Fornecimento e aplicação de telhas do tipo marselha, lusa ou canudo, incluindo todos os trabalhos complementares.</v>
          </cell>
          <cell r="D303" t="str">
            <v>m2</v>
          </cell>
          <cell r="E303">
            <v>200</v>
          </cell>
          <cell r="F303">
            <v>13</v>
          </cell>
        </row>
        <row r="304">
          <cell r="B304" t="str">
            <v>4.1.1.2</v>
          </cell>
          <cell r="C304" t="str">
            <v>idem, claraboia</v>
          </cell>
          <cell r="D304" t="str">
            <v>un</v>
          </cell>
          <cell r="E304">
            <v>0</v>
          </cell>
        </row>
        <row r="305">
          <cell r="B305" t="str">
            <v>4.1.1.3</v>
          </cell>
          <cell r="C305" t="str">
            <v>Idem, passadeira</v>
          </cell>
          <cell r="D305" t="str">
            <v>un</v>
          </cell>
          <cell r="E305">
            <v>0</v>
          </cell>
        </row>
        <row r="306">
          <cell r="B306" t="str">
            <v>4.1.1.4</v>
          </cell>
          <cell r="C306" t="str">
            <v>Idem, ventilador</v>
          </cell>
          <cell r="D306" t="str">
            <v>un</v>
          </cell>
          <cell r="E306">
            <v>10</v>
          </cell>
          <cell r="F306">
            <v>8.4</v>
          </cell>
        </row>
        <row r="307">
          <cell r="B307" t="str">
            <v>4.1.1.5</v>
          </cell>
          <cell r="C307" t="str">
            <v>Idem, beirado</v>
          </cell>
          <cell r="D307" t="str">
            <v>un</v>
          </cell>
          <cell r="E307">
            <v>25</v>
          </cell>
          <cell r="F307">
            <v>6.25</v>
          </cell>
        </row>
        <row r="308">
          <cell r="B308" t="str">
            <v>4.1.1.6</v>
          </cell>
          <cell r="C308" t="str">
            <v>Idem, telhões de espigão</v>
          </cell>
          <cell r="D308" t="str">
            <v>un</v>
          </cell>
          <cell r="E308">
            <v>25</v>
          </cell>
          <cell r="F308">
            <v>8.5</v>
          </cell>
        </row>
        <row r="309">
          <cell r="B309" t="str">
            <v>4.1.1.7</v>
          </cell>
          <cell r="C309" t="str">
            <v>Idem, telhão de início</v>
          </cell>
          <cell r="D309" t="str">
            <v>un</v>
          </cell>
          <cell r="E309">
            <v>10</v>
          </cell>
          <cell r="F309">
            <v>6.4</v>
          </cell>
        </row>
        <row r="310">
          <cell r="B310" t="str">
            <v>4.1.1.8</v>
          </cell>
          <cell r="C310" t="str">
            <v>Idem, telhão de três águas</v>
          </cell>
          <cell r="D310" t="str">
            <v>un</v>
          </cell>
          <cell r="E310">
            <v>1</v>
          </cell>
          <cell r="F310">
            <v>8.5</v>
          </cell>
        </row>
        <row r="311">
          <cell r="B311" t="str">
            <v>4.1.1.9</v>
          </cell>
          <cell r="C311" t="str">
            <v>Fornecimento e aplicação de chapas de naturocimento em coberturas, incluindo peças de fixação e todos os trabalhos complementares.</v>
          </cell>
          <cell r="D311" t="str">
            <v>m2</v>
          </cell>
          <cell r="E311">
            <v>2</v>
          </cell>
          <cell r="F311">
            <v>18.399999999999999</v>
          </cell>
        </row>
        <row r="312">
          <cell r="B312" t="str">
            <v>4.1.1.10</v>
          </cell>
          <cell r="C312" t="str">
            <v>Idem, chapas acrilicas</v>
          </cell>
          <cell r="D312" t="str">
            <v>m2</v>
          </cell>
          <cell r="E312">
            <v>1</v>
          </cell>
          <cell r="F312">
            <v>21</v>
          </cell>
        </row>
        <row r="313">
          <cell r="B313" t="str">
            <v>4.1.1.11</v>
          </cell>
          <cell r="C313" t="str">
            <v>Idem, chapas de policarbonato compacto de 8mm.</v>
          </cell>
          <cell r="D313" t="str">
            <v>m2</v>
          </cell>
          <cell r="E313">
            <v>1</v>
          </cell>
          <cell r="F313">
            <v>65</v>
          </cell>
        </row>
        <row r="314">
          <cell r="B314" t="str">
            <v>4.1.1.12</v>
          </cell>
          <cell r="C314" t="str">
            <v>Idem, chapas de policarbonato alveolar de 10mm.</v>
          </cell>
          <cell r="D314" t="str">
            <v>m2</v>
          </cell>
          <cell r="E314">
            <v>1</v>
          </cell>
          <cell r="F314">
            <v>19.2</v>
          </cell>
        </row>
        <row r="315">
          <cell r="B315" t="str">
            <v>4.1.1.13</v>
          </cell>
          <cell r="C315" t="str">
            <v>Idem, em chapas zincadas</v>
          </cell>
          <cell r="D315" t="str">
            <v>m2</v>
          </cell>
          <cell r="E315">
            <v>1</v>
          </cell>
          <cell r="F315">
            <v>62.5</v>
          </cell>
        </row>
        <row r="316">
          <cell r="B316" t="str">
            <v>4.1.1.14</v>
          </cell>
          <cell r="C316" t="str">
            <v>Fornecimento e assentamento de chapas lacadas tipo Alaço, incluindo chapas de cumieira e acessórios de fixação.</v>
          </cell>
          <cell r="D316" t="str">
            <v>m2</v>
          </cell>
          <cell r="E316">
            <v>25</v>
          </cell>
          <cell r="F316">
            <v>31.25</v>
          </cell>
        </row>
        <row r="317">
          <cell r="B317" t="str">
            <v>4.1.1.15</v>
          </cell>
          <cell r="C317" t="str">
            <v>Fornecimento e assentamento de chapas lacadas em paineis sandwich tipo Alaço, com isolamento de 30mm, incluindo chapas de cumieira e acessórios de fixação.</v>
          </cell>
          <cell r="D317" t="str">
            <v>m2</v>
          </cell>
          <cell r="E317">
            <v>50</v>
          </cell>
          <cell r="F317">
            <v>31.25</v>
          </cell>
        </row>
        <row r="318">
          <cell r="B318" t="str">
            <v>4.1.1.16</v>
          </cell>
          <cell r="C318" t="str">
            <v>Fornecimento e assentamento de chapas lacadas em paineis sandwich tipo Alaço, com isolamento de 50mm, incluindo chapas de cumieira e acessórios de fixação.</v>
          </cell>
          <cell r="D318" t="str">
            <v>m2</v>
          </cell>
          <cell r="E318">
            <v>5</v>
          </cell>
          <cell r="F318">
            <v>34.5</v>
          </cell>
        </row>
        <row r="319">
          <cell r="B319" t="str">
            <v>4.1.1.17</v>
          </cell>
          <cell r="C319" t="str">
            <v>Fornecimento e aplicação de sub-telha do tipo "Onduline", ou equivalente, incluindo ripado, acessórios, fixações e remates.</v>
          </cell>
          <cell r="D319" t="str">
            <v>m2</v>
          </cell>
          <cell r="E319">
            <v>100</v>
          </cell>
          <cell r="F319">
            <v>25</v>
          </cell>
        </row>
        <row r="320">
          <cell r="B320" t="str">
            <v>4.1.1.18</v>
          </cell>
          <cell r="C320" t="str">
            <v>Fornecimento e aplicação de telhado, incluindo colocação ou substituição de ripado e varedo em madeira</v>
          </cell>
          <cell r="D320" t="str">
            <v>m2</v>
          </cell>
          <cell r="E320">
            <v>50</v>
          </cell>
          <cell r="F320">
            <v>37.5</v>
          </cell>
        </row>
        <row r="321">
          <cell r="B321" t="str">
            <v>4.1.1.19</v>
          </cell>
          <cell r="C321" t="str">
            <v>Reparação de beirado à portuguesa</v>
          </cell>
          <cell r="D321" t="str">
            <v>m</v>
          </cell>
          <cell r="E321">
            <v>100</v>
          </cell>
          <cell r="F321">
            <v>21.9</v>
          </cell>
        </row>
        <row r="322">
          <cell r="B322" t="str">
            <v>4.1.1.20</v>
          </cell>
          <cell r="C322" t="str">
            <v>Fornecimento e aplicação de sistema sub-telha, incluindo, ripado em PVC,  remoçao e recolcação das telhas incluindo peças de fixação e todos os trabalhos complementares.</v>
          </cell>
          <cell r="D322" t="str">
            <v>m2</v>
          </cell>
          <cell r="E322">
            <v>100</v>
          </cell>
          <cell r="F322">
            <v>31.25</v>
          </cell>
        </row>
        <row r="323">
          <cell r="B323" t="str">
            <v>4.1.1.21</v>
          </cell>
          <cell r="C323" t="str">
            <v>Fornecimento e aplicação de cobertura modular autoportante em policarbonato alveolar tipo "System Piu", ou equivalente, com 12mm, incluindo acessórios de fixação, remates e todos os trabalhos complementares.</v>
          </cell>
          <cell r="D323" t="str">
            <v>m2</v>
          </cell>
          <cell r="E323">
            <v>0</v>
          </cell>
        </row>
        <row r="324">
          <cell r="B324" t="str">
            <v>4.1.1.22</v>
          </cell>
          <cell r="C324" t="str">
            <v>Idem, com 16mm</v>
          </cell>
          <cell r="D324" t="str">
            <v>m2</v>
          </cell>
          <cell r="E324">
            <v>0</v>
          </cell>
        </row>
        <row r="325">
          <cell r="B325" t="str">
            <v>4.1.1.23</v>
          </cell>
          <cell r="C325" t="str">
            <v>Idem, com 20mm</v>
          </cell>
          <cell r="D325" t="str">
            <v>m2</v>
          </cell>
          <cell r="E325">
            <v>0</v>
          </cell>
        </row>
        <row r="326">
          <cell r="B326" t="str">
            <v>4.1.1.24</v>
          </cell>
          <cell r="C326" t="str">
            <v>Fornecimento e aplicação de cobertura em painéis de vidro laminado de 1010.4 termoendurecido com dimensões de 1,50x3,40m, fixos a estrutura portante de peças pontuais articuladas em aço inox com fixação intermédia de braço duplo, sendo as principais em forma de estrela, incluindo acessórios de fixação, remates impermeabilização de juntas e todos os trabalhos complementares.</v>
          </cell>
          <cell r="D326" t="str">
            <v>m2</v>
          </cell>
          <cell r="E326">
            <v>0</v>
          </cell>
        </row>
        <row r="327">
          <cell r="B327" t="str">
            <v>4.1.1.25</v>
          </cell>
          <cell r="C327" t="str">
            <v>Fornecimento e aplicação de cobertura em aluminio no sistema tipo "Kalzip" ou equivalente, com uma inclinação minima de 2,6%, composta por chapa base pré-lacada na face exterior a poliester na cor branco no perfil 54S com 0,75mm de espª, barreira de vapor tipo Kalzip Kal-flex 1,2mm transparente de polietileno de baixa densidade de 250μm e malha de poliprolileno integradas, fita selante butilica para barreira de vapor tipo Kalzip</v>
          </cell>
        </row>
        <row r="328">
          <cell r="B328" t="str">
            <v>4.1.1.25.1</v>
          </cell>
          <cell r="C328" t="str">
            <v>Fornecimento e aplicação de bandeja recta tipo Kalzip no perfil 65/400 em aluminio com 3 ondas de reforço mecanico, na espª de 0,90mm com acabamento lacado a poliester na cor Ral 9007 (cobertura Plataformas).</v>
          </cell>
          <cell r="D328" t="str">
            <v>m2</v>
          </cell>
          <cell r="E328">
            <v>0</v>
          </cell>
        </row>
        <row r="329">
          <cell r="B329" t="str">
            <v>4.1.1.25.2</v>
          </cell>
          <cell r="C329" t="str">
            <v>Fornecimento e aplicação de bandeja curva tipo Kalzip cintrados em fábrica de aluminio com um raio de 400mm com 1,00mm de espª lacado a poliester na cor Ral 9007, em bandeja com uma única chapa do comprimento da água,</v>
          </cell>
          <cell r="D329" t="str">
            <v>m2</v>
          </cell>
          <cell r="E329">
            <v>0</v>
          </cell>
        </row>
        <row r="330">
          <cell r="B330" t="str">
            <v>4.1.1.25.3</v>
          </cell>
          <cell r="C330" t="str">
            <v>Fornecimento e aplicação de bandeja cónica tipo Kalzip em aluminio na espª de 0,90mm, com acabamento lacado a poliester na cor Ral 9007, em bandeja com uma única chapa de comprimento da água,</v>
          </cell>
          <cell r="D330" t="str">
            <v>m2</v>
          </cell>
          <cell r="E330">
            <v>0</v>
          </cell>
        </row>
        <row r="331">
          <cell r="B331" t="str">
            <v>4.1.1.25.4</v>
          </cell>
          <cell r="C331" t="str">
            <v>Remate lateral com desenvolvimento de 578mm, em aluminio de 1mm de espª no acabamento igual à cobertura, incluindo perfil em "T", "U" e garra fixadora, em aluminio extrudido de 2mm de espª, incluindo fixações a indicar pelo Fabricante,</v>
          </cell>
          <cell r="D331" t="str">
            <v>m</v>
          </cell>
          <cell r="E331">
            <v>0</v>
          </cell>
        </row>
        <row r="332">
          <cell r="B332" t="str">
            <v>4.1.1.25.5</v>
          </cell>
          <cell r="C332" t="str">
            <v>Remate de meia cumeeira com desenvolvimento de 578mm, em aluminio de 1mm de espª no acabamento igual à cobertura, incluindo tampa corta vento igual à cobertura, elemento de estanquecidade em polietileno recortados ao perfil 65/400 em perfil em "Z" em aluminio de 2mm de espª, incluindo fixações a indicar pelo Fabricante,</v>
          </cell>
          <cell r="D332" t="str">
            <v>m</v>
          </cell>
          <cell r="E332">
            <v>0</v>
          </cell>
        </row>
        <row r="333">
          <cell r="B333" t="str">
            <v>4.1.1.25.6</v>
          </cell>
          <cell r="C333" t="str">
            <v>Remate de caleira dupla, composto por barreira de vapor tipo Kalzip de polietileno, lã mineral 100kg/m³ com 30mm de espª revestindo a base e laterais da caleira, juntas de dilatação em borracha vulcanizada, funis para ligação a tubos de queda e caleira exterior em chapa de aluminio tipo Kalzip de 1mm de espª com acabamento "Gofrado" com desenvolvimento máximo de 1200mm, incluindo fixações a indicar pelo Fabricante,</v>
          </cell>
          <cell r="D333" t="str">
            <v>m</v>
          </cell>
          <cell r="E333">
            <v>0</v>
          </cell>
        </row>
        <row r="334">
          <cell r="B334" t="str">
            <v>4.1.1.25.7</v>
          </cell>
          <cell r="C334" t="str">
            <v>Remate de beirado, composto por pingadeira de beirado em aluminio extrudido de 2mm de espª, elemento de estanquecidade de beirado recortado ao perfil 65/400 em polietileno celuloso de beirado, incluindo fita butilica para elemento de estanquecidade,</v>
          </cell>
          <cell r="D334" t="str">
            <v>m</v>
          </cell>
          <cell r="E334">
            <v>0</v>
          </cell>
        </row>
        <row r="335">
          <cell r="B335" t="str">
            <v>4.1.1.25.8</v>
          </cell>
          <cell r="C335" t="str">
            <v>Remate de caleira de beirado, composto por pingadeira de beirado em aluminio extrudido de 2mm de espª, elemento de estanquecidade de beirado 65/400 e fita auto adesiva para pingadeira, juntas de dilatação em borracha vulcanizada, funis para ligação a tubos de queda, oleias de fixação da caleira de aluminio e caleira exterior em chapa de aluminio tipo Kalzip de 1mm de espª com acabamento "Gofrado" com desenvolvimento máximo de 600mm,</v>
          </cell>
          <cell r="D335" t="str">
            <v>m</v>
          </cell>
          <cell r="E335">
            <v>0</v>
          </cell>
        </row>
        <row r="336">
          <cell r="B336" t="str">
            <v>4.1.1.25.9</v>
          </cell>
          <cell r="C336" t="str">
            <v>Remate de vedação dos tirantes às bandeja tipo Kalzip, incluindo gola e soldadura,</v>
          </cell>
          <cell r="D336" t="str">
            <v>m</v>
          </cell>
          <cell r="E336">
            <v>0</v>
          </cell>
        </row>
        <row r="337">
          <cell r="B337" t="str">
            <v>4.1.1.25.10</v>
          </cell>
          <cell r="C337" t="str">
            <v>Remate de soldadura a badejas de aluminio tipo Kalzip,</v>
          </cell>
          <cell r="D337" t="str">
            <v>m</v>
          </cell>
          <cell r="E337">
            <v>0</v>
          </cell>
        </row>
        <row r="338">
          <cell r="B338" t="str">
            <v>4.1.1.26</v>
          </cell>
          <cell r="C338" t="str">
            <v>Execução de revestimento de cobertura com chapa de zinco tipo "Asturiana das minas" com acabamento "prepatine quartz zinc" com fixação agrafada, incluindo assentamento de película "zw zinc", contraplacado marítimo com 2cm de espessura.</v>
          </cell>
          <cell r="D338" t="str">
            <v>m2</v>
          </cell>
          <cell r="E338">
            <v>0</v>
          </cell>
        </row>
        <row r="339">
          <cell r="B339" t="str">
            <v>4.1.2</v>
          </cell>
          <cell r="C339" t="str">
            <v>CALEIRAS, TUBOS DE QUEDA E ALGEROZES</v>
          </cell>
        </row>
        <row r="340">
          <cell r="B340" t="str">
            <v>4.1.2.1</v>
          </cell>
          <cell r="C340" t="str">
            <v>Fornecimento e aplicação de caleiras em alumínio lacado, sem emendas, incluindo acessórios.</v>
          </cell>
          <cell r="D340" t="str">
            <v>m</v>
          </cell>
          <cell r="E340">
            <v>10</v>
          </cell>
          <cell r="F340">
            <v>16.25</v>
          </cell>
        </row>
        <row r="341">
          <cell r="B341" t="str">
            <v>4.1.2.2</v>
          </cell>
          <cell r="C341" t="str">
            <v>Fornecimento e aplicação de caleira para beirados e algerozes em chapa zincada, incluindo suportes e fixações</v>
          </cell>
          <cell r="D341" t="str">
            <v>m</v>
          </cell>
          <cell r="E341">
            <v>25</v>
          </cell>
          <cell r="F341">
            <v>31.25</v>
          </cell>
        </row>
        <row r="342">
          <cell r="B342" t="str">
            <v>4.1.2.3</v>
          </cell>
          <cell r="C342" t="str">
            <v>Fornecimento e aplicação de algeroz em tubo PVC incluindo remoção do existente a destino final autorizado, peças de fixação, uniões e curvas.</v>
          </cell>
          <cell r="D342" t="str">
            <v>m</v>
          </cell>
          <cell r="E342">
            <v>5</v>
          </cell>
          <cell r="F342">
            <v>17</v>
          </cell>
        </row>
        <row r="343">
          <cell r="B343" t="str">
            <v>4.1.2.4</v>
          </cell>
          <cell r="C343" t="str">
            <v>Idem, em alumínio lacado</v>
          </cell>
          <cell r="D343" t="str">
            <v>m</v>
          </cell>
          <cell r="E343">
            <v>10</v>
          </cell>
          <cell r="F343">
            <v>17</v>
          </cell>
        </row>
        <row r="344">
          <cell r="B344" t="str">
            <v>4.1.2.5</v>
          </cell>
          <cell r="C344" t="str">
            <v>Fornecimento e aplicação de tubos de queda em tudo galvanizado, incluindo remoção do existente a destino final autorizado, peças de fixação, uniões e curvas.</v>
          </cell>
          <cell r="D344" t="str">
            <v>m</v>
          </cell>
          <cell r="E344">
            <v>1</v>
          </cell>
          <cell r="F344">
            <v>17.399999999999999</v>
          </cell>
        </row>
        <row r="345">
          <cell r="B345" t="str">
            <v>4.1.2.6</v>
          </cell>
          <cell r="C345" t="str">
            <v>Idem, em PVC</v>
          </cell>
          <cell r="D345" t="str">
            <v>m</v>
          </cell>
          <cell r="E345">
            <v>20</v>
          </cell>
          <cell r="F345">
            <v>10.7</v>
          </cell>
        </row>
        <row r="346">
          <cell r="B346" t="str">
            <v>4.1.2.7</v>
          </cell>
          <cell r="C346" t="str">
            <v>Idem, em alumínio lacado</v>
          </cell>
          <cell r="D346" t="str">
            <v>m</v>
          </cell>
          <cell r="E346">
            <v>10</v>
          </cell>
          <cell r="F346">
            <v>16.899999999999999</v>
          </cell>
        </row>
        <row r="347">
          <cell r="B347" t="str">
            <v>4.1.2.8</v>
          </cell>
          <cell r="C347" t="str">
            <v>Fornecimento e aplicação de ralos de pinha metálica de algerozes, incluindo remoção do existente a destino final autorizado.</v>
          </cell>
          <cell r="D347" t="str">
            <v>un</v>
          </cell>
          <cell r="E347">
            <v>5</v>
          </cell>
          <cell r="F347">
            <v>15.7</v>
          </cell>
        </row>
        <row r="348">
          <cell r="B348" t="str">
            <v>4.1.2.9</v>
          </cell>
          <cell r="C348" t="str">
            <v>Idem, em inóx</v>
          </cell>
          <cell r="D348" t="str">
            <v>un</v>
          </cell>
          <cell r="E348">
            <v>0</v>
          </cell>
        </row>
        <row r="349">
          <cell r="B349" t="str">
            <v>4.1.2.10</v>
          </cell>
          <cell r="C349" t="str">
            <v>Fornecimento e aplicação de gárgulas em chapa zincada, incluindo remoção do existente, acessórios e transporte de detritos a destino final autorizado.</v>
          </cell>
          <cell r="D349" t="str">
            <v>un</v>
          </cell>
          <cell r="E349">
            <v>1</v>
          </cell>
          <cell r="F349">
            <v>31.25</v>
          </cell>
        </row>
        <row r="350">
          <cell r="B350" t="str">
            <v>4.1.2.11</v>
          </cell>
          <cell r="C350" t="str">
            <v>Idem, PVC.</v>
          </cell>
          <cell r="D350" t="str">
            <v>un</v>
          </cell>
          <cell r="E350">
            <v>0</v>
          </cell>
        </row>
        <row r="351">
          <cell r="B351" t="str">
            <v>4.1.2.12</v>
          </cell>
          <cell r="C351" t="str">
            <v>Reparação de rufos e caleiras em chapa de zinco com execução de soldas em zinco.</v>
          </cell>
          <cell r="D351" t="str">
            <v>m</v>
          </cell>
          <cell r="E351">
            <v>10</v>
          </cell>
          <cell r="F351">
            <v>106.25</v>
          </cell>
        </row>
        <row r="352">
          <cell r="B352" t="str">
            <v>5</v>
          </cell>
          <cell r="C352" t="str">
            <v>IMPERMEABILIZAÇÕES (Inclui a recolha, triagem, remoção, transporte a armazenamento preliminar e encaminhamento a destino final licenciado).</v>
          </cell>
        </row>
        <row r="353">
          <cell r="B353" t="str">
            <v>5.1</v>
          </cell>
          <cell r="C353" t="str">
            <v>Fornecimento e aplicação de isolamento com tela de alumínio ou xisto, incluindo todos os trabalhos preparatórios e complementares.</v>
          </cell>
          <cell r="D353" t="str">
            <v>m2</v>
          </cell>
          <cell r="E353">
            <v>35</v>
          </cell>
          <cell r="F353">
            <v>9</v>
          </cell>
        </row>
        <row r="354">
          <cell r="B354" t="str">
            <v>5.2</v>
          </cell>
          <cell r="C354" t="str">
            <v>Fornecimento e aplicação de betonilha armada para camada de forma em coberturas, incluindo limpeza e preparação da superfície, remates e todos os trabalhos complementares.</v>
          </cell>
          <cell r="D354" t="str">
            <v>m3</v>
          </cell>
          <cell r="E354">
            <v>5</v>
          </cell>
          <cell r="F354">
            <v>106.25</v>
          </cell>
        </row>
        <row r="355">
          <cell r="B355" t="str">
            <v>5.3</v>
          </cell>
          <cell r="C355" t="str">
            <v>Fornecimento e aplicação de sistema de impermeabilização sem isolamento térmico para coberturas de acessibilidade limitada, do tipo "Imperalum", ou equivalente, incluindo limpeza e preparação da superfície, remates em pontos singulares, acessórios e todos os trabalhos complementares, excluindo camada de forma e proteção pesada em lajetas tipo “Grisol”, ou equivalente e argamassa de assentamento.</v>
          </cell>
          <cell r="D355" t="str">
            <v>m2</v>
          </cell>
          <cell r="E355">
            <v>1</v>
          </cell>
          <cell r="F355">
            <v>31.25</v>
          </cell>
        </row>
        <row r="356">
          <cell r="B356" t="str">
            <v>5.4</v>
          </cell>
          <cell r="C356" t="str">
            <v>Idem, com isolamento térmico em paineis de roofmate, solução cobertura invertida.</v>
          </cell>
          <cell r="D356" t="str">
            <v>m2</v>
          </cell>
          <cell r="E356">
            <v>1</v>
          </cell>
          <cell r="F356">
            <v>29.7</v>
          </cell>
        </row>
        <row r="357">
          <cell r="B357" t="str">
            <v>5.5</v>
          </cell>
          <cell r="C357" t="str">
            <v>Fornecimento e aplicação de sistema de impermeabilização sem isolamento térmico para coberturas de acessibilidade limitada, do tipo "Imperalum", ou equivalente, incluindo limpeza e preparação da superfície, remates em pontos singulares, acessórios e todos os trabalhos complementares, excluindo camada de forma e proteção em godo com dimensão máxima 50mm.</v>
          </cell>
          <cell r="D357" t="str">
            <v>m2</v>
          </cell>
          <cell r="E357">
            <v>10</v>
          </cell>
          <cell r="F357">
            <v>31.25</v>
          </cell>
        </row>
        <row r="358">
          <cell r="B358" t="str">
            <v>5.6</v>
          </cell>
          <cell r="C358" t="str">
            <v>Idem, com isolamento térmico em paineis de roofmate, solução cobertura invertida.</v>
          </cell>
          <cell r="D358" t="str">
            <v>m2</v>
          </cell>
          <cell r="E358">
            <v>1</v>
          </cell>
          <cell r="F358">
            <v>27.5</v>
          </cell>
        </row>
        <row r="359">
          <cell r="B359" t="str">
            <v>5.7</v>
          </cell>
          <cell r="C359" t="str">
            <v>Fornecimento e aplicação de impermeabilização em manta líquida flexivel bicomponente, aplicada em 3 demão, incluindo limpeza e preparação da superfície, tratamento de pontos singulares, remates e todos os trabalhos complementares.</v>
          </cell>
          <cell r="D359" t="str">
            <v>m2</v>
          </cell>
          <cell r="E359">
            <v>30</v>
          </cell>
          <cell r="F359">
            <v>15</v>
          </cell>
        </row>
        <row r="360">
          <cell r="B360" t="str">
            <v>5.8</v>
          </cell>
          <cell r="C360" t="str">
            <v>Isolamento de juntas de dilatação com material adequado a este fim, incluindo, limpeza, remoção da existente e todos os trabalhos preparatórios e complementares</v>
          </cell>
          <cell r="D360" t="str">
            <v>m</v>
          </cell>
          <cell r="E360">
            <v>5</v>
          </cell>
          <cell r="F360">
            <v>25</v>
          </cell>
        </row>
        <row r="361">
          <cell r="B361" t="str">
            <v>5.9</v>
          </cell>
          <cell r="C361" t="str">
            <v>Fornecimento e aplicação de emulsão betuminosa, incluindo limpeza e preparação de superfície, tratamento de pontos singulares e todos os trabalhos complementares.</v>
          </cell>
          <cell r="D361" t="str">
            <v>m2</v>
          </cell>
          <cell r="E361">
            <v>20</v>
          </cell>
          <cell r="F361">
            <v>5.65</v>
          </cell>
        </row>
        <row r="362">
          <cell r="B362" t="str">
            <v>5.10</v>
          </cell>
          <cell r="C362" t="str">
            <v>Fornecimento e aplicação de impermeabilização com produto à base de copolímeros acrílicos com duas demãos de REGICRIL e dois estratos de GUMASIL a perfazer no mínimo 3kg/m2, incluindo limpeza e preparação da superfície, tratamento de pontos singulares, remates e todos os trabalhos complementares.</v>
          </cell>
          <cell r="D362" t="str">
            <v>m2</v>
          </cell>
          <cell r="E362">
            <v>1</v>
          </cell>
          <cell r="F362">
            <v>43.75</v>
          </cell>
        </row>
        <row r="363">
          <cell r="B363" t="str">
            <v>5.11</v>
          </cell>
          <cell r="C363" t="str">
            <v>Impermeabilização de caleiras e algerozes. com tela asfáltica com armadura em "polyester 40", tipo "Impermul"</v>
          </cell>
          <cell r="D363" t="str">
            <v>m2</v>
          </cell>
          <cell r="E363">
            <v>1</v>
          </cell>
          <cell r="F363">
            <v>19.7</v>
          </cell>
        </row>
        <row r="364">
          <cell r="B364" t="str">
            <v>5.12</v>
          </cell>
          <cell r="C364" t="str">
            <v>Fornecimento e aplicação de silicone liquido em coberturas.</v>
          </cell>
          <cell r="D364" t="str">
            <v>m2</v>
          </cell>
          <cell r="E364">
            <v>35</v>
          </cell>
          <cell r="F364">
            <v>25</v>
          </cell>
        </row>
        <row r="365">
          <cell r="B365" t="str">
            <v>5.13</v>
          </cell>
          <cell r="C365" t="str">
            <v>Fornecimento e aplicação de cola e veda em coberturas e outros equipamentos.</v>
          </cell>
          <cell r="D365" t="str">
            <v>m</v>
          </cell>
          <cell r="E365">
            <v>60</v>
          </cell>
          <cell r="F365">
            <v>3.15</v>
          </cell>
        </row>
        <row r="366">
          <cell r="B366">
            <v>6</v>
          </cell>
          <cell r="C366" t="str">
            <v>REVESTIMENTOS (Inclui a recolha, triagem, remoção, transporte a armazenamento preliminar e encaminhamento a destino final licenciado).</v>
          </cell>
        </row>
        <row r="367">
          <cell r="B367" t="str">
            <v>6.1</v>
          </cell>
          <cell r="C367" t="str">
            <v>EXTERIORES</v>
          </cell>
        </row>
        <row r="368">
          <cell r="B368" t="str">
            <v>6.1.1</v>
          </cell>
          <cell r="C368" t="str">
            <v>Fornecimento e aplicação de betão armado em pavimentos, afagado a helicoptero, incluindo cofragem, vibração, descofragem e todos os trabalhos complementares.</v>
          </cell>
          <cell r="D368" t="str">
            <v>m2</v>
          </cell>
          <cell r="E368">
            <v>0</v>
          </cell>
        </row>
        <row r="369">
          <cell r="B369" t="str">
            <v>6.1.2</v>
          </cell>
          <cell r="C369" t="str">
            <v>Fornecimento e aplicação de enrocamento e massame, respectivamente com 0,15m de brita e 0,10m de betão de espessura, incluindo malhasol e todos os trabalhos complementares.</v>
          </cell>
          <cell r="D369" t="str">
            <v>m2</v>
          </cell>
          <cell r="E369">
            <v>5</v>
          </cell>
          <cell r="F369">
            <v>36.700000000000003</v>
          </cell>
        </row>
        <row r="370">
          <cell r="B370" t="str">
            <v>6.1.3</v>
          </cell>
          <cell r="C370" t="str">
            <v>Fornecimento e aplicação de tout-venant, compactado com cilindro vibratório.</v>
          </cell>
          <cell r="D370" t="str">
            <v>m3</v>
          </cell>
          <cell r="E370">
            <v>10</v>
          </cell>
          <cell r="F370">
            <v>15.7</v>
          </cell>
        </row>
        <row r="371">
          <cell r="B371" t="str">
            <v>6.1.4</v>
          </cell>
          <cell r="C371" t="str">
            <v>Fornecimento e aplicação de pó de pedra calcária, com compactação com cilindro vibratório. com a espessura até 0.05m</v>
          </cell>
          <cell r="D371" t="str">
            <v>m2</v>
          </cell>
          <cell r="E371">
            <v>10</v>
          </cell>
          <cell r="F371">
            <v>3.5</v>
          </cell>
        </row>
        <row r="372">
          <cell r="B372" t="str">
            <v>6.1.5</v>
          </cell>
          <cell r="C372" t="str">
            <v>Fornecimento e aplicação de sarrisca granítica. com compactação com cilindro vibratório com a espessura até 0.10m</v>
          </cell>
          <cell r="D372" t="str">
            <v>m2</v>
          </cell>
          <cell r="E372">
            <v>10</v>
          </cell>
          <cell r="F372">
            <v>4.9000000000000004</v>
          </cell>
        </row>
        <row r="373">
          <cell r="B373" t="str">
            <v>6.1.6</v>
          </cell>
          <cell r="C373" t="str">
            <v>Fornecimento e assentamento de lagetas de pavimento, tipo "Soplacas", ou equivalente, com 600mmx400mmx50mm, incluindo preparação da base, todos os materiais para regularização de fundo de cais e todos os trabalhos complementares.</v>
          </cell>
          <cell r="D373" t="str">
            <v>m2</v>
          </cell>
          <cell r="E373">
            <v>50</v>
          </cell>
          <cell r="F373">
            <v>16.899999999999999</v>
          </cell>
        </row>
        <row r="374">
          <cell r="B374" t="str">
            <v>6.1.7</v>
          </cell>
          <cell r="C374" t="str">
            <v>Idem, do tipo "Cimenteira do Louro" ou equivalente, com 400mmx400mmx40mm.</v>
          </cell>
          <cell r="D374" t="str">
            <v>m2</v>
          </cell>
          <cell r="E374">
            <v>0</v>
          </cell>
        </row>
        <row r="375">
          <cell r="B375" t="str">
            <v>6.1.8</v>
          </cell>
          <cell r="C375" t="str">
            <v>Levantamento, nivelamento e reposição de lagetas de plataforma, incluindo preparação da base, assentamento em solo-cimento e todos os trabalhos complementares.</v>
          </cell>
          <cell r="D375" t="str">
            <v>m2</v>
          </cell>
          <cell r="E375">
            <v>100</v>
          </cell>
          <cell r="F375">
            <v>8.15</v>
          </cell>
        </row>
        <row r="376">
          <cell r="B376" t="str">
            <v>6.1.9</v>
          </cell>
          <cell r="C376" t="str">
            <v>Fornecimento e aplicação de lajetas pré-fabricadas em faixa com 40 cm de largura constituída por peças cerâmicas tácteis 20x20 tipo Ref. “linha Segurança” LS50 Ouro (amareloda série Kera Braille da Keratec, ou equivalente, em faixas de segurança, incluindo todos os trabalhos e materiais complementares, de acordo com a IT.CCA.008</v>
          </cell>
          <cell r="D376" t="str">
            <v>m</v>
          </cell>
          <cell r="E376">
            <v>10</v>
          </cell>
          <cell r="F376">
            <v>18.75</v>
          </cell>
        </row>
        <row r="377">
          <cell r="B377" t="str">
            <v>6.1.10</v>
          </cell>
          <cell r="C377" t="str">
            <v>Fornecimento e aplicação de lajetas pré-fabricadas Faixa com 40 cm de largura constituída por peças cerâmicas tácteis 20x20 tipo Ref.  LC20 Branco 1010 da série Kera Braille da Keratec, ou equivalente, em linhas de cautela, incluindo todos os trabalhos e materiais complementares, de acordo com a IT.CCA.008</v>
          </cell>
          <cell r="D377" t="str">
            <v>m</v>
          </cell>
          <cell r="E377">
            <v>1</v>
          </cell>
          <cell r="F377">
            <v>18.75</v>
          </cell>
        </row>
        <row r="378">
          <cell r="B378" t="str">
            <v>6.1.11</v>
          </cell>
          <cell r="C378" t="str">
            <v>Fornecimento e aplicação de calçada de vidraço 5x5cm, incluindo regularização do fundo de caixa, leito em traço seco, remates e adequada compactação (cilindramento e rega).</v>
          </cell>
          <cell r="D378" t="str">
            <v>m2</v>
          </cell>
          <cell r="E378">
            <v>15</v>
          </cell>
          <cell r="F378">
            <v>25</v>
          </cell>
        </row>
        <row r="379">
          <cell r="B379" t="str">
            <v>6.1.12</v>
          </cell>
          <cell r="C379" t="str">
            <v>Idem, em calçada basaltica 5x5cm.</v>
          </cell>
          <cell r="D379" t="str">
            <v>m2</v>
          </cell>
          <cell r="E379">
            <v>1</v>
          </cell>
          <cell r="F379">
            <v>36.9</v>
          </cell>
        </row>
        <row r="380">
          <cell r="B380" t="str">
            <v>6.1.13</v>
          </cell>
          <cell r="C380" t="str">
            <v>Polimento/amaciamento de calçada, incluindo aplicação de junta argamassada, por método adequado.</v>
          </cell>
          <cell r="D380" t="str">
            <v>m2</v>
          </cell>
          <cell r="E380">
            <v>0</v>
          </cell>
        </row>
        <row r="381">
          <cell r="B381" t="str">
            <v>6.1.14</v>
          </cell>
          <cell r="C381" t="str">
            <v>Levantamento e reposição de calçadas, incluindo regularização do fundo de caixa, leito em traço seco, remates e adequada compactação (cilindramento e rega).</v>
          </cell>
          <cell r="D381" t="str">
            <v>m2</v>
          </cell>
          <cell r="E381">
            <v>30</v>
          </cell>
          <cell r="F381">
            <v>11.25</v>
          </cell>
        </row>
        <row r="382">
          <cell r="B382" t="str">
            <v>6.1.15</v>
          </cell>
          <cell r="C382" t="str">
            <v>Fornecimento e assentamento de calçada em cubos de granito 7x7cm, incluindo regularização do fundo de caixa, leito em traço seco, remates e adequada compactação (cilindramento e rega).</v>
          </cell>
          <cell r="D382" t="str">
            <v>m2</v>
          </cell>
          <cell r="E382">
            <v>1</v>
          </cell>
          <cell r="F382">
            <v>37.5</v>
          </cell>
        </row>
        <row r="383">
          <cell r="B383" t="str">
            <v>6.1.16</v>
          </cell>
          <cell r="C383" t="str">
            <v>Idem, 11x11cm.</v>
          </cell>
          <cell r="D383" t="str">
            <v>m2</v>
          </cell>
          <cell r="E383">
            <v>1</v>
          </cell>
          <cell r="F383">
            <v>43.75</v>
          </cell>
        </row>
        <row r="384">
          <cell r="B384" t="str">
            <v>6.1.17</v>
          </cell>
          <cell r="C384" t="str">
            <v>Idem, em paralelo de graníto.</v>
          </cell>
          <cell r="D384" t="str">
            <v>m2</v>
          </cell>
          <cell r="E384">
            <v>10</v>
          </cell>
          <cell r="F384">
            <v>83.75</v>
          </cell>
        </row>
        <row r="385">
          <cell r="B385" t="str">
            <v>6.1.18</v>
          </cell>
          <cell r="C385" t="str">
            <v>Fornecimento e assentamento de calçada de granito 7x7cm, assente sobre massame com aguada de cimento, incluindo betonilha de regularização e todos os trabalhos acessórios e complementares,</v>
          </cell>
          <cell r="D385" t="str">
            <v>m2</v>
          </cell>
          <cell r="E385">
            <v>1</v>
          </cell>
          <cell r="F385">
            <v>47.5</v>
          </cell>
        </row>
        <row r="386">
          <cell r="B386" t="str">
            <v>6.1.19</v>
          </cell>
          <cell r="C386" t="str">
            <v>Fornecimento e aplicação de pavimento betuminoso a quente em camada de 4 cm de espessura (após compactação), incluindo compactação e rega de colagem. Em áreas de intervenção iguais ou superiores a 200m2 .</v>
          </cell>
          <cell r="D386" t="str">
            <v>m2</v>
          </cell>
          <cell r="E386">
            <v>0</v>
          </cell>
        </row>
        <row r="387">
          <cell r="B387" t="str">
            <v>6.1.20</v>
          </cell>
          <cell r="C387" t="str">
            <v>Idem, em camada de 6 cm de espessura após compactação.</v>
          </cell>
          <cell r="D387" t="str">
            <v>m2</v>
          </cell>
          <cell r="E387">
            <v>0</v>
          </cell>
        </row>
        <row r="388">
          <cell r="B388" t="str">
            <v>6.1.21</v>
          </cell>
          <cell r="C388" t="str">
            <v>Idem, em camada de 8 cm de espessura após compactação.</v>
          </cell>
          <cell r="D388" t="str">
            <v>m2</v>
          </cell>
          <cell r="E388">
            <v>0</v>
          </cell>
        </row>
        <row r="389">
          <cell r="B389" t="str">
            <v>6.1.22</v>
          </cell>
          <cell r="C389" t="str">
            <v>Fornecimento e aplicação de tapete betuminoso a frio de 4 cm de espessura em conservação / reparação de pavimentos, incluindo rega de colagem.</v>
          </cell>
          <cell r="D389" t="str">
            <v>m2</v>
          </cell>
          <cell r="E389">
            <v>2</v>
          </cell>
          <cell r="F389">
            <v>14.75</v>
          </cell>
        </row>
        <row r="390">
          <cell r="B390" t="str">
            <v>6.1.23</v>
          </cell>
          <cell r="C390" t="str">
            <v>Idem, em camada de 6 cm de espessura após compactação.</v>
          </cell>
          <cell r="D390" t="str">
            <v>m2</v>
          </cell>
          <cell r="E390">
            <v>10</v>
          </cell>
          <cell r="F390">
            <v>15.15</v>
          </cell>
        </row>
        <row r="391">
          <cell r="B391" t="str">
            <v>6.1.24</v>
          </cell>
          <cell r="C391" t="str">
            <v>Idem, em camada de 8 cm de espessura após compactação.</v>
          </cell>
          <cell r="D391" t="str">
            <v>m2</v>
          </cell>
          <cell r="E391">
            <v>10</v>
          </cell>
          <cell r="F391">
            <v>18.75</v>
          </cell>
        </row>
        <row r="392">
          <cell r="B392" t="str">
            <v>6.1.25</v>
          </cell>
          <cell r="C392" t="str">
            <v>Execução de tapete betuminoso de gravilha granítica ou basáltica c/ 0.05 de espessura incluindo abertura de caixa para nivelamento do pavimento e todos os trabalhos necessários para um bom acabamento</v>
          </cell>
          <cell r="D392" t="str">
            <v>m2</v>
          </cell>
          <cell r="E392">
            <v>0</v>
          </cell>
        </row>
        <row r="393">
          <cell r="B393" t="str">
            <v>6.1.26</v>
          </cell>
          <cell r="C393" t="str">
            <v>Fornecimento e assentamento de lajetas coloridas de betão de relevo pitonado ou estriado, em linhas de segurança com dimensão 0,40x0,40x0,06m tipo Presdouro, ou equivalente, incluindo preparação da base, todos os materiais para regularização de fundo de cais e todos os trabalhos complementares.</v>
          </cell>
          <cell r="D393" t="str">
            <v>m2</v>
          </cell>
          <cell r="E393">
            <v>0</v>
          </cell>
        </row>
        <row r="394">
          <cell r="B394" t="str">
            <v>6.1.27</v>
          </cell>
          <cell r="C394" t="str">
            <v>Fornecimento e assentamento de revestimento de pavimento em pavê com blocos de encaixe de betão retangulares de 100x200mm, colorido, incluindo preparação da base, todos os materiais para regularização de fundo de cais e todos os trabalhos complementares.</v>
          </cell>
          <cell r="D394" t="str">
            <v>m2</v>
          </cell>
          <cell r="E394">
            <v>0</v>
          </cell>
        </row>
        <row r="395">
          <cell r="B395" t="str">
            <v>6.1.28</v>
          </cell>
          <cell r="C395" t="str">
            <v>Idem, com blocos hexagonais de 200x175mm</v>
          </cell>
          <cell r="D395" t="str">
            <v>m2</v>
          </cell>
          <cell r="E395">
            <v>2</v>
          </cell>
          <cell r="F395">
            <v>14.4</v>
          </cell>
        </row>
        <row r="396">
          <cell r="B396" t="str">
            <v>6.1.29</v>
          </cell>
          <cell r="C396" t="str">
            <v>Idem, com blocos quadrados de 190x190mm</v>
          </cell>
          <cell r="D396" t="str">
            <v>m2</v>
          </cell>
          <cell r="E396">
            <v>0</v>
          </cell>
        </row>
        <row r="397">
          <cell r="B397" t="str">
            <v>6.1.30</v>
          </cell>
          <cell r="C397" t="str">
            <v>Fornecimento e assentamento de grelhas de enrelvamento com blocos de encaixe de betão de dimensão 600x400mm, incluindo preparação da base, todos os materiais para regularização de fundo de cais e todos os trabalhos complementares.</v>
          </cell>
          <cell r="D397" t="str">
            <v>m2</v>
          </cell>
          <cell r="E397">
            <v>0</v>
          </cell>
        </row>
        <row r="398">
          <cell r="B398" t="str">
            <v>6.1.31</v>
          </cell>
          <cell r="C398" t="str">
            <v>Fornecimento e aplicação de revestimento de pavimento em granito cinzala com 2cm de espessura e acabamento bujardado, incluindo regularização do suporte, assentamento e todos os meios necessários.</v>
          </cell>
          <cell r="D398" t="str">
            <v>m2</v>
          </cell>
          <cell r="E398">
            <v>0</v>
          </cell>
        </row>
        <row r="399">
          <cell r="B399" t="str">
            <v>6.1.32</v>
          </cell>
          <cell r="C399" t="str">
            <v>Fornecimento e aplicação de revestimento de pavimento em granito branco de alcains com 2cm de espessura e acabamento estriado, incluindo regularização do suporte, assentamento e todos os meios necessários.</v>
          </cell>
          <cell r="D399" t="str">
            <v>m2</v>
          </cell>
          <cell r="E399">
            <v>0</v>
          </cell>
        </row>
        <row r="400">
          <cell r="B400" t="str">
            <v>6.1.33</v>
          </cell>
          <cell r="C400" t="str">
            <v>Fornecimento e assentamento de revestimento constituido por lajetas de betão pré-fabricado tipo Prégaia - Calçada Portuguesa 0,50x0,50x0,05m refª07 côr Creme, incluindo faixas côr Cinza Escuro refª27 e todos os trabalhos acessórios e complementares,</v>
          </cell>
          <cell r="D400" t="str">
            <v>m2</v>
          </cell>
          <cell r="E400">
            <v>1</v>
          </cell>
          <cell r="F400">
            <v>18.75</v>
          </cell>
        </row>
        <row r="401">
          <cell r="B401" t="str">
            <v>6.1.34</v>
          </cell>
          <cell r="C401" t="str">
            <v>Fornecimento e aplicação de faixa limitadora de plataforma em pavimento tátil em PVC da Trelleborg ou equivalente. Inclui todos os materiais e trabalhos complementares necessários para o efeito</v>
          </cell>
          <cell r="D401" t="str">
            <v>m</v>
          </cell>
          <cell r="E401">
            <v>1</v>
          </cell>
          <cell r="F401">
            <v>43.75</v>
          </cell>
        </row>
        <row r="402">
          <cell r="B402" t="str">
            <v>6.2</v>
          </cell>
          <cell r="C402" t="str">
            <v>INTERIORES</v>
          </cell>
        </row>
        <row r="403">
          <cell r="B403" t="str">
            <v>6.2.1</v>
          </cell>
          <cell r="C403" t="str">
            <v>Fornecimento e aplicação de betonilha de regularização afagada a helicoptero.</v>
          </cell>
          <cell r="D403" t="str">
            <v>m2</v>
          </cell>
          <cell r="E403">
            <v>20</v>
          </cell>
          <cell r="F403">
            <v>10.7</v>
          </cell>
        </row>
        <row r="404">
          <cell r="B404" t="str">
            <v>6.2.2</v>
          </cell>
          <cell r="C404" t="str">
            <v>Idem com aditivo hidrófugo.</v>
          </cell>
          <cell r="D404" t="str">
            <v>m2</v>
          </cell>
          <cell r="E404">
            <v>20</v>
          </cell>
          <cell r="F404">
            <v>11.9</v>
          </cell>
        </row>
        <row r="405">
          <cell r="B405" t="str">
            <v>6.2.3</v>
          </cell>
          <cell r="C405" t="str">
            <v>Fornecimento e aplicação de betão leve com agregado de argila expandida em enchimento de pavimento ou camadas de forma.</v>
          </cell>
          <cell r="D405" t="str">
            <v>m3</v>
          </cell>
          <cell r="E405">
            <v>1</v>
          </cell>
          <cell r="F405">
            <v>351.25</v>
          </cell>
        </row>
        <row r="406">
          <cell r="B406" t="str">
            <v>6.2.4</v>
          </cell>
          <cell r="C406" t="str">
            <v>Fornecimento e aplicação de mosaico antiderrapante, do tipo "Cinca - Granitdur 33x33cm", ou equivalente, com as dimensões de 330mmx330mmx8mm, assente em cimento cola, incluindo cruzetas, refechamento de juntas, peças especiais e todos os trabalhos complementares.</v>
          </cell>
          <cell r="D406" t="str">
            <v>m2</v>
          </cell>
          <cell r="E406">
            <v>1</v>
          </cell>
          <cell r="F406">
            <v>36.700000000000003</v>
          </cell>
        </row>
        <row r="407">
          <cell r="B407" t="str">
            <v>6.2.5</v>
          </cell>
          <cell r="C407" t="str">
            <v>Idem, mosaico antiderrapante, do tipo "Cinca - Nova arquitetura M20x20cm"", ou equivalente, com as dimensões de 197mmx197mmx6mm.</v>
          </cell>
          <cell r="D407" t="str">
            <v>m2</v>
          </cell>
          <cell r="E407">
            <v>5</v>
          </cell>
          <cell r="F407">
            <v>29.75</v>
          </cell>
        </row>
        <row r="408">
          <cell r="B408" t="str">
            <v>6.2.6</v>
          </cell>
          <cell r="C408" t="str">
            <v>Idem, mosaico mate, do tipo "Cinca - Nova arquitetura M30x30cm"", ou equivalente, com as dimensões de 297mmx297mmx7mm.</v>
          </cell>
          <cell r="D408" t="str">
            <v>m2</v>
          </cell>
          <cell r="E408">
            <v>15</v>
          </cell>
          <cell r="F408">
            <v>23.5</v>
          </cell>
        </row>
        <row r="409">
          <cell r="B409" t="str">
            <v>6.2.7</v>
          </cell>
          <cell r="C409" t="str">
            <v>Idem, mosaico mate, do tipo "Cinca - Nova arquitetura M20x20cm"", ou equivalente, com as dimensões de 197mmx197mmx6mm.</v>
          </cell>
          <cell r="D409" t="str">
            <v>m2</v>
          </cell>
          <cell r="E409">
            <v>1</v>
          </cell>
          <cell r="F409">
            <v>21.25</v>
          </cell>
        </row>
        <row r="410">
          <cell r="B410" t="str">
            <v>6.2.8</v>
          </cell>
          <cell r="C410" t="str">
            <v>Idem, mosaico porcelanato vidrado retificado, do tipo "Cinca - Heart of stone M50x50cm", ou equivalente, com as dimensões de 497mmx497mmx9,7mm.</v>
          </cell>
          <cell r="D410" t="str">
            <v>m2</v>
          </cell>
          <cell r="E410">
            <v>1</v>
          </cell>
          <cell r="F410">
            <v>39</v>
          </cell>
        </row>
        <row r="411">
          <cell r="B411" t="str">
            <v>6.2.9</v>
          </cell>
          <cell r="C411" t="str">
            <v>Idem, mosaico porcelanato vidrado retificado, do tipo "Cinca - Heart of stone M33x33cm", ou equivalente, com as dimensões de 330mmx330mmx8mm.</v>
          </cell>
          <cell r="D411" t="str">
            <v>m2</v>
          </cell>
          <cell r="E411">
            <v>1</v>
          </cell>
          <cell r="F411">
            <v>35</v>
          </cell>
        </row>
        <row r="412">
          <cell r="B412" t="str">
            <v>6.2.10</v>
          </cell>
          <cell r="C412" t="str">
            <v>Idem, mosaico extrudido não vidrado, do tipo "Cinca", ou equivalente, com as dimensões de 300mmx30mmx12mm.</v>
          </cell>
          <cell r="D412" t="str">
            <v>m2</v>
          </cell>
          <cell r="E412">
            <v>1</v>
          </cell>
          <cell r="F412">
            <v>26.9</v>
          </cell>
        </row>
        <row r="413">
          <cell r="B413" t="str">
            <v>6.2.11</v>
          </cell>
          <cell r="C413" t="str">
            <v>Fornecimento e aplicação de rodapé antiderrapante, do tipo "Cinca - Granitdur 8x33ROD", ou equivalente, com as dimensões de 330mmx80mmx8mm, assente em cimento cola, incluindo cruzetas, refechamento de juntas, peças especiais e todos os trabalhos complementares.</v>
          </cell>
          <cell r="D413" t="str">
            <v>m</v>
          </cell>
          <cell r="E413">
            <v>5</v>
          </cell>
          <cell r="F413">
            <v>16.399999999999999</v>
          </cell>
        </row>
        <row r="414">
          <cell r="B414" t="str">
            <v>6.2.12</v>
          </cell>
          <cell r="C414" t="str">
            <v>Idem, do tipo "Cinca - Nova arquitetura 10x20RC"", ou equivalente.</v>
          </cell>
          <cell r="D414" t="str">
            <v>m</v>
          </cell>
          <cell r="E414">
            <v>5</v>
          </cell>
          <cell r="F414">
            <v>11</v>
          </cell>
        </row>
        <row r="415">
          <cell r="B415" t="str">
            <v>6.2.13</v>
          </cell>
          <cell r="C415" t="str">
            <v>Idem, do tipo "Cinca - Nova arquitetura 15x15RC", ou equivalente.</v>
          </cell>
          <cell r="D415" t="str">
            <v>m</v>
          </cell>
          <cell r="E415">
            <v>1</v>
          </cell>
          <cell r="F415">
            <v>11</v>
          </cell>
        </row>
        <row r="416">
          <cell r="B416" t="str">
            <v>6.2.14</v>
          </cell>
          <cell r="C416" t="str">
            <v>Idem, do tipo "Cinca - Heart of stone 8x33ROD", ou equivalente.</v>
          </cell>
          <cell r="D416" t="str">
            <v>m</v>
          </cell>
          <cell r="E416">
            <v>1</v>
          </cell>
          <cell r="F416">
            <v>10</v>
          </cell>
        </row>
        <row r="417">
          <cell r="B417" t="str">
            <v>6.2.15</v>
          </cell>
          <cell r="C417" t="str">
            <v>Idem, do tipo "Cinca - Extrudido não vidrado 11,5x24RDB", ou equivalente.</v>
          </cell>
          <cell r="D417" t="str">
            <v>m</v>
          </cell>
          <cell r="E417">
            <v>1</v>
          </cell>
          <cell r="F417">
            <v>16.25</v>
          </cell>
        </row>
        <row r="418">
          <cell r="B418" t="str">
            <v>6.2.16</v>
          </cell>
          <cell r="C418" t="str">
            <v>Fornecimento e aplicaçao de mosaico vinílico 30x30.</v>
          </cell>
          <cell r="D418" t="str">
            <v>m2</v>
          </cell>
          <cell r="E418">
            <v>1</v>
          </cell>
          <cell r="F418">
            <v>23.15</v>
          </cell>
        </row>
        <row r="419">
          <cell r="B419" t="str">
            <v>6.2.17</v>
          </cell>
          <cell r="C419" t="str">
            <v>Idem, pavimento em manta vinilica com junta soldada, do tipo "Forbo ref.U4P3" ou equivalente</v>
          </cell>
          <cell r="D419" t="str">
            <v>m2</v>
          </cell>
          <cell r="E419">
            <v>5</v>
          </cell>
          <cell r="F419">
            <v>29.75</v>
          </cell>
        </row>
        <row r="420">
          <cell r="B420" t="str">
            <v>6.2.18</v>
          </cell>
          <cell r="C420" t="str">
            <v>Idem, mosaico de pedra Lióz com 0,40x0,40x0.03m</v>
          </cell>
          <cell r="D420" t="str">
            <v>m2</v>
          </cell>
          <cell r="E420">
            <v>1</v>
          </cell>
          <cell r="F420">
            <v>112.5</v>
          </cell>
        </row>
        <row r="421">
          <cell r="B421" t="str">
            <v>6.2.19</v>
          </cell>
          <cell r="C421" t="str">
            <v>Fornecimento e aplicação de mosaico em pedra de moleanos, com a espessura de 30mm, assente em cimento cola, incluindo refechamento de juntas e todos os trabalhos complementares.</v>
          </cell>
          <cell r="D421" t="str">
            <v>m2</v>
          </cell>
          <cell r="E421">
            <v>1</v>
          </cell>
          <cell r="F421">
            <v>56.25</v>
          </cell>
        </row>
        <row r="422">
          <cell r="B422" t="str">
            <v>6.2.20</v>
          </cell>
          <cell r="C422" t="str">
            <v>Fornecimento e aplicação de pavimento flutuante com melanina AC3 com 8 mm de espessura, incluindo filme de poliuretano e todos os trabalhos complementares.</v>
          </cell>
          <cell r="D422" t="str">
            <v>m2</v>
          </cell>
          <cell r="E422">
            <v>1</v>
          </cell>
          <cell r="F422">
            <v>27.5</v>
          </cell>
        </row>
        <row r="423">
          <cell r="B423" t="str">
            <v>6.2.21</v>
          </cell>
          <cell r="C423" t="str">
            <v>Fornecimento e aplicação de pavimento flutuante com melanina AC4 com 8 mm de espessura, incluindo filme de poliuretano e todos os trabalhos complementares.</v>
          </cell>
          <cell r="D423" t="str">
            <v>m2</v>
          </cell>
          <cell r="E423">
            <v>1</v>
          </cell>
          <cell r="F423">
            <v>31.25</v>
          </cell>
        </row>
        <row r="424">
          <cell r="B424" t="str">
            <v>6.2.22</v>
          </cell>
          <cell r="C424" t="str">
            <v>Fornecimento e aplicação de rodapé em MDF coberto por melanina com 8 cm de altura, incluindo todos os trabalhos complementares.</v>
          </cell>
          <cell r="D424" t="str">
            <v>m</v>
          </cell>
          <cell r="E424">
            <v>5</v>
          </cell>
          <cell r="F424">
            <v>13.75</v>
          </cell>
        </row>
        <row r="425">
          <cell r="B425" t="str">
            <v>6.2.23</v>
          </cell>
          <cell r="C425" t="str">
            <v>Fornecimento e aplicação de revestimento de pavimento em granito cinzala com 2cm de espessura e acabamento amaciado, incluindo regularização do suporte, assentamento e todos os meios necessários.</v>
          </cell>
          <cell r="D425" t="str">
            <v>m2</v>
          </cell>
          <cell r="E425">
            <v>1</v>
          </cell>
          <cell r="F425">
            <v>91</v>
          </cell>
        </row>
        <row r="426">
          <cell r="B426" t="str">
            <v>6.2.24</v>
          </cell>
          <cell r="C426" t="str">
            <v>Fornecimento e assentamento de rodapé em pedra de granito cinzala de acabamento polido com 2cm de espessura e 10cm de altura.</v>
          </cell>
          <cell r="D426" t="str">
            <v>m</v>
          </cell>
          <cell r="E426">
            <v>1</v>
          </cell>
          <cell r="F426">
            <v>31.25</v>
          </cell>
        </row>
        <row r="427">
          <cell r="B427" t="str">
            <v>6.2.25</v>
          </cell>
          <cell r="C427" t="str">
            <v>Fornecimento e aplicação de revestimento de pavimento em granito branco de alcains com 2cm de espessura e acabamento amaciado, incluindo regularização do suporte, assentamento e todos os meios necessários.</v>
          </cell>
          <cell r="D427" t="str">
            <v>m2</v>
          </cell>
          <cell r="E427">
            <v>1</v>
          </cell>
          <cell r="F427">
            <v>106.25</v>
          </cell>
        </row>
        <row r="428">
          <cell r="B428" t="str">
            <v>6.2.26</v>
          </cell>
          <cell r="C428" t="str">
            <v>Fornecimento e aplicação de revestimento de pavimento em granito branco vimieiro com 3cm de espessura e acabamento areado, incluindo regularização do suporte, assentamento e todos os meios necessários.</v>
          </cell>
          <cell r="D428" t="str">
            <v>m2</v>
          </cell>
          <cell r="E428">
            <v>5</v>
          </cell>
          <cell r="F428">
            <v>150</v>
          </cell>
        </row>
        <row r="429">
          <cell r="B429" t="str">
            <v>6.2.27</v>
          </cell>
          <cell r="C429" t="str">
            <v>Betumação de juntas de revestimentos cerâmicos</v>
          </cell>
          <cell r="D429" t="str">
            <v>m2</v>
          </cell>
          <cell r="E429">
            <v>2</v>
          </cell>
          <cell r="F429">
            <v>6.25</v>
          </cell>
        </row>
        <row r="430">
          <cell r="B430" t="str">
            <v>6.2.28</v>
          </cell>
          <cell r="C430" t="str">
            <v>Renovação de betume em juntas de revestimentos cerâmicos incluindo remoção, raspagem e limpeza do suporte.</v>
          </cell>
          <cell r="D430" t="str">
            <v>m2</v>
          </cell>
          <cell r="E430">
            <v>2</v>
          </cell>
          <cell r="F430">
            <v>7.5</v>
          </cell>
        </row>
        <row r="431">
          <cell r="B431" t="str">
            <v>6.2.29</v>
          </cell>
          <cell r="C431" t="str">
            <v>Execução de pavimento sobreelevado tipo Finupe, constituido por módulos AM48V de 0,60x0,60x0,04m com estrutura MPI1240, incluindo acabamento em vínil anti-estático Granit 2,00mm da Tarkett Sommer - côr definir, ou equivalente e todos os trabalhos acessórios e complementares,</v>
          </cell>
          <cell r="D431" t="str">
            <v>m2</v>
          </cell>
          <cell r="E431">
            <v>2</v>
          </cell>
          <cell r="F431">
            <v>85.7</v>
          </cell>
        </row>
        <row r="432">
          <cell r="B432" t="str">
            <v>7.</v>
          </cell>
          <cell r="C432" t="str">
            <v>PAREDES E TECTOS ( Inclui a recolha, triagem, remoção, transporte a armazenamento preliminar e encaminhamento a destino final licenciado).</v>
          </cell>
        </row>
        <row r="433">
          <cell r="B433" t="str">
            <v>7.1</v>
          </cell>
          <cell r="C433" t="str">
            <v>PAREDES</v>
          </cell>
        </row>
        <row r="434">
          <cell r="B434" t="str">
            <v>7.1.1</v>
          </cell>
          <cell r="C434" t="str">
            <v>Execução de emboço e reboco acabado esponjado em paredes interiores e exteriores com argamassa de cimento e areia ao traço 1:3.</v>
          </cell>
          <cell r="D434" t="str">
            <v>m2</v>
          </cell>
          <cell r="E434">
            <v>100</v>
          </cell>
          <cell r="F434">
            <v>9.4</v>
          </cell>
        </row>
        <row r="435">
          <cell r="B435" t="str">
            <v>7.1.2</v>
          </cell>
          <cell r="C435" t="str">
            <v>Execução de emboço e reboco acabado estanhado em paredes interiores e exteriores com argamassa de cimento e areia ao traço 1:3.</v>
          </cell>
          <cell r="D435" t="str">
            <v>m2</v>
          </cell>
          <cell r="E435">
            <v>15</v>
          </cell>
          <cell r="F435">
            <v>14.4</v>
          </cell>
        </row>
        <row r="436">
          <cell r="B436" t="str">
            <v>7.1.3</v>
          </cell>
          <cell r="C436" t="str">
            <v>Execução de emboço e reboco armado com rede, acabado esponjado em paredes interiores e exteriores com argamassa de cimento e areia ao traço 1:3.</v>
          </cell>
          <cell r="D436" t="str">
            <v>m2</v>
          </cell>
          <cell r="E436">
            <v>50</v>
          </cell>
          <cell r="F436">
            <v>11.9</v>
          </cell>
        </row>
        <row r="437">
          <cell r="B437" t="str">
            <v>7.1.4</v>
          </cell>
          <cell r="C437" t="str">
            <v>Fornecimento e aplicação de estuque em paredes, incluindo esboço e todos os trabalhos preparatórios e complementares</v>
          </cell>
          <cell r="D437" t="str">
            <v>m2</v>
          </cell>
          <cell r="E437">
            <v>5</v>
          </cell>
          <cell r="F437">
            <v>15</v>
          </cell>
        </row>
        <row r="438">
          <cell r="B438" t="str">
            <v>7.1.5</v>
          </cell>
          <cell r="C438" t="str">
            <v>Fornecimento e aplicação de azulejo brilhante, do tipo "Cinca - Nova Arquitectura M20x20cm", ou equivalente, com as dimensões de 197mmx197mmx7,5mm, assente em cimento cola, incluindo cruzetas, refechamento de juntas, peças especiais e todos os trabalhos complementares.</v>
          </cell>
          <cell r="D438" t="str">
            <v>m2</v>
          </cell>
          <cell r="E438">
            <v>20</v>
          </cell>
          <cell r="F438">
            <v>20.399999999999999</v>
          </cell>
        </row>
        <row r="439">
          <cell r="B439" t="str">
            <v>7.1.6</v>
          </cell>
          <cell r="C439" t="str">
            <v>Idem,  do tipo "Cinca - Nova Arquitectura M20x10cm", ou equivalente, com as dimensões de 197mmx97mmx5,8mm.</v>
          </cell>
          <cell r="D439" t="str">
            <v>m2</v>
          </cell>
          <cell r="E439">
            <v>1</v>
          </cell>
          <cell r="F439">
            <v>21</v>
          </cell>
        </row>
        <row r="440">
          <cell r="B440" t="str">
            <v>7.1.7</v>
          </cell>
          <cell r="C440" t="str">
            <v>Idem,  do tipo "Cinca - Nova Arquitectura M15x15cm", ou equivalente, com as dimensões de 147mmx147mmx5,8mm.</v>
          </cell>
          <cell r="D440" t="str">
            <v>m2</v>
          </cell>
          <cell r="E440">
            <v>1</v>
          </cell>
          <cell r="F440">
            <v>21</v>
          </cell>
        </row>
        <row r="441">
          <cell r="B441" t="str">
            <v>7.1.8</v>
          </cell>
          <cell r="C441" t="str">
            <v>Fornecimento e aplicação de azulejo mate, do tipo "Cinca - Nova Arquitectura M20x20cm", ou equivalente, com as dimensões de 197mmx197mmx7,5mm, assente em cimento cola, incluindo cruzetas, refechamento de juntas, peças especiais e todos os trabalhos complementares.</v>
          </cell>
          <cell r="D441" t="str">
            <v>m2</v>
          </cell>
          <cell r="E441">
            <v>5</v>
          </cell>
          <cell r="F441">
            <v>21</v>
          </cell>
        </row>
        <row r="442">
          <cell r="B442" t="str">
            <v>7.1.9</v>
          </cell>
          <cell r="C442" t="str">
            <v>Idem,  do tipo "Cinca - Nova Arquitectura M20x10cm", ou equivalente, com as dimensões de 197mmx97mmx5,8mm.</v>
          </cell>
          <cell r="D442" t="str">
            <v>m2</v>
          </cell>
          <cell r="E442">
            <v>1</v>
          </cell>
          <cell r="F442">
            <v>21</v>
          </cell>
        </row>
        <row r="443">
          <cell r="B443" t="str">
            <v>7.1.10</v>
          </cell>
          <cell r="C443" t="str">
            <v>Idem,  do tipo "Cinca - Nova Arquitectura M15x15cm", ou equivalente, com as dimensões de 147mmx147mmx5,8mm.</v>
          </cell>
          <cell r="D443" t="str">
            <v>m2</v>
          </cell>
          <cell r="E443">
            <v>1</v>
          </cell>
          <cell r="F443">
            <v>21</v>
          </cell>
        </row>
        <row r="444">
          <cell r="B444" t="str">
            <v>7.1.11</v>
          </cell>
          <cell r="C444" t="str">
            <v>Fornecimento e aplicação de paineis de azulejo horários com as dimensões de 1,35m*0,90m, incluindo assentamento em cimento cola, orla convexa em azulejo e todos os trabalhos complementares.</v>
          </cell>
          <cell r="D444" t="str">
            <v>un</v>
          </cell>
          <cell r="E444">
            <v>0</v>
          </cell>
        </row>
        <row r="445">
          <cell r="B445" t="str">
            <v>7.1.12</v>
          </cell>
          <cell r="C445" t="str">
            <v>Fornecimento e aplicação de paineis toponimicos em azulejo pintado à mão, incluindo remoção do existente, assentamento em cimento cola, refechamento de juntas e todos os trabalhos complementares.</v>
          </cell>
          <cell r="D445" t="str">
            <v>m2</v>
          </cell>
          <cell r="E445">
            <v>0</v>
          </cell>
        </row>
        <row r="446">
          <cell r="B446" t="str">
            <v>7.1.13</v>
          </cell>
          <cell r="C446" t="str">
            <v>Fornecimento e assentamento de azulejo copiado de modelo original fornecido pela REFER com cópia de 1 a 100 unidades, assente com cimento cola, incluindo todos os trabalhos preparatórios e complementares.</v>
          </cell>
          <cell r="D446" t="str">
            <v>m2</v>
          </cell>
          <cell r="E446">
            <v>0</v>
          </cell>
        </row>
        <row r="447">
          <cell r="B447" t="str">
            <v>7.1.14</v>
          </cell>
          <cell r="C447" t="str">
            <v>Execução de paredes divisórias interiores, tipo "Pladurmetal"  ou equivalente, 100/600(mm) cx.isol. 70mm - (15+70+15), com isolamento, incluindo estrutura em perfis galvanizados, montantes verticais, paineis de gesso cartonado de 15mm hidrófugo, pastas, cintas, ancoragens e todos os demais trabalhos e acessórios necessários, acabadas e prontas a receber pintura.</v>
          </cell>
          <cell r="D447" t="str">
            <v>m2</v>
          </cell>
          <cell r="E447">
            <v>5</v>
          </cell>
          <cell r="F447">
            <v>37.5</v>
          </cell>
        </row>
        <row r="448">
          <cell r="B448" t="str">
            <v>7.1.15</v>
          </cell>
          <cell r="C448" t="str">
            <v>Idem, do tipo "Pladurmetal" 84/400(mm) cx. Isol. 46mm - (19+46+19).</v>
          </cell>
          <cell r="D448" t="str">
            <v>m2</v>
          </cell>
          <cell r="E448">
            <v>1</v>
          </cell>
          <cell r="F448">
            <v>31.25</v>
          </cell>
        </row>
        <row r="449">
          <cell r="B449" t="str">
            <v>7.1.16</v>
          </cell>
          <cell r="C449" t="str">
            <v>Idem, do tipo "Pladurmetal" 72/600(mm) cx. Isol. 34mm - (19+34+19).</v>
          </cell>
          <cell r="D449" t="str">
            <v>m2</v>
          </cell>
          <cell r="E449">
            <v>1</v>
          </cell>
          <cell r="F449">
            <v>31.25</v>
          </cell>
        </row>
        <row r="450">
          <cell r="B450" t="str">
            <v>7.1.17</v>
          </cell>
          <cell r="C450" t="str">
            <v>Idem, do tipo "Pladurmetal" 84/400(mm) cx. 46mm - (19+46+19), sem isolamento.</v>
          </cell>
          <cell r="D450" t="str">
            <v>m2</v>
          </cell>
          <cell r="E450">
            <v>1</v>
          </cell>
          <cell r="F450">
            <v>31.25</v>
          </cell>
        </row>
        <row r="451">
          <cell r="B451" t="str">
            <v>7.1.18</v>
          </cell>
          <cell r="C451" t="str">
            <v>Idem, do tipo "Pladurmetal" 72/600(mm) cx.34mm - (19+34+19), sem isolamento.</v>
          </cell>
          <cell r="D451" t="str">
            <v>m2</v>
          </cell>
          <cell r="E451">
            <v>1</v>
          </cell>
          <cell r="F451">
            <v>31.25</v>
          </cell>
        </row>
        <row r="452">
          <cell r="B452" t="str">
            <v>7.1.19</v>
          </cell>
          <cell r="C452" t="str">
            <v>Execução de paredes em placas em gesso cartonado hidrofugado, incluindo estrutura, barramento, preparação de superfícies para pintura e todos os trabalhos necessários para o efeito.</v>
          </cell>
          <cell r="D452" t="str">
            <v>m2</v>
          </cell>
          <cell r="E452">
            <v>10</v>
          </cell>
          <cell r="F452">
            <v>35.5</v>
          </cell>
        </row>
        <row r="453">
          <cell r="B453" t="str">
            <v>7.1.20</v>
          </cell>
          <cell r="C453" t="str">
            <v>Fornecimento e assentamento de revestimento em paineis HPL compacto  tipo "Polyrey", ou equivalente, com 8 mm de espessura, incluindo estrutura de suporte, acessórios de acabamento e fixação, remates e todos os trabalhos complementares.</v>
          </cell>
          <cell r="D453" t="str">
            <v>m2</v>
          </cell>
          <cell r="E453">
            <v>1</v>
          </cell>
          <cell r="F453">
            <v>93.75</v>
          </cell>
        </row>
        <row r="454">
          <cell r="B454" t="str">
            <v>7.1.21</v>
          </cell>
          <cell r="C454" t="str">
            <v>Fornecimento e assentamento de revestimento em paineis aglomerado de fibras de alta densidade, do tipo "Prodema" ou equivalente, com 9 mm de espessura, incluindo estrutura de suporte, acessórios de acabamento e fixação, remates e todos os trabalhos complementares.</v>
          </cell>
          <cell r="D454" t="str">
            <v>m2</v>
          </cell>
          <cell r="E454">
            <v>0</v>
          </cell>
        </row>
        <row r="455">
          <cell r="B455" t="str">
            <v>7.1.22</v>
          </cell>
          <cell r="C455" t="str">
            <v>Idem em estrutura já existente.</v>
          </cell>
          <cell r="D455" t="str">
            <v>m2</v>
          </cell>
          <cell r="E455">
            <v>0</v>
          </cell>
        </row>
        <row r="456">
          <cell r="B456" t="str">
            <v>7.1.23</v>
          </cell>
          <cell r="C456" t="str">
            <v>Fornecimento e assentamento de revestimento térmico pelo exterior do tipo "Viero", ou equivalente, incluindo placas de isolamento térmico em poliextileno expandido com 6 mm de espessura e 20kg/m3 de densidade, rede em fibra de vidro, acessórios de acabamento, fixação, remates e todos os trabalhos complementares.</v>
          </cell>
          <cell r="D456" t="str">
            <v>m2</v>
          </cell>
          <cell r="E456">
            <v>0</v>
          </cell>
        </row>
        <row r="457">
          <cell r="B457" t="str">
            <v>7.1.24</v>
          </cell>
          <cell r="C457" t="str">
            <v>Fornecimento e aplicação de revestimento de parede em painéis de aglomerado de madeira e betão tipo Beton-Bois.</v>
          </cell>
          <cell r="D457" t="str">
            <v>m2</v>
          </cell>
          <cell r="E457">
            <v>0</v>
          </cell>
        </row>
        <row r="458">
          <cell r="B458" t="str">
            <v>7.1.25</v>
          </cell>
          <cell r="C458" t="str">
            <v>Fornecimento e aplicação de revestimento de parede em painéis compostos do tipo Alucobond ou equivalente, com chapa inox, incluindo encastramento e estrutura de suporte metálica oculta.</v>
          </cell>
          <cell r="D458" t="str">
            <v>m2</v>
          </cell>
          <cell r="E458">
            <v>0</v>
          </cell>
        </row>
        <row r="459">
          <cell r="B459" t="str">
            <v>7.1.26</v>
          </cell>
          <cell r="C459" t="str">
            <v>Idem, a aplicar em estrutura de suporte existente.</v>
          </cell>
          <cell r="D459" t="str">
            <v>m2</v>
          </cell>
          <cell r="E459">
            <v>0</v>
          </cell>
        </row>
        <row r="460">
          <cell r="B460" t="str">
            <v>7.1.27</v>
          </cell>
          <cell r="C460" t="str">
            <v>Fornecimento e assentamento de revestimento em painéis metálicos de Alucobond com 8mm de espª, cor Cinzento Metálico, incluindo estrutura de suporte e fixação, todos os trabalhos acessórios e complementares,</v>
          </cell>
          <cell r="D460" t="str">
            <v>m2</v>
          </cell>
          <cell r="E460">
            <v>0</v>
          </cell>
        </row>
        <row r="461">
          <cell r="B461" t="str">
            <v>7.1.28</v>
          </cell>
          <cell r="C461" t="str">
            <v>Fornecimento e aplicação de revestimento de parede em granito cinzala com 3cm de espessura e acabamento amaciado, incluindo regularização do suporte, assentamento e todos os meios necessários.</v>
          </cell>
          <cell r="D461" t="str">
            <v>m2</v>
          </cell>
          <cell r="E461">
            <v>0</v>
          </cell>
        </row>
        <row r="462">
          <cell r="B462" t="str">
            <v>7.1.29</v>
          </cell>
          <cell r="C462" t="str">
            <v>Fornecimento e aplicação de revestimento de parede em pedra de ardósia negra com 2cm de espessura e acabamento amaciado, incluindo regularização do suporte, assentamento e todos os meios necessários.</v>
          </cell>
          <cell r="D462" t="str">
            <v>m2</v>
          </cell>
          <cell r="E462">
            <v>0</v>
          </cell>
        </row>
        <row r="463">
          <cell r="B463" t="str">
            <v>7.1.30</v>
          </cell>
          <cell r="C463" t="str">
            <v>Fornecimento e aplicação de mosaico de vidro tipo Bizassa, ou equivalente</v>
          </cell>
          <cell r="D463" t="str">
            <v>m2</v>
          </cell>
          <cell r="E463">
            <v>5</v>
          </cell>
          <cell r="F463">
            <v>31.25</v>
          </cell>
        </row>
        <row r="464">
          <cell r="B464" t="str">
            <v>7.1.31</v>
          </cell>
          <cell r="C464" t="str">
            <v>Fornecimento e aplicação de mosaico em pastilha cerâmica tipo Cinca, Mosaico/Mosaico Combi, ou equivalente</v>
          </cell>
          <cell r="D464" t="str">
            <v>m2</v>
          </cell>
          <cell r="E464">
            <v>5</v>
          </cell>
          <cell r="F464">
            <v>28.75</v>
          </cell>
        </row>
        <row r="465">
          <cell r="B465" t="str">
            <v>7.1.32</v>
          </cell>
          <cell r="C465" t="str">
            <v>Fornecimento e assentamento de revestimento em sistema capote XPS, ou equivalente, com 6 mm de espessura, incluindo estrutura de suporte, acessórios de acabamento e fixação, remates e todos os trabalhos complementares.</v>
          </cell>
          <cell r="D465" t="str">
            <v>m2</v>
          </cell>
          <cell r="E465">
            <v>1</v>
          </cell>
          <cell r="F465">
            <v>37.5</v>
          </cell>
        </row>
        <row r="466">
          <cell r="B466" t="str">
            <v>7.2</v>
          </cell>
          <cell r="C466" t="str">
            <v>TECTOS</v>
          </cell>
        </row>
        <row r="467">
          <cell r="B467" t="str">
            <v>7.2.1</v>
          </cell>
          <cell r="C467" t="str">
            <v>Execução de emboço e reboco acabado esponjado em tectos interiores com argamassa de cimento e areia ao traço 1:3.</v>
          </cell>
          <cell r="D467" t="str">
            <v>m2</v>
          </cell>
          <cell r="E467">
            <v>5</v>
          </cell>
          <cell r="F467">
            <v>11.7</v>
          </cell>
        </row>
        <row r="468">
          <cell r="B468" t="str">
            <v>7.2.2</v>
          </cell>
          <cell r="C468" t="str">
            <v>Idem, acabado estanhado.</v>
          </cell>
          <cell r="D468" t="str">
            <v>m2</v>
          </cell>
          <cell r="E468">
            <v>5</v>
          </cell>
          <cell r="F468">
            <v>12.75</v>
          </cell>
        </row>
        <row r="469">
          <cell r="B469" t="str">
            <v>7.2.3</v>
          </cell>
          <cell r="C469" t="str">
            <v>Fornecimento e montagem de tecto falso em Pladur em placas de gesso cartonado hidrófugo de 15mm de espessura, incluindo estrutura de suporte, acessórios, fixações, fitas e barramento geral.</v>
          </cell>
          <cell r="D469" t="str">
            <v>m2</v>
          </cell>
          <cell r="E469">
            <v>50</v>
          </cell>
          <cell r="F469">
            <v>24.1</v>
          </cell>
        </row>
        <row r="470">
          <cell r="B470" t="str">
            <v>7.2.4</v>
          </cell>
          <cell r="C470" t="str">
            <v>Fornecimento e montagem de tecto falso tipo "Perliplak" em placas de gesso incluindo estrutura de suporte, acessórios e fixações.</v>
          </cell>
          <cell r="D470" t="str">
            <v>m2</v>
          </cell>
          <cell r="E470">
            <v>1</v>
          </cell>
          <cell r="F470">
            <v>21.9</v>
          </cell>
        </row>
        <row r="471">
          <cell r="B471" t="str">
            <v>7.2.5</v>
          </cell>
          <cell r="C471" t="str">
            <v>Fornecimento e montagem de tecto falso em chapa de alumínio microperfurado, incluindo estrutura de suporte, acessórios e fixação.</v>
          </cell>
          <cell r="D471" t="str">
            <v>m2</v>
          </cell>
          <cell r="E471">
            <v>1</v>
          </cell>
          <cell r="F471">
            <v>30</v>
          </cell>
        </row>
        <row r="472">
          <cell r="B472" t="str">
            <v>7.2.6</v>
          </cell>
          <cell r="C472" t="str">
            <v>Idem, em chapa de alumínio.</v>
          </cell>
          <cell r="D472" t="str">
            <v>m2</v>
          </cell>
          <cell r="E472">
            <v>10</v>
          </cell>
          <cell r="F472">
            <v>30</v>
          </cell>
        </row>
        <row r="473">
          <cell r="B473" t="str">
            <v>7.2.7</v>
          </cell>
          <cell r="C473" t="str">
            <v>Idem, com lâminas de alumínio verticais.</v>
          </cell>
          <cell r="D473" t="str">
            <v>m2</v>
          </cell>
          <cell r="E473">
            <v>0</v>
          </cell>
        </row>
        <row r="474">
          <cell r="B474" t="str">
            <v>7.2.9</v>
          </cell>
          <cell r="C474" t="str">
            <v>Reparação de emboço e reboco acabado esponjado em tectos interiores com argamassa de cimento e areia ao traço 1:3.</v>
          </cell>
          <cell r="D474" t="str">
            <v>m2</v>
          </cell>
          <cell r="E474">
            <v>5</v>
          </cell>
          <cell r="F474">
            <v>15</v>
          </cell>
        </row>
        <row r="475">
          <cell r="B475" t="str">
            <v>7.2.10</v>
          </cell>
          <cell r="C475" t="str">
            <v>Idem, acabado estanhado.</v>
          </cell>
          <cell r="D475" t="str">
            <v>m2</v>
          </cell>
          <cell r="E475">
            <v>5</v>
          </cell>
          <cell r="F475">
            <v>15.25</v>
          </cell>
        </row>
        <row r="476">
          <cell r="B476" t="str">
            <v>7.2.11</v>
          </cell>
          <cell r="C476" t="str">
            <v>Reparação de tecto falso em Pladur em placas de gesso cartonado  hidrófugo de 15mm de espessura, incluindo estrutura de suporte, acessórios, fixações e todos os trabalhos complementares.</v>
          </cell>
          <cell r="D476" t="str">
            <v>m2</v>
          </cell>
          <cell r="E476">
            <v>2</v>
          </cell>
          <cell r="F476">
            <v>16.899999999999999</v>
          </cell>
        </row>
        <row r="477">
          <cell r="B477" t="str">
            <v>7.2.12</v>
          </cell>
          <cell r="C477" t="str">
            <v>Reparação de tecto falso tipo "Perliplak" em placas de gesso incluindo estrutura de suporte, acessórios e fixações.</v>
          </cell>
          <cell r="D477" t="str">
            <v>m2</v>
          </cell>
          <cell r="E477">
            <v>1</v>
          </cell>
          <cell r="F477">
            <v>15.75</v>
          </cell>
        </row>
        <row r="478">
          <cell r="B478" t="str">
            <v>7.2.13</v>
          </cell>
          <cell r="C478" t="str">
            <v>Reparação de tecto falso em chapa de alumínio microperfurado, incluindo estrutura de suporte, acessórios e fixação.</v>
          </cell>
          <cell r="D478" t="str">
            <v>m2</v>
          </cell>
          <cell r="E478">
            <v>1</v>
          </cell>
          <cell r="F478">
            <v>20.75</v>
          </cell>
        </row>
        <row r="479">
          <cell r="B479" t="str">
            <v>7.2.14</v>
          </cell>
          <cell r="C479" t="str">
            <v>Idem, em chapa de alumínio.</v>
          </cell>
          <cell r="D479" t="str">
            <v>m2</v>
          </cell>
          <cell r="E479">
            <v>1</v>
          </cell>
          <cell r="F479">
            <v>20.75</v>
          </cell>
        </row>
        <row r="480">
          <cell r="B480" t="str">
            <v>7.2.15</v>
          </cell>
          <cell r="C480" t="str">
            <v>Idem, com lâminas de alumínio verticais.</v>
          </cell>
          <cell r="D480" t="str">
            <v>m2</v>
          </cell>
          <cell r="E480">
            <v>0</v>
          </cell>
        </row>
        <row r="481">
          <cell r="B481" t="str">
            <v>7.2.17</v>
          </cell>
          <cell r="C481" t="str">
            <v>Reparação de tecto de estafe, incluindo estrutura de suporte, remates e todos os trabalhos complementares.</v>
          </cell>
          <cell r="D481" t="str">
            <v>m2</v>
          </cell>
          <cell r="E481">
            <v>1</v>
          </cell>
          <cell r="F481">
            <v>62.5</v>
          </cell>
        </row>
        <row r="482">
          <cell r="B482" t="str">
            <v>7.2.18</v>
          </cell>
          <cell r="C482" t="str">
            <v>Projeção de fibras de celulose de cor branco ou cinza, com 19mm de espessura, incluindo preparação do suporte e todos os meios necessários à sua execução.</v>
          </cell>
          <cell r="D482" t="str">
            <v>m2</v>
          </cell>
          <cell r="E482">
            <v>0</v>
          </cell>
        </row>
        <row r="483">
          <cell r="B483">
            <v>8</v>
          </cell>
          <cell r="C483" t="str">
            <v>CARPINTARIAS. VIDROS E SERRALHARIAS (Inclui a recolha, triagem, remoção e transporte dos materiais com potencial de reutilização/ valorizáveis a local designado pela Fiscalização ou recolha, triagem, remoção, transporte a armazenamento preliminar e encaminhamento a destino final licenciado).</v>
          </cell>
        </row>
        <row r="484">
          <cell r="B484" t="str">
            <v>8.1</v>
          </cell>
          <cell r="C484" t="str">
            <v>CARPINTARIAS</v>
          </cell>
        </row>
        <row r="485">
          <cell r="B485" t="str">
            <v>8.1.1</v>
          </cell>
          <cell r="C485" t="str">
            <v>PAVIMENTOS E RODAPÉS</v>
          </cell>
        </row>
        <row r="486">
          <cell r="B486" t="str">
            <v>8.1.1.1</v>
          </cell>
          <cell r="C486" t="str">
            <v>Fornecimento e aplicação de vigamento de pinho em pavimentos de soalho.</v>
          </cell>
          <cell r="D486" t="str">
            <v>m3</v>
          </cell>
          <cell r="E486">
            <v>1</v>
          </cell>
          <cell r="F486">
            <v>412.5</v>
          </cell>
        </row>
        <row r="487">
          <cell r="B487" t="str">
            <v>8.1.1.2</v>
          </cell>
          <cell r="C487" t="str">
            <v>Idem, grade de barrotes de pinho embebidas em betonilha para soalho.</v>
          </cell>
          <cell r="D487" t="str">
            <v>m2</v>
          </cell>
          <cell r="E487">
            <v>0</v>
          </cell>
        </row>
        <row r="488">
          <cell r="B488" t="str">
            <v>8.1.1.3</v>
          </cell>
          <cell r="C488" t="str">
            <v>Idem, soalho de pinho novo com 2,2 a 3,3 cm de espessura</v>
          </cell>
          <cell r="D488" t="str">
            <v>m2</v>
          </cell>
          <cell r="E488">
            <v>5</v>
          </cell>
          <cell r="F488">
            <v>53.5</v>
          </cell>
        </row>
        <row r="489">
          <cell r="B489" t="str">
            <v>8.1.1.4</v>
          </cell>
          <cell r="C489" t="str">
            <v>Substituição de soalho de pinho, incluindo remoção dos detritos a destino final autorizado.</v>
          </cell>
          <cell r="D489" t="str">
            <v>m2</v>
          </cell>
          <cell r="E489">
            <v>2</v>
          </cell>
          <cell r="F489">
            <v>62.5</v>
          </cell>
        </row>
        <row r="490">
          <cell r="B490" t="str">
            <v>8.1.1.5</v>
          </cell>
          <cell r="C490" t="str">
            <v>Fornecimento e aplicação de tacos de pinho em pavimento, incluindo colagem, betumagem, afagamento, envernizamento e todos os trabalhos complementares.</v>
          </cell>
          <cell r="D490" t="str">
            <v>m2</v>
          </cell>
          <cell r="E490">
            <v>5</v>
          </cell>
          <cell r="F490">
            <v>62.5</v>
          </cell>
        </row>
        <row r="491">
          <cell r="B491" t="str">
            <v>8.1.1.6</v>
          </cell>
          <cell r="C491" t="str">
            <v>Idem, parquet de pinho em pavimentos.</v>
          </cell>
          <cell r="D491" t="str">
            <v>m2</v>
          </cell>
          <cell r="E491">
            <v>5</v>
          </cell>
          <cell r="F491">
            <v>62.5</v>
          </cell>
        </row>
        <row r="492">
          <cell r="B492" t="str">
            <v>8.1.1.7</v>
          </cell>
          <cell r="C492" t="str">
            <v>Idem, parquet de madeira exótica em pavimentos.</v>
          </cell>
          <cell r="D492" t="str">
            <v>m2</v>
          </cell>
          <cell r="E492">
            <v>15</v>
          </cell>
          <cell r="F492">
            <v>75</v>
          </cell>
        </row>
        <row r="493">
          <cell r="B493" t="str">
            <v>8.1.1.8</v>
          </cell>
          <cell r="C493" t="str">
            <v>Substituição de Parquet de madeira exótica em pavimentos, incluindo encaminhamento de resíduos a a destino final licenciado.</v>
          </cell>
          <cell r="D493" t="str">
            <v>m2</v>
          </cell>
          <cell r="E493">
            <v>0</v>
          </cell>
        </row>
        <row r="494">
          <cell r="B494" t="str">
            <v>8.1.1.9</v>
          </cell>
          <cell r="C494" t="str">
            <v>Fornecimento e aplicação de rodapé moldado em madeira exótica, incluindo colagem, betumagem, afagamento e envernizamento.</v>
          </cell>
          <cell r="D494" t="str">
            <v>m</v>
          </cell>
          <cell r="E494">
            <v>15</v>
          </cell>
          <cell r="F494">
            <v>18.75</v>
          </cell>
        </row>
        <row r="495">
          <cell r="B495" t="str">
            <v>8.1.1.10</v>
          </cell>
          <cell r="C495" t="str">
            <v>Idem, rodapé moldado em pinho</v>
          </cell>
          <cell r="D495" t="str">
            <v>m</v>
          </cell>
          <cell r="E495">
            <v>1</v>
          </cell>
          <cell r="F495">
            <v>13.75</v>
          </cell>
        </row>
        <row r="496">
          <cell r="B496" t="str">
            <v>8.1.1.11</v>
          </cell>
          <cell r="C496" t="str">
            <v>Reparação  de vigamento de pinho em pavimentos de soalho.</v>
          </cell>
          <cell r="D496" t="str">
            <v>m3</v>
          </cell>
          <cell r="E496">
            <v>1</v>
          </cell>
          <cell r="F496">
            <v>437.5</v>
          </cell>
        </row>
        <row r="497">
          <cell r="B497" t="str">
            <v>8.1.1.12</v>
          </cell>
          <cell r="C497" t="str">
            <v>Idem, grade de barrotes de pinho embebidas em betonilha para soalho.</v>
          </cell>
          <cell r="D497" t="str">
            <v>m2</v>
          </cell>
          <cell r="E497">
            <v>0</v>
          </cell>
        </row>
        <row r="498">
          <cell r="B498" t="str">
            <v>8.1.1.13</v>
          </cell>
          <cell r="C498" t="str">
            <v>Idem, soalho de pinho novo com 2,2 a 3,3 cm de espessura</v>
          </cell>
          <cell r="D498" t="str">
            <v>m2</v>
          </cell>
          <cell r="E498">
            <v>0</v>
          </cell>
        </row>
        <row r="499">
          <cell r="B499" t="str">
            <v>8.1.1.14</v>
          </cell>
          <cell r="C499" t="str">
            <v>Reparação de soalho de pinho, incluindo remoção dos detritos a destino final autorizado.</v>
          </cell>
          <cell r="D499" t="str">
            <v>m2</v>
          </cell>
          <cell r="E499">
            <v>0</v>
          </cell>
        </row>
        <row r="500">
          <cell r="B500" t="str">
            <v>8.1.1.15</v>
          </cell>
          <cell r="C500" t="str">
            <v>Reparação de tacos de pinho em pavimento, incluindo colagem, betumagem, afagamento, envernizamento e todos os trabalhos complementares.</v>
          </cell>
          <cell r="D500" t="str">
            <v>m2</v>
          </cell>
          <cell r="E500">
            <v>0</v>
          </cell>
        </row>
        <row r="501">
          <cell r="B501" t="str">
            <v>8.1.1.16</v>
          </cell>
          <cell r="C501" t="str">
            <v>Idem, parquet de pinho em pavimentos.</v>
          </cell>
          <cell r="D501" t="str">
            <v>m2</v>
          </cell>
          <cell r="E501">
            <v>0</v>
          </cell>
        </row>
        <row r="502">
          <cell r="B502" t="str">
            <v>8.1.1.17</v>
          </cell>
          <cell r="C502" t="str">
            <v>Idem, parquet de madeira exótica em pavimentos.</v>
          </cell>
          <cell r="D502" t="str">
            <v>m2</v>
          </cell>
          <cell r="E502">
            <v>0</v>
          </cell>
        </row>
        <row r="503">
          <cell r="B503" t="str">
            <v>8.1.1.18</v>
          </cell>
          <cell r="C503" t="str">
            <v>Reparação de rodapé moldado em madeira exótica, incluindo colagem, betumagem, afagamento e envernizamento.</v>
          </cell>
          <cell r="D503" t="str">
            <v>m</v>
          </cell>
          <cell r="E503">
            <v>0</v>
          </cell>
        </row>
        <row r="504">
          <cell r="B504" t="str">
            <v>8.1.1.19</v>
          </cell>
          <cell r="C504" t="str">
            <v>Idem, rodapé moldado em pinho</v>
          </cell>
          <cell r="D504" t="str">
            <v>m</v>
          </cell>
          <cell r="E504">
            <v>0</v>
          </cell>
        </row>
        <row r="505">
          <cell r="B505" t="str">
            <v>8.1.1.20</v>
          </cell>
          <cell r="C505" t="str">
            <v>Afagamento de pavimento em soalho de madeira de diversa natureza, incluindo betomagem de juntas</v>
          </cell>
          <cell r="D505" t="str">
            <v>m2</v>
          </cell>
          <cell r="E505">
            <v>1</v>
          </cell>
          <cell r="F505">
            <v>15.7</v>
          </cell>
        </row>
        <row r="506">
          <cell r="B506" t="str">
            <v>8.1.2</v>
          </cell>
          <cell r="C506" t="str">
            <v>PAREDES E TECTOS</v>
          </cell>
        </row>
        <row r="507">
          <cell r="B507" t="str">
            <v>8.1.2.1</v>
          </cell>
          <cell r="C507" t="str">
            <v>Fornecimento e aplicação de grade de barrotes de pinho em tectos para forrar.</v>
          </cell>
          <cell r="D507" t="str">
            <v>m2</v>
          </cell>
          <cell r="E507">
            <v>0</v>
          </cell>
        </row>
        <row r="508">
          <cell r="B508" t="str">
            <v>8.1.2.2</v>
          </cell>
          <cell r="C508" t="str">
            <v>Idem, forro de madeira de pinho em tectos.</v>
          </cell>
          <cell r="D508" t="str">
            <v>m2</v>
          </cell>
          <cell r="E508">
            <v>50</v>
          </cell>
          <cell r="F508">
            <v>22.5</v>
          </cell>
        </row>
        <row r="509">
          <cell r="B509" t="str">
            <v>8.1.2.3</v>
          </cell>
          <cell r="C509" t="str">
            <v>Substituição de forro de pinho em tectos, incluindo remoção dos detritos a destino final autorizado.</v>
          </cell>
          <cell r="D509" t="str">
            <v>m2</v>
          </cell>
          <cell r="E509">
            <v>5</v>
          </cell>
          <cell r="F509">
            <v>43.15</v>
          </cell>
        </row>
        <row r="510">
          <cell r="B510" t="str">
            <v>8.1.2.4</v>
          </cell>
          <cell r="C510" t="str">
            <v>Reparação de tecto falso em forro de pinho, incluindo estrutura de suporte, remates e todos os trabalhos complementares.</v>
          </cell>
          <cell r="D510" t="str">
            <v>m2</v>
          </cell>
          <cell r="E510">
            <v>1</v>
          </cell>
          <cell r="F510">
            <v>62.5</v>
          </cell>
        </row>
        <row r="511">
          <cell r="B511" t="str">
            <v>8.1.2.5</v>
          </cell>
          <cell r="C511" t="str">
            <v>Fornecimento e aplicação de madres e frechais em estruturas de telhados, incluindo prévia aplicação de Bondex/Cuprinol.</v>
          </cell>
          <cell r="D511" t="str">
            <v>m</v>
          </cell>
          <cell r="E511">
            <v>50</v>
          </cell>
          <cell r="F511">
            <v>33.4</v>
          </cell>
        </row>
        <row r="512">
          <cell r="B512" t="str">
            <v>8.1.2.6</v>
          </cell>
          <cell r="C512" t="str">
            <v>Idem, varedo de barrotes de pinho para cobertura.</v>
          </cell>
          <cell r="D512" t="str">
            <v>m</v>
          </cell>
          <cell r="E512">
            <v>20</v>
          </cell>
          <cell r="F512">
            <v>16.149999999999999</v>
          </cell>
        </row>
        <row r="513">
          <cell r="B513" t="str">
            <v>8.1.2.7</v>
          </cell>
          <cell r="C513" t="str">
            <v>Idem, ripado de pinho para cobertura.</v>
          </cell>
          <cell r="D513" t="str">
            <v>m</v>
          </cell>
          <cell r="E513">
            <v>30</v>
          </cell>
          <cell r="F513">
            <v>10.75</v>
          </cell>
        </row>
        <row r="514">
          <cell r="B514" t="str">
            <v>8.1.2.8</v>
          </cell>
          <cell r="C514" t="str">
            <v>Idem, ripado de PVC para cobertura.</v>
          </cell>
          <cell r="D514" t="str">
            <v>m</v>
          </cell>
          <cell r="E514">
            <v>5</v>
          </cell>
          <cell r="F514">
            <v>8.15</v>
          </cell>
        </row>
        <row r="515">
          <cell r="B515" t="str">
            <v>8.1.3</v>
          </cell>
          <cell r="C515" t="str">
            <v>PORTAS E JANELAS</v>
          </cell>
        </row>
        <row r="516">
          <cell r="B516" t="str">
            <v>8.1.3.1</v>
          </cell>
          <cell r="C516" t="str">
            <v>Fornecimento e aplicação de portas (interiores) novas, tipo almofadadas em madeira de pinho.</v>
          </cell>
          <cell r="D516" t="str">
            <v>m2</v>
          </cell>
          <cell r="E516">
            <v>1</v>
          </cell>
          <cell r="F516">
            <v>500</v>
          </cell>
        </row>
        <row r="517">
          <cell r="B517" t="str">
            <v>8.1.3.2</v>
          </cell>
          <cell r="C517" t="str">
            <v>Idem, tipo pré-fabricadas e folheadas em madeira exótica.</v>
          </cell>
          <cell r="D517" t="str">
            <v>m2</v>
          </cell>
          <cell r="E517">
            <v>1</v>
          </cell>
          <cell r="F517">
            <v>375</v>
          </cell>
        </row>
        <row r="518">
          <cell r="B518" t="str">
            <v>8.1.3.3</v>
          </cell>
          <cell r="C518" t="str">
            <v>Idem, tipo engradadas envidraçadas em madeira exótica.</v>
          </cell>
          <cell r="D518" t="str">
            <v>m2</v>
          </cell>
          <cell r="E518">
            <v>0</v>
          </cell>
        </row>
        <row r="519">
          <cell r="B519" t="str">
            <v>8.1.3.4</v>
          </cell>
          <cell r="C519" t="str">
            <v>Execução de porta exterior em madeira de casquinha ou niagon, incluindo ferragens, fechaduras, vedaluzes e pintura a  tinta de esmalte.</v>
          </cell>
          <cell r="D519" t="str">
            <v>m2</v>
          </cell>
          <cell r="E519">
            <v>0</v>
          </cell>
        </row>
        <row r="520">
          <cell r="B520" t="str">
            <v>8.1.3.5</v>
          </cell>
          <cell r="C520" t="str">
            <v>Fornecimento e assentamento de vãos de porta interior tipo "Placarol" em mogno ou tola, incluindo aros, ferragens. fechaduras e acabamento a verniz ou esmalte.</v>
          </cell>
          <cell r="D520" t="str">
            <v>m2</v>
          </cell>
          <cell r="E520">
            <v>1</v>
          </cell>
          <cell r="F520">
            <v>400</v>
          </cell>
        </row>
        <row r="521">
          <cell r="B521" t="str">
            <v>8.1.3.6</v>
          </cell>
          <cell r="C521" t="str">
            <v>Reparação com substituição de madeiras em portas e janelas exteriores, nas àreas indicadas pela fiscalização, incluindo o desmonte  e a  montagem parcial das peças da porta, fechamento temporario do vão no caso da porta ser reparada em estaleiro, recolha e encaminhamento de resíduos a destino final licenciado e todos os trabalhos necessários para o efeito.</v>
          </cell>
          <cell r="D521" t="str">
            <v>m2</v>
          </cell>
          <cell r="E521">
            <v>1</v>
          </cell>
          <cell r="F521">
            <v>625</v>
          </cell>
        </row>
        <row r="522">
          <cell r="B522" t="str">
            <v>8.1.3.7</v>
          </cell>
          <cell r="C522" t="str">
            <v>Fornecimento e assentamento de aros de gola ou de aduela em madeira exótica.</v>
          </cell>
          <cell r="D522" t="str">
            <v>m</v>
          </cell>
          <cell r="E522">
            <v>2</v>
          </cell>
          <cell r="F522">
            <v>81.900000000000006</v>
          </cell>
        </row>
        <row r="523">
          <cell r="B523" t="str">
            <v>8.1.3.8</v>
          </cell>
          <cell r="C523" t="str">
            <v>Fornecimento e aplicação de guarnição de vãos em aros.</v>
          </cell>
          <cell r="D523" t="str">
            <v>m</v>
          </cell>
          <cell r="E523">
            <v>2</v>
          </cell>
          <cell r="F523">
            <v>25</v>
          </cell>
        </row>
        <row r="524">
          <cell r="B524" t="str">
            <v>8.1.3.9</v>
          </cell>
          <cell r="C524" t="str">
            <v>Fornecimento e assentamento de caixilhos de janela em madeira exótica com vidros.</v>
          </cell>
          <cell r="D524" t="str">
            <v>m2</v>
          </cell>
          <cell r="E524">
            <v>0</v>
          </cell>
        </row>
        <row r="525">
          <cell r="B525" t="str">
            <v>8.1.3.10</v>
          </cell>
          <cell r="C525" t="str">
            <v>Execução de janelas em madeira de casquinha, tipo engradadas, envidraçadas, incluindo vedaluzes, ferragens cromadas e pintura a tinta de esmalte.</v>
          </cell>
          <cell r="D525" t="str">
            <v>m2</v>
          </cell>
          <cell r="E525">
            <v>2</v>
          </cell>
          <cell r="F525">
            <v>437.5</v>
          </cell>
        </row>
        <row r="526">
          <cell r="B526" t="str">
            <v>8.1.3.11</v>
          </cell>
          <cell r="C526" t="str">
            <v>Fornecimento e aplicação de portadas em contraplacado folheado, incluindo ferragens e envernizamento.</v>
          </cell>
          <cell r="D526" t="str">
            <v>m2</v>
          </cell>
          <cell r="E526">
            <v>2</v>
          </cell>
          <cell r="F526">
            <v>437.5</v>
          </cell>
        </row>
        <row r="527">
          <cell r="B527" t="str">
            <v>8.1.3.12</v>
          </cell>
          <cell r="C527" t="str">
            <v>Reparação de portas, incluindo ferragens e fechaduras.</v>
          </cell>
          <cell r="D527" t="str">
            <v>un</v>
          </cell>
          <cell r="E527">
            <v>10</v>
          </cell>
          <cell r="F527">
            <v>156.25</v>
          </cell>
        </row>
        <row r="528">
          <cell r="B528" t="str">
            <v>8.1.3.13</v>
          </cell>
          <cell r="C528" t="str">
            <v>Reparação de janelas, incluindo ferragens e fechos.</v>
          </cell>
          <cell r="D528" t="str">
            <v>un</v>
          </cell>
          <cell r="E528">
            <v>10</v>
          </cell>
          <cell r="F528">
            <v>93.75</v>
          </cell>
        </row>
        <row r="529">
          <cell r="B529" t="str">
            <v>8.1.4</v>
          </cell>
          <cell r="C529" t="str">
            <v>MOBILIÁRIO</v>
          </cell>
        </row>
        <row r="530">
          <cell r="B530" t="str">
            <v>8.1.4.1</v>
          </cell>
          <cell r="C530" t="str">
            <v>Fornecimento e montagem de armário de cozinha em laminado branco (medição por área frontal).</v>
          </cell>
          <cell r="D530" t="str">
            <v>m2</v>
          </cell>
          <cell r="E530">
            <v>1</v>
          </cell>
          <cell r="F530">
            <v>562.5</v>
          </cell>
        </row>
        <row r="531">
          <cell r="B531" t="str">
            <v>8.1.4.2</v>
          </cell>
          <cell r="C531" t="str">
            <v>idem com acabamento folheado</v>
          </cell>
          <cell r="D531" t="str">
            <v>m2</v>
          </cell>
          <cell r="E531">
            <v>0</v>
          </cell>
        </row>
        <row r="532">
          <cell r="B532" t="str">
            <v>8.1.4.3</v>
          </cell>
          <cell r="C532" t="str">
            <v>idem com acabamento laminado</v>
          </cell>
          <cell r="D532" t="str">
            <v>m2</v>
          </cell>
          <cell r="E532">
            <v>1</v>
          </cell>
          <cell r="F532">
            <v>562.5</v>
          </cell>
        </row>
        <row r="533">
          <cell r="B533" t="str">
            <v>8.1.4.4</v>
          </cell>
          <cell r="C533" t="str">
            <v>Fornecimento e montagem de prateleiras em madeira com aplicação de suportes de parede</v>
          </cell>
          <cell r="D533" t="str">
            <v>m</v>
          </cell>
          <cell r="E533">
            <v>1</v>
          </cell>
          <cell r="F533">
            <v>28.15</v>
          </cell>
        </row>
        <row r="534">
          <cell r="B534" t="str">
            <v>8.2</v>
          </cell>
          <cell r="C534" t="str">
            <v>FERRAGENS</v>
          </cell>
        </row>
        <row r="535">
          <cell r="B535" t="str">
            <v>8.2.1</v>
          </cell>
          <cell r="C535" t="str">
            <v>Substituição, fornecimento e aplicação de fechaduras de sobrepor tipo yale.</v>
          </cell>
          <cell r="D535" t="str">
            <v>un</v>
          </cell>
          <cell r="E535">
            <v>5</v>
          </cell>
          <cell r="F535">
            <v>26.75</v>
          </cell>
        </row>
        <row r="536">
          <cell r="B536" t="str">
            <v>8.2.2</v>
          </cell>
          <cell r="C536" t="str">
            <v>Idem, para fechaduras de sobrepor tipo inglês.</v>
          </cell>
          <cell r="D536" t="str">
            <v>un</v>
          </cell>
          <cell r="E536">
            <v>1</v>
          </cell>
          <cell r="F536">
            <v>26.75</v>
          </cell>
        </row>
        <row r="537">
          <cell r="B537" t="str">
            <v>8.2.3</v>
          </cell>
          <cell r="C537" t="str">
            <v>Idem, para fechaduras de sobrepor tipo francês.</v>
          </cell>
          <cell r="D537" t="str">
            <v>un</v>
          </cell>
          <cell r="E537">
            <v>2</v>
          </cell>
          <cell r="F537">
            <v>26.75</v>
          </cell>
        </row>
        <row r="538">
          <cell r="B538" t="str">
            <v>8.2.4</v>
          </cell>
          <cell r="C538" t="str">
            <v>Idem, para fechaduras de embeber tipo yale.</v>
          </cell>
          <cell r="D538" t="str">
            <v>un</v>
          </cell>
          <cell r="E538">
            <v>2</v>
          </cell>
          <cell r="F538">
            <v>26.75</v>
          </cell>
        </row>
        <row r="539">
          <cell r="B539" t="str">
            <v>8.2.5</v>
          </cell>
          <cell r="C539" t="str">
            <v>Idem, para fechaduras de embeber tipo francês.</v>
          </cell>
          <cell r="D539" t="str">
            <v>un</v>
          </cell>
          <cell r="E539">
            <v>1</v>
          </cell>
          <cell r="F539">
            <v>26.75</v>
          </cell>
        </row>
        <row r="540">
          <cell r="B540" t="str">
            <v>8.2.6</v>
          </cell>
          <cell r="C540" t="str">
            <v>Idem, para puxadores metálicos (pares).</v>
          </cell>
          <cell r="D540" t="str">
            <v>un</v>
          </cell>
          <cell r="E540">
            <v>3</v>
          </cell>
          <cell r="F540">
            <v>21.4</v>
          </cell>
        </row>
        <row r="541">
          <cell r="B541" t="str">
            <v>8.2.7</v>
          </cell>
          <cell r="C541" t="str">
            <v>Idem, para puxadores metálicos tipo Algarve (pares).</v>
          </cell>
          <cell r="D541" t="str">
            <v>un</v>
          </cell>
          <cell r="E541">
            <v>1</v>
          </cell>
          <cell r="F541">
            <v>28.2</v>
          </cell>
        </row>
        <row r="542">
          <cell r="B542" t="str">
            <v>8.2.8</v>
          </cell>
          <cell r="C542" t="str">
            <v>Idem, para fechos de correr.</v>
          </cell>
          <cell r="D542" t="str">
            <v>un</v>
          </cell>
          <cell r="E542">
            <v>1</v>
          </cell>
          <cell r="F542">
            <v>26.75</v>
          </cell>
        </row>
        <row r="543">
          <cell r="B543" t="str">
            <v>8.2.9</v>
          </cell>
          <cell r="C543" t="str">
            <v>Idem, para cremonas cromadas e respectivas barrinhas.</v>
          </cell>
          <cell r="D543" t="str">
            <v>un</v>
          </cell>
          <cell r="E543">
            <v>1</v>
          </cell>
          <cell r="F543">
            <v>26.75</v>
          </cell>
        </row>
        <row r="544">
          <cell r="B544" t="str">
            <v>8.2.10</v>
          </cell>
          <cell r="C544" t="str">
            <v>Reparação de fechaduras encravadas de diversos tipos.</v>
          </cell>
          <cell r="D544" t="str">
            <v>un</v>
          </cell>
          <cell r="E544">
            <v>3</v>
          </cell>
          <cell r="F544">
            <v>37.5</v>
          </cell>
        </row>
        <row r="545">
          <cell r="B545" t="str">
            <v>8.2.11</v>
          </cell>
          <cell r="C545" t="str">
            <v>Substituição de canhão tipo Yale ou Rodes de fechadura,</v>
          </cell>
          <cell r="D545" t="str">
            <v>un</v>
          </cell>
          <cell r="E545">
            <v>2</v>
          </cell>
          <cell r="F545">
            <v>31.25</v>
          </cell>
        </row>
        <row r="546">
          <cell r="B546" t="str">
            <v>8.2.12</v>
          </cell>
          <cell r="C546" t="str">
            <v>Idem, de embeber.</v>
          </cell>
          <cell r="D546" t="str">
            <v>un</v>
          </cell>
          <cell r="E546">
            <v>1</v>
          </cell>
          <cell r="F546">
            <v>31.25</v>
          </cell>
        </row>
        <row r="547">
          <cell r="B547" t="str">
            <v>8.2.13</v>
          </cell>
          <cell r="C547" t="str">
            <v>Fornecimento de fechadura de 4 entradas.</v>
          </cell>
          <cell r="D547" t="str">
            <v>un</v>
          </cell>
          <cell r="E547">
            <v>1</v>
          </cell>
          <cell r="F547">
            <v>62.5</v>
          </cell>
        </row>
        <row r="548">
          <cell r="B548" t="str">
            <v>8.2.14</v>
          </cell>
          <cell r="C548" t="str">
            <v>Idem, para fechadura de 4 entradas com tranca.</v>
          </cell>
          <cell r="D548" t="str">
            <v>un</v>
          </cell>
          <cell r="E548">
            <v>1</v>
          </cell>
          <cell r="F548">
            <v>118.75</v>
          </cell>
        </row>
        <row r="549">
          <cell r="B549" t="str">
            <v>8.2.15</v>
          </cell>
          <cell r="C549" t="str">
            <v>Idem, para fechadura de 2 entradas.</v>
          </cell>
          <cell r="D549" t="str">
            <v>un</v>
          </cell>
          <cell r="E549">
            <v>2</v>
          </cell>
          <cell r="F549">
            <v>56.25</v>
          </cell>
        </row>
        <row r="550">
          <cell r="B550" t="str">
            <v>8.2.16</v>
          </cell>
          <cell r="C550" t="str">
            <v>Idem, para fechadura de 2 entradas com tranca.</v>
          </cell>
          <cell r="D550" t="str">
            <v>un</v>
          </cell>
          <cell r="E550">
            <v>1</v>
          </cell>
          <cell r="F550">
            <v>106.25</v>
          </cell>
        </row>
        <row r="551">
          <cell r="B551" t="str">
            <v>8.2.17</v>
          </cell>
          <cell r="C551" t="str">
            <v>Fornecimento de fechaduras à face tipo "Viro" simples, ou equivalente.</v>
          </cell>
          <cell r="D551" t="str">
            <v>un</v>
          </cell>
          <cell r="E551">
            <v>1</v>
          </cell>
          <cell r="F551">
            <v>97.5</v>
          </cell>
        </row>
        <row r="552">
          <cell r="B552" t="str">
            <v>8.2.18</v>
          </cell>
          <cell r="C552" t="str">
            <v>Idem, para fechaduras à face tipo "Viro" simples, ou equivalente, de 4 entradas com lança-fechos.</v>
          </cell>
          <cell r="D552" t="str">
            <v>un</v>
          </cell>
          <cell r="E552">
            <v>1</v>
          </cell>
          <cell r="F552">
            <v>160.4</v>
          </cell>
        </row>
        <row r="553">
          <cell r="B553" t="str">
            <v>8.2.19</v>
          </cell>
          <cell r="C553" t="str">
            <v>Fornecimento de fechaduras de sobrepor tipo "CISA", ou equivalente, sem canhão com trancas.</v>
          </cell>
          <cell r="D553" t="str">
            <v>un</v>
          </cell>
          <cell r="E553">
            <v>1</v>
          </cell>
          <cell r="F553">
            <v>118.75</v>
          </cell>
        </row>
        <row r="554">
          <cell r="B554" t="str">
            <v>8.2.20</v>
          </cell>
          <cell r="C554" t="str">
            <v>Fornecimento e montagem de fechaduras moedeiras, do tipo "Consignas Europeas", ou equivalente.</v>
          </cell>
          <cell r="D554" t="str">
            <v>un</v>
          </cell>
          <cell r="E554">
            <v>0</v>
          </cell>
        </row>
        <row r="555">
          <cell r="B555" t="str">
            <v>8.2.21</v>
          </cell>
          <cell r="C555" t="str">
            <v>Fornecimento e montagem de fechaduras com chave telescópica universal (chave universal REFER LBA), tipo "Rhodes 2500/01" ou equivalente.</v>
          </cell>
          <cell r="D555" t="str">
            <v>un</v>
          </cell>
          <cell r="E555">
            <v>1</v>
          </cell>
          <cell r="F555">
            <v>262.5</v>
          </cell>
        </row>
        <row r="556">
          <cell r="B556" t="str">
            <v>8.2.22</v>
          </cell>
          <cell r="C556" t="str">
            <v>Fornecimento e colocação de molas com amortecimento para portas.</v>
          </cell>
          <cell r="D556" t="str">
            <v>un</v>
          </cell>
          <cell r="E556">
            <v>5</v>
          </cell>
          <cell r="F556">
            <v>80.25</v>
          </cell>
        </row>
        <row r="557">
          <cell r="B557" t="str">
            <v>8.2.23</v>
          </cell>
          <cell r="C557" t="str">
            <v>Reparação de molas com amortecimento para portas.</v>
          </cell>
          <cell r="D557" t="str">
            <v>un</v>
          </cell>
          <cell r="E557">
            <v>1</v>
          </cell>
          <cell r="F557">
            <v>37.5</v>
          </cell>
        </row>
        <row r="558">
          <cell r="B558" t="str">
            <v>8.2.24</v>
          </cell>
          <cell r="C558" t="str">
            <v>Substituição de dobradiças em portas.</v>
          </cell>
          <cell r="D558" t="str">
            <v>un</v>
          </cell>
          <cell r="E558">
            <v>10</v>
          </cell>
          <cell r="F558">
            <v>17.350000000000001</v>
          </cell>
        </row>
        <row r="559">
          <cell r="B559" t="str">
            <v>8.2.25</v>
          </cell>
          <cell r="C559" t="str">
            <v>Substituição de dobradiças em janelas.</v>
          </cell>
          <cell r="D559" t="str">
            <v>un</v>
          </cell>
          <cell r="E559">
            <v>5</v>
          </cell>
          <cell r="F559">
            <v>13</v>
          </cell>
        </row>
        <row r="560">
          <cell r="B560" t="str">
            <v>8.2.26</v>
          </cell>
          <cell r="C560" t="str">
            <v>Fornecimento e aplicação de puxadores de alumínio anodizado.</v>
          </cell>
          <cell r="D560" t="str">
            <v>un</v>
          </cell>
          <cell r="E560">
            <v>2</v>
          </cell>
          <cell r="F560">
            <v>21.25</v>
          </cell>
        </row>
        <row r="561">
          <cell r="B561" t="str">
            <v>8.2.27</v>
          </cell>
          <cell r="C561" t="str">
            <v>Idem, puxadores em latão polido</v>
          </cell>
          <cell r="D561" t="str">
            <v>un</v>
          </cell>
          <cell r="E561">
            <v>1</v>
          </cell>
          <cell r="F561">
            <v>22.65</v>
          </cell>
        </row>
        <row r="562">
          <cell r="B562" t="str">
            <v>8.2.28</v>
          </cell>
          <cell r="C562" t="str">
            <v>Idem, puxadores em inox polido</v>
          </cell>
          <cell r="D562" t="str">
            <v>un</v>
          </cell>
          <cell r="E562">
            <v>1</v>
          </cell>
          <cell r="F562">
            <v>25.75</v>
          </cell>
        </row>
        <row r="563">
          <cell r="B563" t="str">
            <v>8.2.29</v>
          </cell>
          <cell r="C563" t="str">
            <v>Idem, fechos niquelados de 75mm.</v>
          </cell>
          <cell r="D563" t="str">
            <v>un</v>
          </cell>
          <cell r="E563">
            <v>1</v>
          </cell>
          <cell r="F563">
            <v>10.75</v>
          </cell>
        </row>
        <row r="564">
          <cell r="B564" t="str">
            <v>8.2.30</v>
          </cell>
          <cell r="C564" t="str">
            <v>Idem, fechos niquelados de 100mm.</v>
          </cell>
          <cell r="D564" t="str">
            <v>un</v>
          </cell>
          <cell r="E564">
            <v>1</v>
          </cell>
          <cell r="F564">
            <v>10.75</v>
          </cell>
        </row>
        <row r="565">
          <cell r="B565" t="str">
            <v>8.2.31</v>
          </cell>
          <cell r="C565" t="str">
            <v>Idem, fechos cromados de 75mm.</v>
          </cell>
          <cell r="D565" t="str">
            <v>un</v>
          </cell>
          <cell r="E565">
            <v>1</v>
          </cell>
          <cell r="F565">
            <v>10.75</v>
          </cell>
        </row>
        <row r="566">
          <cell r="B566" t="str">
            <v>8.2.32</v>
          </cell>
          <cell r="C566" t="str">
            <v>Idem, fechos cromados de 100mm.</v>
          </cell>
          <cell r="D566" t="str">
            <v>un</v>
          </cell>
          <cell r="E566">
            <v>1</v>
          </cell>
          <cell r="F566">
            <v>10.75</v>
          </cell>
        </row>
        <row r="567">
          <cell r="B567" t="str">
            <v>8.2.33</v>
          </cell>
          <cell r="C567" t="str">
            <v>Idem, fechos de correr de 110mm.</v>
          </cell>
          <cell r="D567" t="str">
            <v>un</v>
          </cell>
          <cell r="E567">
            <v>2</v>
          </cell>
          <cell r="F567">
            <v>107.5</v>
          </cell>
        </row>
        <row r="568">
          <cell r="B568" t="str">
            <v>8.2.34</v>
          </cell>
          <cell r="C568" t="str">
            <v>Idem, fechos de correr de 220mm.</v>
          </cell>
          <cell r="D568" t="str">
            <v>un</v>
          </cell>
          <cell r="E568">
            <v>2</v>
          </cell>
          <cell r="F568">
            <v>16.149999999999999</v>
          </cell>
        </row>
        <row r="569">
          <cell r="B569" t="str">
            <v>8.2.35</v>
          </cell>
          <cell r="C569" t="str">
            <v>Substituição de ferragens especiais em portas de cais (fechaduras, lemes. fechos. rodízios. etc.)</v>
          </cell>
          <cell r="D569" t="str">
            <v>un</v>
          </cell>
          <cell r="E569">
            <v>1</v>
          </cell>
          <cell r="F569">
            <v>125</v>
          </cell>
        </row>
        <row r="570">
          <cell r="B570" t="str">
            <v>8.2.36</v>
          </cell>
          <cell r="C570" t="str">
            <v>Fornecimento e aplicação de dobradiças cromadas de leme ou balanço de 3" a 4".</v>
          </cell>
          <cell r="D570" t="str">
            <v>un</v>
          </cell>
          <cell r="E570">
            <v>1</v>
          </cell>
          <cell r="F570">
            <v>15.65</v>
          </cell>
        </row>
        <row r="571">
          <cell r="B571" t="str">
            <v>8.2.37</v>
          </cell>
          <cell r="C571" t="str">
            <v>Fornecimento e montagem de retentor de porta tipo "JNF ref. IN.23.124" ou equivalente.</v>
          </cell>
          <cell r="D571" t="str">
            <v>un</v>
          </cell>
          <cell r="E571">
            <v>2</v>
          </cell>
          <cell r="F571">
            <v>137.5</v>
          </cell>
        </row>
        <row r="572">
          <cell r="B572" t="str">
            <v>8.2.38</v>
          </cell>
          <cell r="C572" t="str">
            <v>Substituição de sinalizadores livre/oucupado, danificados.</v>
          </cell>
          <cell r="D572" t="str">
            <v>un</v>
          </cell>
          <cell r="E572">
            <v>5</v>
          </cell>
          <cell r="F572">
            <v>150</v>
          </cell>
        </row>
        <row r="573">
          <cell r="B573" t="str">
            <v>8.2.39</v>
          </cell>
          <cell r="C573" t="str">
            <v>Fornecimento e aplicação de cadeados de segurança (chave universal REFER) em portões, incluindo chave e corrente.</v>
          </cell>
          <cell r="D573" t="str">
            <v>un</v>
          </cell>
          <cell r="E573">
            <v>5</v>
          </cell>
          <cell r="F573">
            <v>36.9</v>
          </cell>
        </row>
        <row r="574">
          <cell r="B574" t="str">
            <v>8.2.40</v>
          </cell>
          <cell r="C574" t="str">
            <v>Substituição de fechaduras (chave universal REFER)  em portões de via, incluindo chave.</v>
          </cell>
          <cell r="D574" t="str">
            <v>un</v>
          </cell>
          <cell r="E574">
            <v>1</v>
          </cell>
          <cell r="F574">
            <v>43.75</v>
          </cell>
        </row>
        <row r="575">
          <cell r="B575" t="str">
            <v>8.2.41</v>
          </cell>
          <cell r="C575" t="str">
            <v>Substituição de fechaduras em mobiliário de escritório.</v>
          </cell>
          <cell r="D575" t="str">
            <v>un</v>
          </cell>
          <cell r="E575">
            <v>1</v>
          </cell>
          <cell r="F575">
            <v>14.15</v>
          </cell>
        </row>
        <row r="576">
          <cell r="B576" t="str">
            <v>8.2.42</v>
          </cell>
          <cell r="C576" t="str">
            <v>Substituição de puxadores em mobiliário de escritório.</v>
          </cell>
          <cell r="D576" t="str">
            <v>un</v>
          </cell>
          <cell r="E576">
            <v>1</v>
          </cell>
          <cell r="F576">
            <v>15</v>
          </cell>
        </row>
        <row r="577">
          <cell r="B577" t="str">
            <v>8.2.43</v>
          </cell>
          <cell r="C577" t="str">
            <v>Lubrificação de ferragens de porta de uma ou duas folhas, incluindo dobradiças, pivots, fechaduras, ferrolhos, fechos, braços, entre outros, com lubrificante a aprovar pela fiscalização.</v>
          </cell>
          <cell r="D577" t="str">
            <v>un</v>
          </cell>
          <cell r="E577">
            <v>10</v>
          </cell>
          <cell r="F577">
            <v>0.32</v>
          </cell>
        </row>
        <row r="578">
          <cell r="B578" t="str">
            <v>8.2.44</v>
          </cell>
          <cell r="C578" t="str">
            <v>Fornecimento e aplicação ou substituição de contra testa para fechaduras de sobrepor.</v>
          </cell>
          <cell r="D578" t="str">
            <v>un</v>
          </cell>
          <cell r="E578">
            <v>1</v>
          </cell>
          <cell r="F578">
            <v>2.85</v>
          </cell>
        </row>
        <row r="579">
          <cell r="B579" t="str">
            <v>8.2.45</v>
          </cell>
          <cell r="C579" t="str">
            <v>Fornecimento e aplicação ou substituição de testa ou contra testa para fechaduras de embeber.</v>
          </cell>
          <cell r="D579" t="str">
            <v>un</v>
          </cell>
          <cell r="E579">
            <v>1</v>
          </cell>
          <cell r="F579">
            <v>4.0999999999999996</v>
          </cell>
        </row>
        <row r="580">
          <cell r="B580" t="str">
            <v>8.2.46</v>
          </cell>
          <cell r="C580" t="str">
            <v>Fornecimento e aplicação de fechadura de embeber para cubículos sanitários, com sinalizador livre/ocupado.</v>
          </cell>
          <cell r="D580" t="str">
            <v>un</v>
          </cell>
          <cell r="E580">
            <v>5</v>
          </cell>
          <cell r="F580">
            <v>62.5</v>
          </cell>
        </row>
        <row r="581">
          <cell r="B581" t="str">
            <v>8.2.47</v>
          </cell>
          <cell r="C581" t="str">
            <v>Fornecimento e aplicação de puxadores tubulares em aço inox acabamento escovado, com 40mm de diâmetro.</v>
          </cell>
          <cell r="D581" t="str">
            <v>m</v>
          </cell>
          <cell r="E581">
            <v>1</v>
          </cell>
          <cell r="F581">
            <v>62.5</v>
          </cell>
        </row>
        <row r="582">
          <cell r="B582" t="str">
            <v>8.3</v>
          </cell>
          <cell r="C582" t="str">
            <v>ESTORES</v>
          </cell>
        </row>
        <row r="583">
          <cell r="B583" t="str">
            <v>8.3.1</v>
          </cell>
          <cell r="C583" t="str">
            <v>Fornecimento e montagem de estores de lâminas horizontais 25mm orientáveis em alumínio, incluindo suporte, fixação, acessórios e todos os trabalhos para o seu bom funcionamento.</v>
          </cell>
          <cell r="D583" t="str">
            <v>m2</v>
          </cell>
          <cell r="E583">
            <v>1</v>
          </cell>
          <cell r="F583">
            <v>43.75</v>
          </cell>
        </row>
        <row r="584">
          <cell r="B584" t="str">
            <v>8.3.2</v>
          </cell>
          <cell r="C584" t="str">
            <v>Idem, de 15mm.</v>
          </cell>
          <cell r="D584" t="str">
            <v>m2</v>
          </cell>
          <cell r="E584">
            <v>1</v>
          </cell>
          <cell r="F584">
            <v>47.5</v>
          </cell>
        </row>
        <row r="585">
          <cell r="B585" t="str">
            <v>8.3.3</v>
          </cell>
          <cell r="C585" t="str">
            <v>Idem, de 25mm em PVC.</v>
          </cell>
          <cell r="D585" t="str">
            <v>m2</v>
          </cell>
          <cell r="E585">
            <v>1</v>
          </cell>
          <cell r="F585">
            <v>41.9</v>
          </cell>
        </row>
        <row r="586">
          <cell r="B586" t="str">
            <v>8.3.4</v>
          </cell>
          <cell r="C586" t="str">
            <v>Idem, de 15mm em PVC</v>
          </cell>
          <cell r="D586" t="str">
            <v>m2</v>
          </cell>
          <cell r="E586">
            <v>1</v>
          </cell>
          <cell r="F586">
            <v>41.9</v>
          </cell>
        </row>
        <row r="587">
          <cell r="B587" t="str">
            <v>8.3.5</v>
          </cell>
          <cell r="C587" t="str">
            <v>Fornecimento e aplicação de estores em bandas verticais orientáveis em tecido 100% poliester com 89mm de largura, incluindo suportes, fixação, acessórios e todos os trabalhos complementares ao seu bom funcionamento.</v>
          </cell>
          <cell r="D587" t="str">
            <v>m2</v>
          </cell>
          <cell r="E587">
            <v>1</v>
          </cell>
          <cell r="F587">
            <v>50</v>
          </cell>
        </row>
        <row r="588">
          <cell r="B588" t="str">
            <v>8.3.6</v>
          </cell>
          <cell r="C588" t="str">
            <v>Idem, em tela de PVC com 0,76mm de espessura e 89mm de largura.</v>
          </cell>
          <cell r="D588" t="str">
            <v>m2</v>
          </cell>
          <cell r="E588">
            <v>1</v>
          </cell>
          <cell r="F588">
            <v>56.25</v>
          </cell>
        </row>
        <row r="589">
          <cell r="B589" t="str">
            <v>8.3.7</v>
          </cell>
          <cell r="C589" t="str">
            <v>Fornecimento e aplicação de tela Blackout B2, incluindo sistema de estore de rolo com comando de corrente desmultiplicada, incluindo fixação, acessórios e todos acessórios.</v>
          </cell>
          <cell r="D589" t="str">
            <v>m2</v>
          </cell>
          <cell r="E589">
            <v>2</v>
          </cell>
          <cell r="F589">
            <v>45</v>
          </cell>
        </row>
        <row r="590">
          <cell r="B590" t="str">
            <v>8.3.8</v>
          </cell>
          <cell r="C590" t="str">
            <v>Idem, em tela Blackout B5.</v>
          </cell>
          <cell r="D590" t="str">
            <v>m2</v>
          </cell>
          <cell r="E590">
            <v>10</v>
          </cell>
          <cell r="F590">
            <v>56.25</v>
          </cell>
        </row>
        <row r="591">
          <cell r="B591" t="str">
            <v>8.3.9</v>
          </cell>
          <cell r="C591" t="str">
            <v>Idem, em polyester.</v>
          </cell>
          <cell r="D591" t="str">
            <v>m2</v>
          </cell>
          <cell r="E591">
            <v>0</v>
          </cell>
        </row>
        <row r="592">
          <cell r="B592" t="str">
            <v>8.3.10</v>
          </cell>
          <cell r="C592" t="str">
            <v>Idem, em tecido composto por polyester e PVC.</v>
          </cell>
          <cell r="D592" t="str">
            <v>m2</v>
          </cell>
          <cell r="E592">
            <v>0</v>
          </cell>
        </row>
        <row r="593">
          <cell r="B593" t="str">
            <v>8.3.11</v>
          </cell>
          <cell r="C593" t="str">
            <v>Idem, em screens.</v>
          </cell>
          <cell r="D593" t="str">
            <v>m2</v>
          </cell>
          <cell r="E593">
            <v>0</v>
          </cell>
        </row>
        <row r="594">
          <cell r="B594" t="str">
            <v>8.3.12</v>
          </cell>
          <cell r="C594" t="str">
            <v>Fornecimento e aplicação de tela Blackout B2, incluindo sistema de estore de rolo com comando eletrico, incluindo fixação, acessórios e todos acessórios.</v>
          </cell>
          <cell r="D594" t="str">
            <v>m2</v>
          </cell>
          <cell r="E594">
            <v>0</v>
          </cell>
        </row>
        <row r="595">
          <cell r="B595" t="str">
            <v>8.3.13</v>
          </cell>
          <cell r="C595" t="str">
            <v>Idem, em tela Blackout B5.</v>
          </cell>
          <cell r="D595" t="str">
            <v>m2</v>
          </cell>
          <cell r="E595">
            <v>0</v>
          </cell>
        </row>
        <row r="596">
          <cell r="B596" t="str">
            <v>8.3.14</v>
          </cell>
          <cell r="C596" t="str">
            <v>Idem, em polyester.</v>
          </cell>
          <cell r="D596" t="str">
            <v>m2</v>
          </cell>
          <cell r="E596">
            <v>0</v>
          </cell>
        </row>
        <row r="597">
          <cell r="B597" t="str">
            <v>8.3.15</v>
          </cell>
          <cell r="C597" t="str">
            <v>Idem, em tecido composto por polyester e PVC.</v>
          </cell>
          <cell r="D597" t="str">
            <v>m2</v>
          </cell>
          <cell r="E597">
            <v>0</v>
          </cell>
        </row>
        <row r="598">
          <cell r="B598" t="str">
            <v>8.3.16</v>
          </cell>
          <cell r="C598" t="str">
            <v>Idem, em screens.</v>
          </cell>
          <cell r="D598" t="str">
            <v>m2</v>
          </cell>
          <cell r="E598">
            <v>0</v>
          </cell>
        </row>
        <row r="599">
          <cell r="B599" t="str">
            <v>8.3.17</v>
          </cell>
          <cell r="C599" t="str">
            <v>Fornecimento e montagem de caixa de estore do tipo "Represtor - Caixinova R", ou equivalente, incluindo, fixação, acessórios e todos os trabalhos complementares.</v>
          </cell>
          <cell r="D599" t="str">
            <v>un</v>
          </cell>
          <cell r="E599">
            <v>0</v>
          </cell>
        </row>
        <row r="600">
          <cell r="B600" t="str">
            <v>8.3.18</v>
          </cell>
          <cell r="C600" t="str">
            <v>Idem, do tipo "Represtor - Termopac", ou equivalente, incluindo fixação, acessórios e todos os trabalhos complementares.</v>
          </cell>
          <cell r="D600" t="str">
            <v>un</v>
          </cell>
          <cell r="E600">
            <v>0</v>
          </cell>
        </row>
        <row r="601">
          <cell r="B601" t="str">
            <v>8.3.19</v>
          </cell>
          <cell r="C601" t="str">
            <v>Idem, do tipo "Represtor - Polyreno 205", ou equivalente, incluindo, fixação, acessórios e todos os trabalhos complementares.</v>
          </cell>
          <cell r="D601" t="str">
            <v>un</v>
          </cell>
          <cell r="E601">
            <v>0</v>
          </cell>
        </row>
        <row r="602">
          <cell r="B602" t="str">
            <v>8.3.20</v>
          </cell>
          <cell r="C602" t="str">
            <v>Idem, do tipo "Represtor - Uniblock", ou equivalente, incluindo fixação, acessórios e todos os trabalhos complementares.</v>
          </cell>
          <cell r="D602" t="str">
            <v>un</v>
          </cell>
          <cell r="E602">
            <v>0</v>
          </cell>
        </row>
        <row r="603">
          <cell r="B603" t="str">
            <v>8.3.21</v>
          </cell>
          <cell r="C603" t="str">
            <v>Fornecimento e montagem de estore de enrolar com reguas de alumínio perfilado "Represtor - FC 55", ou equivalente, incluindo fixação, acessórios e todos os trabalhos complementares.</v>
          </cell>
          <cell r="D603" t="str">
            <v>m2</v>
          </cell>
          <cell r="E603">
            <v>1</v>
          </cell>
          <cell r="F603">
            <v>75</v>
          </cell>
        </row>
        <row r="604">
          <cell r="B604" t="str">
            <v>8.3.22</v>
          </cell>
          <cell r="C604" t="str">
            <v>Fornecimento e montagem de estore de enrolar em lâminas orietáveis "Represtor - Supergradhermetic 45CV", ou equivalente, incluindo fixação, acessórios e todos os trabalhos complementares.</v>
          </cell>
          <cell r="D604" t="str">
            <v>m2</v>
          </cell>
          <cell r="E604">
            <v>1</v>
          </cell>
          <cell r="F604">
            <v>106.25</v>
          </cell>
        </row>
        <row r="605">
          <cell r="B605" t="str">
            <v>8.3.23</v>
          </cell>
          <cell r="C605" t="str">
            <v>Fornecimento e montagem de estore de enrolar com reguas de alumínio perfilado "Represtor - FC 55", ou equivalente, incluindo fixação, acessórios e todos os trabalhos complementares.</v>
          </cell>
          <cell r="D605" t="str">
            <v>m2</v>
          </cell>
          <cell r="E605">
            <v>1</v>
          </cell>
          <cell r="F605">
            <v>75</v>
          </cell>
        </row>
        <row r="606">
          <cell r="B606" t="str">
            <v>8.3.24</v>
          </cell>
          <cell r="C606" t="str">
            <v>Fornecimento e montagem de estore de enrolar com reguas de alumínio extrudido "Represtor - C33P", ou equivalente, incluindo fixação, acessórios e todos os trabalhos complementares.</v>
          </cell>
          <cell r="D606" t="str">
            <v>m2</v>
          </cell>
          <cell r="E606">
            <v>1</v>
          </cell>
          <cell r="F606">
            <v>156.25</v>
          </cell>
        </row>
        <row r="607">
          <cell r="B607" t="str">
            <v>8.3.25</v>
          </cell>
          <cell r="C607" t="str">
            <v>Substituição de fita e rolo em estores.</v>
          </cell>
          <cell r="D607" t="str">
            <v>un</v>
          </cell>
          <cell r="E607">
            <v>5</v>
          </cell>
          <cell r="F607">
            <v>43.75</v>
          </cell>
        </row>
        <row r="608">
          <cell r="B608" t="str">
            <v>8.4</v>
          </cell>
          <cell r="C608" t="str">
            <v>SINALÉTICA</v>
          </cell>
        </row>
        <row r="609">
          <cell r="B609" t="str">
            <v>8.4.1</v>
          </cell>
          <cell r="C609" t="str">
            <v>Fornecimento e montagem de paineis informativos em aluminio termolacado, de dimensão variávél, em modulação de 0,30x0,30m, com sinalética diversa em gravada a Azul Panteone 293, preto e/ou vermelho, em conformidade com a norma REFER MN.CCA.001,  incluindo todos os acessórios e fixação.
 - Unidade de referência por painel de modulação (0,30x0,30m)</v>
          </cell>
          <cell r="D609" t="str">
            <v>un</v>
          </cell>
          <cell r="E609">
            <v>10</v>
          </cell>
          <cell r="F609">
            <v>42.5</v>
          </cell>
        </row>
        <row r="610">
          <cell r="B610" t="str">
            <v>8.4.2</v>
          </cell>
          <cell r="C610" t="str">
            <v>Fornecimento e montagem de estrutura de suporte para paineis de pórtico.</v>
          </cell>
          <cell r="D610" t="str">
            <v>un</v>
          </cell>
          <cell r="E610">
            <v>1</v>
          </cell>
          <cell r="F610">
            <v>93.75</v>
          </cell>
        </row>
        <row r="611">
          <cell r="B611" t="str">
            <v>8.4.3</v>
          </cell>
          <cell r="C611" t="str">
            <v>Fornecimento e montagem de paineis informativos em aluminio termolacado, de dimensão variávél, em modulação de 0,15x0,15m, com sinalética diversa em gravada a Azul Panteone 293, preto e/ou vermelho, em conformidade com a norma REFER MN.CCA.001, incluindo todos os acessórios e fixação.
 - Unidade de referência por painel de modulação (0,15x0,15m)</v>
          </cell>
          <cell r="D611" t="str">
            <v>un</v>
          </cell>
          <cell r="E611">
            <v>1</v>
          </cell>
          <cell r="F611">
            <v>21.25</v>
          </cell>
        </row>
        <row r="612">
          <cell r="B612" t="str">
            <v>8.4.4</v>
          </cell>
          <cell r="C612" t="str">
            <v>Fornecimento e aplicação de sinalética com tela de vinil autocolante, incluindo limpeza e preparação de superfície.</v>
          </cell>
          <cell r="D612" t="str">
            <v>m2</v>
          </cell>
          <cell r="E612">
            <v>5</v>
          </cell>
          <cell r="F612">
            <v>56.25</v>
          </cell>
        </row>
        <row r="613">
          <cell r="B613" t="str">
            <v>8.4.5</v>
          </cell>
          <cell r="C613" t="str">
            <v>Sinalizador de segurança em PVC rígido, fotoluminescente, tipo "SINALUX", ou equivalente, com 100mmx200mm, de uma face, incluindo acessórios de fixação.</v>
          </cell>
          <cell r="D613" t="str">
            <v>un</v>
          </cell>
          <cell r="E613">
            <v>1</v>
          </cell>
          <cell r="F613">
            <v>21.9</v>
          </cell>
        </row>
        <row r="614">
          <cell r="B614" t="str">
            <v>8.4.6</v>
          </cell>
          <cell r="C614" t="str">
            <v>Idem, 150mm*300mm</v>
          </cell>
          <cell r="D614" t="str">
            <v>un</v>
          </cell>
          <cell r="E614">
            <v>1</v>
          </cell>
          <cell r="F614">
            <v>25</v>
          </cell>
        </row>
        <row r="615">
          <cell r="B615" t="str">
            <v>8.4.7</v>
          </cell>
          <cell r="C615" t="str">
            <v>Idem, 200mm*400mm</v>
          </cell>
          <cell r="D615" t="str">
            <v>un</v>
          </cell>
          <cell r="E615">
            <v>1</v>
          </cell>
          <cell r="F615">
            <v>28.15</v>
          </cell>
        </row>
        <row r="616">
          <cell r="B616" t="str">
            <v>8.4.8</v>
          </cell>
          <cell r="C616" t="str">
            <v>Execução de letras em argamassa, em alto relevo com 0,25mx0,20mx0,015mm.</v>
          </cell>
          <cell r="D616" t="str">
            <v>un</v>
          </cell>
          <cell r="E616">
            <v>0</v>
          </cell>
        </row>
        <row r="617">
          <cell r="B617" t="str">
            <v>8.4.9</v>
          </cell>
          <cell r="C617" t="str">
            <v>Pintura de logotipo REFER        , com 1m de altura, na cor Azul Panteone 293, complementado com lettering a preto "REFER, EPE".</v>
          </cell>
          <cell r="D617" t="str">
            <v>un</v>
          </cell>
          <cell r="E617">
            <v>0</v>
          </cell>
        </row>
        <row r="618">
          <cell r="B618" t="str">
            <v>8.4.10</v>
          </cell>
          <cell r="C618" t="str">
            <v>Fornecimento e montagem de logotipo REFER, em poliester reforçado a fibra de vidro na cor Panteone 293-c electrificado a tubo néon, conforme especificações da norma REFER IT.CCA.002.02.</v>
          </cell>
          <cell r="D618" t="str">
            <v>un</v>
          </cell>
          <cell r="E618">
            <v>0</v>
          </cell>
        </row>
        <row r="619">
          <cell r="B619" t="str">
            <v>8.4.11</v>
          </cell>
          <cell r="C619" t="str">
            <v>Substituição de fixações danificadas com fitas abraçadeiras ou aparafusadas.</v>
          </cell>
          <cell r="D619" t="str">
            <v>un</v>
          </cell>
          <cell r="E619">
            <v>10</v>
          </cell>
          <cell r="F619">
            <v>18.75</v>
          </cell>
        </row>
        <row r="620">
          <cell r="B620" t="str">
            <v>8.4.12</v>
          </cell>
          <cell r="C620" t="str">
            <v>Substituição de pernas de sinalética de fixação suspensa.</v>
          </cell>
          <cell r="D620" t="str">
            <v>un</v>
          </cell>
          <cell r="E620">
            <v>1</v>
          </cell>
          <cell r="F620">
            <v>25</v>
          </cell>
        </row>
        <row r="621">
          <cell r="B621" t="str">
            <v>8.4.13</v>
          </cell>
          <cell r="C621" t="str">
            <v>Alteração de tipologia de fixação de painéis inteiros de sinalética de fixação em pórtico para fixação em bandeira.</v>
          </cell>
          <cell r="D621" t="str">
            <v>un</v>
          </cell>
          <cell r="E621">
            <v>1</v>
          </cell>
          <cell r="F621">
            <v>25</v>
          </cell>
        </row>
        <row r="622">
          <cell r="B622" t="str">
            <v>8.4.14</v>
          </cell>
          <cell r="C622" t="str">
            <v>Idem de fixação em pórtico para fixação em poste.</v>
          </cell>
          <cell r="D622" t="str">
            <v>un</v>
          </cell>
          <cell r="E622">
            <v>1</v>
          </cell>
          <cell r="F622">
            <v>25</v>
          </cell>
        </row>
        <row r="623">
          <cell r="B623" t="str">
            <v>8.4.15</v>
          </cell>
          <cell r="C623" t="str">
            <v>Idem de fixação suspensa para fixação em bandeira.</v>
          </cell>
          <cell r="D623" t="str">
            <v>un</v>
          </cell>
          <cell r="E623">
            <v>1</v>
          </cell>
          <cell r="F623">
            <v>25</v>
          </cell>
        </row>
        <row r="624">
          <cell r="B624" t="str">
            <v>8.4.16</v>
          </cell>
          <cell r="C624" t="str">
            <v>Fornecimento e aplicação de símbolo REFER em película opaca em resguardos laterais de abrigos de passageiros.</v>
          </cell>
          <cell r="D624" t="str">
            <v>un</v>
          </cell>
          <cell r="E624">
            <v>0</v>
          </cell>
        </row>
        <row r="625">
          <cell r="B625" t="str">
            <v>8.5</v>
          </cell>
          <cell r="C625" t="str">
            <v>VIDROS</v>
          </cell>
        </row>
        <row r="626">
          <cell r="B626" t="str">
            <v>8.5.1</v>
          </cell>
          <cell r="C626" t="str">
            <v>Fornecimento, substituição e montagem de vidros em áreas inferiores a 1m2, incluindo fornecimento de vidros e renovação de massas ou desmonte e montagem de respectivos bites em caixilharia metálica ou de madeira com 4mm.</v>
          </cell>
          <cell r="D626" t="str">
            <v>m2</v>
          </cell>
          <cell r="E626">
            <v>5</v>
          </cell>
          <cell r="F626">
            <v>125</v>
          </cell>
        </row>
        <row r="627">
          <cell r="B627" t="str">
            <v>8.5.2</v>
          </cell>
          <cell r="C627" t="str">
            <v>Idem, com 6mm</v>
          </cell>
          <cell r="D627" t="str">
            <v>m2</v>
          </cell>
          <cell r="E627">
            <v>1</v>
          </cell>
          <cell r="F627">
            <v>137.5</v>
          </cell>
        </row>
        <row r="628">
          <cell r="B628" t="str">
            <v>8.5.3</v>
          </cell>
          <cell r="C628" t="str">
            <v>Idem, com 8mm</v>
          </cell>
          <cell r="D628" t="str">
            <v>m2</v>
          </cell>
          <cell r="E628">
            <v>1</v>
          </cell>
          <cell r="F628">
            <v>137.5</v>
          </cell>
        </row>
        <row r="629">
          <cell r="B629" t="str">
            <v>8.5.4</v>
          </cell>
          <cell r="C629" t="str">
            <v>Idem, com 10mm</v>
          </cell>
          <cell r="D629" t="str">
            <v>m2</v>
          </cell>
          <cell r="E629">
            <v>1</v>
          </cell>
          <cell r="F629">
            <v>187.5</v>
          </cell>
        </row>
        <row r="630">
          <cell r="B630" t="str">
            <v>8.5.5</v>
          </cell>
          <cell r="C630" t="str">
            <v>Idem, com 4mm vidro fosco cruzado</v>
          </cell>
          <cell r="D630" t="str">
            <v>m2</v>
          </cell>
          <cell r="E630">
            <v>1</v>
          </cell>
          <cell r="F630">
            <v>187.5</v>
          </cell>
        </row>
        <row r="631">
          <cell r="B631" t="str">
            <v>8.5.6</v>
          </cell>
          <cell r="C631" t="str">
            <v>Idem, com 4mm vidro fosco crepe</v>
          </cell>
          <cell r="D631" t="str">
            <v>m2</v>
          </cell>
          <cell r="E631">
            <v>1</v>
          </cell>
          <cell r="F631">
            <v>187.5</v>
          </cell>
        </row>
        <row r="632">
          <cell r="B632" t="str">
            <v>8.5.7</v>
          </cell>
          <cell r="C632" t="str">
            <v>Idem, com vidro aramado</v>
          </cell>
          <cell r="D632" t="str">
            <v>m2</v>
          </cell>
          <cell r="E632">
            <v>1</v>
          </cell>
          <cell r="F632">
            <v>187.5</v>
          </cell>
        </row>
        <row r="633">
          <cell r="B633" t="str">
            <v>8.5.8</v>
          </cell>
          <cell r="C633" t="str">
            <v>Idem, com vidro martelado.</v>
          </cell>
          <cell r="D633" t="str">
            <v>m2</v>
          </cell>
          <cell r="E633">
            <v>1</v>
          </cell>
          <cell r="F633">
            <v>187.5</v>
          </cell>
        </row>
        <row r="634">
          <cell r="B634" t="str">
            <v>8.5.9</v>
          </cell>
          <cell r="C634" t="str">
            <v>Fornecimento, substituição e montagem de vidros em áreas superiores a 1m2, incluindo renovação de massas ou desmonte e montagem de respectivos bites em caixilharia metálica ou de madeira com 4mm.</v>
          </cell>
          <cell r="D634" t="str">
            <v>m2</v>
          </cell>
          <cell r="E634">
            <v>0</v>
          </cell>
        </row>
        <row r="635">
          <cell r="B635" t="str">
            <v>8.5.10</v>
          </cell>
          <cell r="C635" t="str">
            <v>Idem, com 6mm</v>
          </cell>
          <cell r="D635" t="str">
            <v>m2</v>
          </cell>
          <cell r="E635">
            <v>0</v>
          </cell>
        </row>
        <row r="636">
          <cell r="B636" t="str">
            <v>8.5.11</v>
          </cell>
          <cell r="C636" t="str">
            <v>Idem, com 8mm</v>
          </cell>
          <cell r="D636" t="str">
            <v>m2</v>
          </cell>
          <cell r="E636">
            <v>0</v>
          </cell>
        </row>
        <row r="637">
          <cell r="B637" t="str">
            <v>8.5.12</v>
          </cell>
          <cell r="C637" t="str">
            <v>Idem, com 10mm</v>
          </cell>
          <cell r="D637" t="str">
            <v>m2</v>
          </cell>
          <cell r="E637">
            <v>0</v>
          </cell>
        </row>
        <row r="638">
          <cell r="B638" t="str">
            <v>8.5.13</v>
          </cell>
          <cell r="C638" t="str">
            <v>Idem, com 4mm vidro fosco cruzado</v>
          </cell>
          <cell r="D638" t="str">
            <v>m2</v>
          </cell>
          <cell r="E638">
            <v>0</v>
          </cell>
        </row>
        <row r="639">
          <cell r="B639" t="str">
            <v>8.5.14</v>
          </cell>
          <cell r="C639" t="str">
            <v>Idem, com 4mm vidro fosco crepe</v>
          </cell>
          <cell r="D639" t="str">
            <v>m2</v>
          </cell>
          <cell r="E639">
            <v>0</v>
          </cell>
        </row>
        <row r="640">
          <cell r="B640" t="str">
            <v>8.5.15</v>
          </cell>
          <cell r="C640" t="str">
            <v>Idem, com vidro aramado</v>
          </cell>
          <cell r="D640" t="str">
            <v>m2</v>
          </cell>
          <cell r="E640">
            <v>0</v>
          </cell>
        </row>
        <row r="641">
          <cell r="B641" t="str">
            <v>8.5.16</v>
          </cell>
          <cell r="C641" t="str">
            <v>Idem, com vidro martelado.</v>
          </cell>
          <cell r="D641" t="str">
            <v>m2</v>
          </cell>
          <cell r="E641">
            <v>0</v>
          </cell>
        </row>
        <row r="642">
          <cell r="B642" t="str">
            <v>8.5.17</v>
          </cell>
          <cell r="C642" t="str">
            <v>Fornecimento, substituição e montagem de vidros laminados 4mm+4mm, em áreas inferiores a 1m2, incluindo renovação de massas ou desmonte e montagem de respectivos bites em caixilharia metálica ou de madeira.</v>
          </cell>
          <cell r="D642" t="str">
            <v>m2</v>
          </cell>
          <cell r="E642">
            <v>1</v>
          </cell>
          <cell r="F642">
            <v>187.5</v>
          </cell>
        </row>
        <row r="643">
          <cell r="B643" t="str">
            <v>8.5.18</v>
          </cell>
          <cell r="C643" t="str">
            <v>Idem, com 4mm+6mm</v>
          </cell>
          <cell r="D643" t="str">
            <v>m2</v>
          </cell>
          <cell r="E643">
            <v>1</v>
          </cell>
          <cell r="F643">
            <v>193.75</v>
          </cell>
        </row>
        <row r="644">
          <cell r="B644" t="str">
            <v>8.5.19</v>
          </cell>
          <cell r="C644" t="str">
            <v>Idem, com 4mm+8mm</v>
          </cell>
          <cell r="D644" t="str">
            <v>m2</v>
          </cell>
          <cell r="E644">
            <v>1</v>
          </cell>
          <cell r="F644">
            <v>187.5</v>
          </cell>
        </row>
        <row r="645">
          <cell r="B645" t="str">
            <v>8.5.20</v>
          </cell>
          <cell r="C645" t="str">
            <v>Idem, com 6mm+6mm</v>
          </cell>
          <cell r="D645" t="str">
            <v>m2</v>
          </cell>
          <cell r="E645">
            <v>1</v>
          </cell>
          <cell r="F645">
            <v>193.75</v>
          </cell>
        </row>
        <row r="646">
          <cell r="B646" t="str">
            <v>8.5.21</v>
          </cell>
          <cell r="C646" t="str">
            <v>Idem, com 6mm+8mm</v>
          </cell>
          <cell r="D646" t="str">
            <v>m2</v>
          </cell>
          <cell r="E646">
            <v>1</v>
          </cell>
          <cell r="F646">
            <v>200</v>
          </cell>
        </row>
        <row r="647">
          <cell r="B647" t="str">
            <v>8.5.22</v>
          </cell>
          <cell r="C647" t="str">
            <v>Fornecimento, substituição ou montagem de vidros laminados 4mm+4mm, em áreas superiores a 1m2, incluindo renovação de massas ou desmonte e montagem de respectivos bites em caixilharia metálica ou de madeira.</v>
          </cell>
          <cell r="D647" t="str">
            <v>m2</v>
          </cell>
          <cell r="E647">
            <v>1</v>
          </cell>
          <cell r="F647">
            <v>187.5</v>
          </cell>
        </row>
        <row r="648">
          <cell r="B648" t="str">
            <v>8.5.23</v>
          </cell>
          <cell r="C648" t="str">
            <v>Idem, com 4mm+6mm</v>
          </cell>
          <cell r="D648" t="str">
            <v>m2</v>
          </cell>
          <cell r="E648">
            <v>1</v>
          </cell>
          <cell r="F648">
            <v>193.75</v>
          </cell>
        </row>
        <row r="649">
          <cell r="B649" t="str">
            <v>8.5.24</v>
          </cell>
          <cell r="C649" t="str">
            <v>Idem, com 4mm+8mm</v>
          </cell>
          <cell r="D649" t="str">
            <v>m2</v>
          </cell>
          <cell r="E649">
            <v>1</v>
          </cell>
          <cell r="F649">
            <v>187.5</v>
          </cell>
        </row>
        <row r="650">
          <cell r="B650" t="str">
            <v>8.5.25</v>
          </cell>
          <cell r="C650" t="str">
            <v>Idem, com 6mm+6mm</v>
          </cell>
          <cell r="D650" t="str">
            <v>m2</v>
          </cell>
          <cell r="E650">
            <v>11</v>
          </cell>
          <cell r="F650">
            <v>193.75</v>
          </cell>
        </row>
        <row r="651">
          <cell r="B651" t="str">
            <v>8.5.26</v>
          </cell>
          <cell r="C651" t="str">
            <v>Idem, com 6mm+8mm</v>
          </cell>
          <cell r="D651" t="str">
            <v>m2</v>
          </cell>
          <cell r="E651">
            <v>1</v>
          </cell>
          <cell r="F651">
            <v>200</v>
          </cell>
        </row>
        <row r="652">
          <cell r="B652" t="str">
            <v>8.5.27</v>
          </cell>
          <cell r="C652" t="str">
            <v>Colocação de panéis de vidro temperado fosco com 10mm de espessura.</v>
          </cell>
          <cell r="D652" t="str">
            <v>m2</v>
          </cell>
          <cell r="E652">
            <v>1</v>
          </cell>
          <cell r="F652">
            <v>250</v>
          </cell>
        </row>
        <row r="653">
          <cell r="B653" t="str">
            <v>8.5.28</v>
          </cell>
          <cell r="C653" t="str">
            <v>Colocação de panéis de vidro temperado bronze com 10mm de espessura.</v>
          </cell>
          <cell r="D653" t="str">
            <v>m2</v>
          </cell>
          <cell r="E653">
            <v>1</v>
          </cell>
          <cell r="F653">
            <v>312.5</v>
          </cell>
        </row>
        <row r="654">
          <cell r="B654" t="str">
            <v>8.5.29</v>
          </cell>
          <cell r="C654" t="str">
            <v>Substituição ou montagem de folha de policarbonato compacto com 4 mm de espessura do tipo "Bayer - Makrolon AR - Clear 8099", ou equivalente, incluindo arestas boleadas, ferragens e todos os trabalhos complementares.</v>
          </cell>
          <cell r="D654" t="str">
            <v>m2</v>
          </cell>
          <cell r="E654">
            <v>1</v>
          </cell>
          <cell r="F654">
            <v>87.5</v>
          </cell>
        </row>
        <row r="655">
          <cell r="B655" t="str">
            <v>8.5.30</v>
          </cell>
          <cell r="C655" t="str">
            <v>Idem, com 6mm de espessura</v>
          </cell>
          <cell r="D655" t="str">
            <v>m2</v>
          </cell>
          <cell r="E655">
            <v>1</v>
          </cell>
          <cell r="F655">
            <v>104.55</v>
          </cell>
        </row>
        <row r="656">
          <cell r="B656" t="str">
            <v>8.5.31</v>
          </cell>
          <cell r="C656" t="str">
            <v>Idem, com 8mm de espessura</v>
          </cell>
          <cell r="D656" t="str">
            <v>m2</v>
          </cell>
          <cell r="E656">
            <v>1</v>
          </cell>
          <cell r="F656">
            <v>121.5</v>
          </cell>
        </row>
        <row r="657">
          <cell r="B657" t="str">
            <v>8.5.32</v>
          </cell>
          <cell r="C657" t="str">
            <v>Idem, com 10mm de espessura</v>
          </cell>
          <cell r="D657" t="str">
            <v>m2</v>
          </cell>
          <cell r="E657">
            <v>3</v>
          </cell>
          <cell r="F657">
            <v>140</v>
          </cell>
        </row>
        <row r="658">
          <cell r="B658" t="str">
            <v>8.5.33</v>
          </cell>
          <cell r="C658" t="str">
            <v>Fornecimento e colocação de pelicula autocolante fosca/opaca anti-reflectora em vidros, de acordo com a IT.CCA.005</v>
          </cell>
          <cell r="D658" t="str">
            <v>m2</v>
          </cell>
          <cell r="E658">
            <v>3</v>
          </cell>
          <cell r="F658">
            <v>22.5</v>
          </cell>
        </row>
        <row r="659">
          <cell r="B659" t="str">
            <v>8.5.34</v>
          </cell>
          <cell r="C659" t="str">
            <v>Fornecimento e aplicação de garras em aço inoxidável de suporte para painéis de vidro.</v>
          </cell>
          <cell r="D659" t="str">
            <v>un</v>
          </cell>
          <cell r="E659">
            <v>10</v>
          </cell>
          <cell r="F659">
            <v>15</v>
          </cell>
        </row>
        <row r="660">
          <cell r="B660" t="str">
            <v>8.5.35</v>
          </cell>
          <cell r="C660" t="str">
            <v>Substituição ou montagem de paineis de vidro duplo temprado e laminado em coberturas. Incluindo a chapa, renovação de massas ou desmonte e montagem de respectivos bites. em caixilharia metálica ou de madeira com espessura entre 10mm e 12mm.</v>
          </cell>
          <cell r="D660" t="str">
            <v>m2</v>
          </cell>
          <cell r="E660">
            <v>1</v>
          </cell>
          <cell r="F660">
            <v>175</v>
          </cell>
        </row>
        <row r="661">
          <cell r="B661" t="str">
            <v>8.5.36</v>
          </cell>
          <cell r="C661" t="str">
            <v>Fornecimento, substituição ou montagem de vidro laminado de controlo solar tipo Crisunid California da "Cricursa", côr Azul, com 17 mm de espessura com butiral azul e filme califórnia 50 microns, incluindo sistema de fixação em perfis metálicos Ø406,4mm pintados à côr Ral 9010 e aranhas de fixação (entre painéis de vidro), tipo "aranha" da Bellapart.</v>
          </cell>
          <cell r="D661" t="str">
            <v>m2</v>
          </cell>
          <cell r="E661">
            <v>0</v>
          </cell>
        </row>
        <row r="662">
          <cell r="B662" t="str">
            <v>8.5.37</v>
          </cell>
          <cell r="C662" t="str">
            <v>Fornecimento, substituição e montagem de vidros tipo vitral de diversas cores em áreas inferiores a 1m2, incluindo fornecimento de vidros e renovação de massas ou desmonte e montagem de respectivos bites em caixilharia metálica ou de madeira.</v>
          </cell>
          <cell r="D662" t="str">
            <v>m2</v>
          </cell>
          <cell r="E662">
            <v>0</v>
          </cell>
        </row>
        <row r="663">
          <cell r="B663" t="str">
            <v>8.6</v>
          </cell>
          <cell r="C663" t="str">
            <v>SERRALHARIAS</v>
          </cell>
        </row>
        <row r="664">
          <cell r="B664" t="str">
            <v>8.6.1</v>
          </cell>
          <cell r="C664" t="str">
            <v>Fornecimento e assentamento de caixilharia em janelas de batente em alumínio lacado do tipo "Extrusal - Sistema de batente A.062 RPT", ou equivalente, incluindo vidro duplo, ferragens, fixação, vedantes e todos os trabalhos complementares ao seu bom funcionamento.</v>
          </cell>
          <cell r="D664" t="str">
            <v>m2</v>
          </cell>
          <cell r="E664">
            <v>1</v>
          </cell>
          <cell r="F664">
            <v>312.5</v>
          </cell>
        </row>
        <row r="665">
          <cell r="B665" t="str">
            <v>8.6.2</v>
          </cell>
          <cell r="C665" t="str">
            <v>Idem, em janelas de correr em alumínio lacado do tipo "Extrusal - Sistema de correr B.055 RPT.</v>
          </cell>
          <cell r="D665" t="str">
            <v>m2</v>
          </cell>
          <cell r="E665">
            <v>1</v>
          </cell>
          <cell r="F665">
            <v>312.5</v>
          </cell>
        </row>
        <row r="666">
          <cell r="B666" t="str">
            <v>8.6.3</v>
          </cell>
          <cell r="C666" t="str">
            <v>Idem, em janelas de correr em alumínio lacado do tipo "Extrusal - Sistema de correr B.100 RPT.</v>
          </cell>
          <cell r="D666" t="str">
            <v>m2</v>
          </cell>
          <cell r="E666">
            <v>1</v>
          </cell>
          <cell r="F666">
            <v>312.5</v>
          </cell>
        </row>
        <row r="667">
          <cell r="B667" t="str">
            <v>8.6.4</v>
          </cell>
          <cell r="C667" t="str">
            <v>Idem, em portas em alumínio lacado do tipo "Extrusal - Sistema de portas A.055 RPT.</v>
          </cell>
          <cell r="D667" t="str">
            <v>m2</v>
          </cell>
          <cell r="E667">
            <v>5</v>
          </cell>
          <cell r="F667">
            <v>312.5</v>
          </cell>
        </row>
        <row r="668">
          <cell r="B668" t="str">
            <v>8.6.5</v>
          </cell>
          <cell r="C668" t="str">
            <v>Execução de vãos fixos em caixilharia de perfis de aço lacado a cor  tipo Secco Sistemi para montagem com soldadura afagada, com vidro de segurança 66.1, incluindo bits, vedantes, dobradiças, fechaduras, puxadores, restantes ferragens e todos os meios necessários à sua execução.</v>
          </cell>
          <cell r="D668" t="str">
            <v>m2</v>
          </cell>
          <cell r="E668">
            <v>0</v>
          </cell>
        </row>
        <row r="669">
          <cell r="B669" t="str">
            <v>8.6.6</v>
          </cell>
          <cell r="C669" t="str">
            <v>Idem em vãos móveis.</v>
          </cell>
          <cell r="D669" t="str">
            <v>m2</v>
          </cell>
          <cell r="E669">
            <v>0</v>
          </cell>
        </row>
        <row r="670">
          <cell r="B670" t="str">
            <v>8.6.7</v>
          </cell>
          <cell r="C670" t="str">
            <v>Fornecimento e assentamento de caixilharia em perfis de PVC de 70mm, do tipo "Caixiave", ou equivalente, em portas e janelas, incluindo vidro duplo laminado 6mm+6mm, vedantes TPE, ferragens de elevado desempenho e todos os trabalhos complementares.</v>
          </cell>
          <cell r="D670" t="str">
            <v>m2</v>
          </cell>
          <cell r="E670">
            <v>0</v>
          </cell>
        </row>
        <row r="671">
          <cell r="B671" t="str">
            <v>8.6.8</v>
          </cell>
          <cell r="C671" t="str">
            <v>Fornecimento e colocação de divisória amovível com 0.07m de espessura em estrutura de alumínio e painel de madeira de mogno, incluindo vidro duplo a meia altura e isolamento em lã de rocha.</v>
          </cell>
          <cell r="D671" t="str">
            <v>m2</v>
          </cell>
          <cell r="E671">
            <v>0</v>
          </cell>
        </row>
        <row r="672">
          <cell r="B672" t="str">
            <v>8.6.9</v>
          </cell>
          <cell r="C672" t="str">
            <v>Idem, em alumínio lacado</v>
          </cell>
          <cell r="D672" t="str">
            <v>m2</v>
          </cell>
          <cell r="E672">
            <v>0</v>
          </cell>
        </row>
        <row r="673">
          <cell r="B673" t="str">
            <v>8.6.10</v>
          </cell>
          <cell r="C673" t="str">
            <v>Fornecimento e aplicação de cabine com estrutura em alumínio lacado e painéis em acrílico, incluindo acessórios de fixação e isolamento.</v>
          </cell>
          <cell r="D673" t="str">
            <v>m2</v>
          </cell>
          <cell r="E673">
            <v>1</v>
          </cell>
          <cell r="F673">
            <v>220.7</v>
          </cell>
        </row>
        <row r="674">
          <cell r="B674" t="str">
            <v>8.6.11</v>
          </cell>
          <cell r="C674" t="str">
            <v>Fornecimento e assentamento de caixilharia de ferro em janelas, incluindo aro, ferragens e vidro de 6mm, metalização e pintura.</v>
          </cell>
          <cell r="D674" t="str">
            <v>m2</v>
          </cell>
          <cell r="E674">
            <v>0</v>
          </cell>
        </row>
        <row r="675">
          <cell r="B675" t="str">
            <v>8.6.12</v>
          </cell>
          <cell r="C675" t="str">
            <v>Fornecimento e assentamento de portas em ferro chapeadas numa face de 1 batente, incluindo aro, ferragens, fechadura e metalização.</v>
          </cell>
          <cell r="D675" t="str">
            <v>m2</v>
          </cell>
          <cell r="E675">
            <v>2</v>
          </cell>
          <cell r="F675">
            <v>162.5</v>
          </cell>
        </row>
        <row r="676">
          <cell r="B676" t="str">
            <v>8.6.13</v>
          </cell>
          <cell r="C676" t="str">
            <v>Idem, com 2 batentes</v>
          </cell>
          <cell r="D676" t="str">
            <v>m2</v>
          </cell>
          <cell r="E676">
            <v>1</v>
          </cell>
          <cell r="F676">
            <v>225</v>
          </cell>
        </row>
        <row r="677">
          <cell r="B677" t="str">
            <v>8.6.14</v>
          </cell>
          <cell r="C677" t="str">
            <v>Fornecimento e assentamento de porta em chapa de aço com 2,5mm de espessura em cada face, soldada a ambas as faces de um engradado constituído por 5 perfis RHS 40x40x4 na horizontal e 3 perfis na vertical, incluindo fechadura de segurança soldada ao engradado, com duas trancas, ferragens em aço soldado ao engradado, puxador em tubo, metalização, restantes acessórios e pintura a tinta de esmalte.</v>
          </cell>
          <cell r="D677" t="str">
            <v>m2</v>
          </cell>
          <cell r="E677">
            <v>1</v>
          </cell>
          <cell r="F677">
            <v>262.5</v>
          </cell>
        </row>
        <row r="678">
          <cell r="B678" t="str">
            <v>8.6.15</v>
          </cell>
          <cell r="C678" t="str">
            <v>Fornecimento e colocação de portinholas de quadros elétricos ou contadores de água, metalizados com fechadura.</v>
          </cell>
          <cell r="D678" t="str">
            <v>m2</v>
          </cell>
          <cell r="E678">
            <v>1</v>
          </cell>
          <cell r="F678">
            <v>71.900000000000006</v>
          </cell>
        </row>
        <row r="679">
          <cell r="B679" t="str">
            <v>8.6.16</v>
          </cell>
          <cell r="C679" t="str">
            <v>Fornecimento e colocação de caixa com portinholas para quadros elétricos ou contadores de água, metalizados com fechadura.</v>
          </cell>
          <cell r="D679" t="str">
            <v>m2</v>
          </cell>
          <cell r="E679">
            <v>1</v>
          </cell>
          <cell r="F679">
            <v>75</v>
          </cell>
        </row>
        <row r="680">
          <cell r="B680" t="str">
            <v>8.6.17</v>
          </cell>
          <cell r="C680" t="str">
            <v>Idem, em PVC.</v>
          </cell>
          <cell r="D680" t="str">
            <v>m2</v>
          </cell>
          <cell r="E680">
            <v>1</v>
          </cell>
          <cell r="F680">
            <v>43.75</v>
          </cell>
        </row>
        <row r="681">
          <cell r="B681" t="str">
            <v>8.6.18</v>
          </cell>
          <cell r="C681" t="str">
            <v>Fornecimento e colocação de perfis em aço laminado a quente (tipo UPN, L, LD, T, etc,) em aplicações estruturais, incluindo montagem (cortes/fixações, soldaduras, etc…)</v>
          </cell>
          <cell r="D681" t="str">
            <v>kg</v>
          </cell>
          <cell r="E681">
            <v>200</v>
          </cell>
          <cell r="F681">
            <v>2.9</v>
          </cell>
        </row>
        <row r="682">
          <cell r="B682" t="str">
            <v>8.6.19</v>
          </cell>
          <cell r="C682" t="str">
            <v xml:space="preserve">Fornecimento e montagem de guardas em tubo de ferro galvanizado de Ø40mm, a dois perfis horizontais, com prumos de suporte espaçados a 3m, incluindo fixação com parafusos e bucha metálica M10 e pintura a duas cores sobre primário adequado. </v>
          </cell>
          <cell r="D682" t="str">
            <v>m</v>
          </cell>
          <cell r="E682">
            <v>1</v>
          </cell>
          <cell r="F682">
            <v>78.650000000000006</v>
          </cell>
        </row>
        <row r="683">
          <cell r="B683" t="str">
            <v>8.6.20</v>
          </cell>
          <cell r="C683" t="str">
            <v xml:space="preserve">Fornecimento e montagem de guardas em tubo de ferro galvanizado de Ø50mm, a três perfis horizontais, com prumos de suporte espaçados a 3m, incluindo fixação com parafusos e bucha metálica M10 e pintura a duas cores sobre primário adequado. </v>
          </cell>
          <cell r="D683" t="str">
            <v>m</v>
          </cell>
          <cell r="E683">
            <v>1</v>
          </cell>
          <cell r="F683">
            <v>95.25</v>
          </cell>
        </row>
        <row r="684">
          <cell r="B684" t="str">
            <v>8.6.21</v>
          </cell>
          <cell r="C684" t="str">
            <v>Fornecimento e aplicação de grade metálica de protecção (para protecção de vãos), constituida por tubo quadrado RHS 20mmx20mmx2mm, com espaçamento máximo de 0,15m, incluindo metalização, fixação com bucha metálica e pintura a tinta de esmalte RAL 7037.</v>
          </cell>
          <cell r="D684" t="str">
            <v>m2</v>
          </cell>
          <cell r="E684">
            <v>1</v>
          </cell>
          <cell r="F684">
            <v>73.150000000000006</v>
          </cell>
        </row>
        <row r="685">
          <cell r="B685" t="str">
            <v>8.6.22</v>
          </cell>
          <cell r="C685" t="str">
            <v>Fornecimento e montagem de guarda metálica em plataformas de passageiros, de acordo com IT_CCA_009, incluindo galvanização, pintura e todos os trabalhos referentes asua execução.</v>
          </cell>
          <cell r="D685" t="str">
            <v>m</v>
          </cell>
          <cell r="E685">
            <v>15</v>
          </cell>
          <cell r="F685">
            <v>93.75</v>
          </cell>
        </row>
        <row r="686">
          <cell r="B686" t="str">
            <v>8.6.23</v>
          </cell>
          <cell r="C686" t="str">
            <v>Fornecimento e montagem de corrimão em  guarda metálica em plataformas de passageiros, de acordo com IT_CCA_009, incluindo galvanização, pintura e todos os trabalhos referentes asua execução.</v>
          </cell>
          <cell r="D686" t="str">
            <v>m</v>
          </cell>
          <cell r="E686">
            <v>1</v>
          </cell>
          <cell r="F686">
            <v>42.5</v>
          </cell>
        </row>
        <row r="687">
          <cell r="B687" t="str">
            <v>8.6.24</v>
          </cell>
          <cell r="C687" t="str">
            <v>Fornecimento e aplicação de guarda-corpos com 0,90m de altura em aço inoxidável 316, composto por perfil tubular de 50mm de altura de diâmetro, 3 perfis tubulares equidistantes de 20mm de diâmetro, prumos metálicos compostos por duas barras paralelas 5x40mm e bolacha 65x55x5mm, incluindo todos os meios necessários à sua execução.</v>
          </cell>
          <cell r="D687" t="str">
            <v>m</v>
          </cell>
          <cell r="E687">
            <v>0</v>
          </cell>
        </row>
        <row r="688">
          <cell r="B688" t="str">
            <v>8.6.25</v>
          </cell>
          <cell r="C688" t="str">
            <v>Fornecimento e aplicação de guarda-corpos com 0,90m de altura em aço galvanizado e pintado a esmalte sintético, composto por perfil tubular de 50mm de altura de diâmetro, 3 perfis tubulares equidistantes de 20mm de diâmetro, prumos metálicos compostos por duas barras paralelas 5x40mm e bolacha 65x55x5mm, incluindo todos os meios necessários à sua execução.</v>
          </cell>
          <cell r="D688" t="str">
            <v>m</v>
          </cell>
          <cell r="E688">
            <v>0</v>
          </cell>
        </row>
        <row r="689">
          <cell r="B689" t="str">
            <v>8.6.26</v>
          </cell>
          <cell r="C689" t="str">
            <v>Fornecimento, aplicação e execução de artefactos executados com perfis comerciais de aço, incluindo soldas, rebites, parafusos e outras fixações, galvanização e pintura a esmalte sintético.</v>
          </cell>
          <cell r="D689" t="str">
            <v>kg</v>
          </cell>
          <cell r="E689">
            <v>200</v>
          </cell>
          <cell r="F689">
            <v>4.375</v>
          </cell>
        </row>
        <row r="690">
          <cell r="B690" t="str">
            <v>8.6.27</v>
          </cell>
          <cell r="C690" t="str">
            <v>Fornecimento e assentamento de vãos Corta-Fogo, incluindo ferragens tipo Glutz ou equivalente, barras anti panico, pintura e todos os trabalhos acessórios e complementares.</v>
          </cell>
          <cell r="D690" t="str">
            <v>m2</v>
          </cell>
          <cell r="E690">
            <v>1</v>
          </cell>
          <cell r="F690">
            <v>250</v>
          </cell>
        </row>
        <row r="691">
          <cell r="B691" t="str">
            <v>8.6.28</v>
          </cell>
          <cell r="C691" t="str">
            <v xml:space="preserve">Fornecimento e assentamento de barras antipânico incluindo fechadura com lingueta basculante lateral. Abertura pelo exterior através de canhão redondo Ø 40 mm. </v>
          </cell>
          <cell r="D691" t="str">
            <v>un</v>
          </cell>
          <cell r="E691">
            <v>1</v>
          </cell>
          <cell r="F691">
            <v>125</v>
          </cell>
        </row>
        <row r="692">
          <cell r="B692" t="str">
            <v>8.6.29</v>
          </cell>
          <cell r="C692" t="str">
            <v>Fornecimento e colocação de corrimãos em tubo de aço metalizado com 50mm de diametro, incluindo assentamento soldaduras e todos os trabalhos preparatórios e complementares necessários para o efeito</v>
          </cell>
          <cell r="D692" t="str">
            <v>m</v>
          </cell>
          <cell r="E692">
            <v>5</v>
          </cell>
          <cell r="F692">
            <v>100</v>
          </cell>
        </row>
        <row r="693">
          <cell r="B693" t="str">
            <v>8.6.30</v>
          </cell>
          <cell r="C693" t="str">
            <v>Fornecimento e colocação de corrimãos em tubo de aço Inox com 50mm de diâmetro, incluindo assentamento soldaduras e todos os trabalhos preparatórios e complementares necessários para o efeito</v>
          </cell>
          <cell r="D693" t="str">
            <v>m</v>
          </cell>
          <cell r="E693">
            <v>5</v>
          </cell>
          <cell r="F693">
            <v>68.75</v>
          </cell>
        </row>
        <row r="694">
          <cell r="B694" t="str">
            <v>8.6.31</v>
          </cell>
          <cell r="C694" t="str">
            <v>Fornecimento, substituição ou montagem de portas em vidro laminado tipo Crisund Califórnia da Cricursa - côr Azul, 17mm de espessura, incluindo ferragens tipo Gama Atlântico - Covina, puxadores em aço inox escovado tipo Glutz - refª 5765-5766 Ø 31 e 50mm, todos os trabalhos acessórios e complementares,</v>
          </cell>
          <cell r="D694" t="str">
            <v>m2</v>
          </cell>
          <cell r="E694">
            <v>1</v>
          </cell>
          <cell r="F694">
            <v>356.25</v>
          </cell>
        </row>
        <row r="695">
          <cell r="B695" t="str">
            <v>8.6.32</v>
          </cell>
          <cell r="C695" t="str">
            <v>Fornecimento e aplicação de paineis em barreiras acústicas, incluindo estrutura.</v>
          </cell>
          <cell r="D695" t="str">
            <v>m2</v>
          </cell>
          <cell r="E695">
            <v>0</v>
          </cell>
        </row>
        <row r="696">
          <cell r="B696" t="str">
            <v>8.6.33</v>
          </cell>
          <cell r="C696" t="str">
            <v>Reparação de paineis em barreiras acústicas com grelhas de alumínio e isolamento de lâ de rocha, incluindo estrutura, colocação de peças em falta e todos os trabalhos necessários à sua realização.</v>
          </cell>
          <cell r="D696" t="str">
            <v>m2</v>
          </cell>
          <cell r="E696">
            <v>0</v>
          </cell>
        </row>
        <row r="697">
          <cell r="B697" t="str">
            <v>8.6.34</v>
          </cell>
          <cell r="C697" t="str">
            <v>Fornecimento e montagem de guarda metálica em plataformas de passageiros, com 1,00m de altura, composta por 2 tubos retangulares horizontais 80x40mm afastados a 0,90m, e por tubos retangulares verticais 60x30mm afastados a 0,09m. A fixação ao solo é feito por prumos afastrados a 1,50m constituídos por tubo retangular com 80x40mm, assente em chapa com 150x120x10mm. Toda a a guarda será galvanizada, pintada e todos os trabalhos referentes à sua execução.</v>
          </cell>
          <cell r="D697" t="str">
            <v>m</v>
          </cell>
          <cell r="E697">
            <v>0</v>
          </cell>
        </row>
        <row r="698">
          <cell r="B698" t="str">
            <v>8.7</v>
          </cell>
          <cell r="C698" t="str">
            <v>MOBILIÁRIO URBANO</v>
          </cell>
        </row>
        <row r="699">
          <cell r="B699" t="str">
            <v>8.7.1</v>
          </cell>
          <cell r="C699" t="str">
            <v>Fornecimento e aplicação de estrados em madeira envernizada para bancos de passageiros.</v>
          </cell>
          <cell r="D699" t="str">
            <v>m2</v>
          </cell>
          <cell r="E699">
            <v>1</v>
          </cell>
          <cell r="F699">
            <v>56.4</v>
          </cell>
        </row>
        <row r="700">
          <cell r="B700" t="str">
            <v>8.7.2</v>
          </cell>
          <cell r="C700" t="str">
            <v>Fornecimento e montagem de bancos com estrutura em inox e revestimento a chapa perfurada, tipo REFER.</v>
          </cell>
          <cell r="D700" t="str">
            <v>un</v>
          </cell>
          <cell r="E700">
            <v>1</v>
          </cell>
          <cell r="F700">
            <v>543.75</v>
          </cell>
        </row>
        <row r="701">
          <cell r="B701" t="str">
            <v>8.7.3</v>
          </cell>
          <cell r="C701" t="str">
            <v>Fornecimento e montagem de papeleira cilíndrica com estrutura em inox e revestimento a chapa perfurada em inox, tipo REFER.</v>
          </cell>
          <cell r="D701" t="str">
            <v>un</v>
          </cell>
          <cell r="E701">
            <v>1</v>
          </cell>
          <cell r="F701">
            <v>214.4</v>
          </cell>
        </row>
        <row r="702">
          <cell r="B702" t="str">
            <v>8.7.4</v>
          </cell>
          <cell r="C702" t="str">
            <v>Fornecimento e montagem de papeleira cilíndrica com estrutura em aço zincado e revestimento a chapa perfurada, com pintura integral com resina de poliéster.</v>
          </cell>
          <cell r="D702" t="str">
            <v>un</v>
          </cell>
          <cell r="E702">
            <v>1</v>
          </cell>
          <cell r="F702">
            <v>106.9</v>
          </cell>
        </row>
        <row r="703">
          <cell r="B703" t="str">
            <v>8.7.5</v>
          </cell>
          <cell r="C703" t="str">
            <v>Fornecimento e montagem de balde de papeleira em cilíndrica com aro tubular e revestimento a chapa perfurada em inox, a aplicar em suporte existente.</v>
          </cell>
          <cell r="D703" t="str">
            <v>un</v>
          </cell>
          <cell r="E703">
            <v>1</v>
          </cell>
          <cell r="F703">
            <v>231.25</v>
          </cell>
        </row>
        <row r="704">
          <cell r="B704" t="str">
            <v>8.7.6</v>
          </cell>
          <cell r="C704" t="str">
            <v>Fornecimento e montagem de papeleira em meia lua com estrutura em inox e revestimento a chapa perfurada em inox, tipo REFER.</v>
          </cell>
          <cell r="D704" t="str">
            <v>un</v>
          </cell>
          <cell r="E704">
            <v>1</v>
          </cell>
          <cell r="F704">
            <v>268.75</v>
          </cell>
        </row>
        <row r="705">
          <cell r="B705" t="str">
            <v>8.7.7</v>
          </cell>
          <cell r="C705" t="str">
            <v>Fornecimento e montagem de papeleira em meia lua com estrutura em aço zincado e revestimento a chapa perfurada, com pintura integral com resina de poliéster.</v>
          </cell>
          <cell r="D705" t="str">
            <v>un</v>
          </cell>
          <cell r="E705">
            <v>1</v>
          </cell>
          <cell r="F705">
            <v>125</v>
          </cell>
        </row>
        <row r="706">
          <cell r="B706" t="str">
            <v>8.7.8</v>
          </cell>
          <cell r="C706" t="str">
            <v>Desempeno e reparação de bancos em chapa de aço inox perfurado.</v>
          </cell>
          <cell r="D706" t="str">
            <v>un</v>
          </cell>
          <cell r="E706">
            <v>1</v>
          </cell>
          <cell r="F706">
            <v>62.5</v>
          </cell>
        </row>
        <row r="707">
          <cell r="B707" t="str">
            <v>8.7.9</v>
          </cell>
          <cell r="C707" t="str">
            <v>Fornecimento e aplicação de módulos de estacionamento individual de bicicletas, em U ou com dois pontos de apoio, em aço metalizado com acabamento em cinza forja, incluindo fixações e todos os meios e trabalhos necessários à sua execução.</v>
          </cell>
          <cell r="D707" t="str">
            <v>un</v>
          </cell>
          <cell r="E707">
            <v>1</v>
          </cell>
          <cell r="F707">
            <v>243.75</v>
          </cell>
        </row>
        <row r="708">
          <cell r="B708" t="str">
            <v>8.7.10</v>
          </cell>
          <cell r="C708" t="str">
            <v>Fornecimento e aplicação de módulos de estacionamento para 4 bicicletas em espiral, em aço metalizado com acabamento em cinza forja, incluindo fixações e todos os meios e trabalhos necessários à sua execução.</v>
          </cell>
          <cell r="D708" t="str">
            <v>un</v>
          </cell>
          <cell r="E708">
            <v>0</v>
          </cell>
        </row>
        <row r="709">
          <cell r="B709" t="str">
            <v>8.7.11</v>
          </cell>
          <cell r="C709" t="str">
            <v>Fornecimento e aplicação de módulos de estacionamento para 8 bicicletas em espiral, em aço metalizado com acabamento em cinza forja, incluindo fixações e todos os meios e trabalhos necessários à sua execução.</v>
          </cell>
          <cell r="D709" t="str">
            <v>un</v>
          </cell>
          <cell r="E709">
            <v>0</v>
          </cell>
        </row>
        <row r="710">
          <cell r="B710" t="str">
            <v>8.7.12</v>
          </cell>
          <cell r="C710" t="str">
            <v>Fornecimento e aplicação de cinzeiro de fixação à parede em aço inoxidável.</v>
          </cell>
          <cell r="D710" t="str">
            <v>un</v>
          </cell>
          <cell r="E710">
            <v>1</v>
          </cell>
          <cell r="F710">
            <v>112.5</v>
          </cell>
        </row>
        <row r="711">
          <cell r="B711" t="str">
            <v>8.7.13</v>
          </cell>
          <cell r="C711" t="str">
            <v>Fornecimento e aplicaçao de papeleira em polietileno de alta densidade, com 50l de capacidade, de fixação em prumo ou em parede na cor cinzenta</v>
          </cell>
          <cell r="D711" t="str">
            <v>un</v>
          </cell>
          <cell r="E711">
            <v>5</v>
          </cell>
          <cell r="F711">
            <v>106.25</v>
          </cell>
        </row>
        <row r="712">
          <cell r="B712" t="str">
            <v>8.7.14</v>
          </cell>
          <cell r="C712" t="str">
            <v>Fornecimento e aplicação de pilaretes fixos em tubo de aço e topo em ferro fundido com 76mm de diâmetro e 0,90m acima do pavimento, metalizado e pintado a tinta de esmalte antracite escuro, incluindo abertura para maciço, execução de maciço em betão C12/16 com dimensões 0,3x0,3x0,2m, reposição de pavimento, e todos os meios necessários à sua execução.</v>
          </cell>
          <cell r="D712" t="str">
            <v>un</v>
          </cell>
          <cell r="E712">
            <v>5</v>
          </cell>
          <cell r="F712">
            <v>112.5</v>
          </cell>
        </row>
        <row r="713">
          <cell r="B713" t="str">
            <v>8.7.15</v>
          </cell>
          <cell r="C713" t="str">
            <v>Idem, em barra dobrada em formato "U".</v>
          </cell>
          <cell r="D713" t="str">
            <v>un</v>
          </cell>
          <cell r="E713">
            <v>1</v>
          </cell>
          <cell r="F713">
            <v>65</v>
          </cell>
        </row>
        <row r="714">
          <cell r="B714" t="str">
            <v>8.7.16</v>
          </cell>
          <cell r="C714" t="str">
            <v xml:space="preserve">Fornecimento e aplicação de pilaretes rebatíveis em tubo de aço e topo em ferro fundido com 76mm de diâmetro e 0,90m acima do pavimento, metalizado e pintado a tinta de esmalte antracite escuro, incluindo abertura para maciço, execução de maciço em betão C12/16 com dimensões 0,3x0,3x0,2m, reposição de pavimento, fornecimento de chaves, e todos os meios necessários à sua execução.
</v>
          </cell>
          <cell r="D714" t="str">
            <v>un</v>
          </cell>
          <cell r="E714">
            <v>5</v>
          </cell>
          <cell r="F714">
            <v>262.5</v>
          </cell>
        </row>
        <row r="715">
          <cell r="B715" t="str">
            <v>8.7.17</v>
          </cell>
          <cell r="C715" t="str">
            <v>Idem, em barra dobrada em formato "U".</v>
          </cell>
          <cell r="D715" t="str">
            <v>un</v>
          </cell>
          <cell r="E715">
            <v>1</v>
          </cell>
          <cell r="F715">
            <v>175</v>
          </cell>
        </row>
        <row r="716">
          <cell r="B716" t="str">
            <v>8.7.18</v>
          </cell>
          <cell r="C716" t="str">
            <v>Fornecimento e aplicação de sistema anti pombo com 3 espigões em aço inoxidável sobre base plástica em fachadas de edifícios.</v>
          </cell>
          <cell r="D716" t="str">
            <v>m</v>
          </cell>
          <cell r="E716">
            <v>20</v>
          </cell>
          <cell r="F716">
            <v>21.9</v>
          </cell>
        </row>
        <row r="717">
          <cell r="B717" t="str">
            <v>8.7.19</v>
          </cell>
          <cell r="C717" t="str">
            <v>Fornecimento e aplicação de pilaretes rebatíveis em tubo de aço e topo em ferro fundido com 76mm de diâmetro e 0,90m acima do pavimento, metalizado e pintado a tinta de esmalte antracite escuro, incluindo abertura para maciço, execução de maciço em betão C12/16 com dimensões 0,3x0,3x0,2m, reposição de pavimento, fornecimento de chaves, e todos os meios necessários à sua execução.</v>
          </cell>
          <cell r="D717" t="str">
            <v>un</v>
          </cell>
          <cell r="E717">
            <v>1</v>
          </cell>
          <cell r="F717">
            <v>275</v>
          </cell>
        </row>
        <row r="718">
          <cell r="B718" t="str">
            <v>8.7.20</v>
          </cell>
          <cell r="C718" t="str">
            <v>Fornecimento e aplicação de pilaretes metálico limitadores  de estacionamento tipo "PORTO", acabamento a definir.</v>
          </cell>
          <cell r="D718" t="str">
            <v>un</v>
          </cell>
          <cell r="E718">
            <v>0</v>
          </cell>
        </row>
        <row r="719">
          <cell r="B719" t="str">
            <v>8.7.21</v>
          </cell>
          <cell r="C719" t="str">
            <v>Fornecimento e aplicação de pilaretes metálico limitadores de estacionamento tipo "PORTO", amovíveis, acabamento a definir.</v>
          </cell>
          <cell r="D719" t="str">
            <v>un</v>
          </cell>
          <cell r="E719">
            <v>0</v>
          </cell>
        </row>
        <row r="720">
          <cell r="B720">
            <v>9</v>
          </cell>
          <cell r="C720" t="str">
            <v>PINTURAS (inclui a gestão dos resíduos resultantes do processo de pintura, com a devida triagem, recolha, transporte, armazenamento preliminar e encaminhamento a destino final licenciado).</v>
          </cell>
        </row>
        <row r="721">
          <cell r="B721" t="str">
            <v>9.1</v>
          </cell>
          <cell r="C721" t="str">
            <v>DE PAREDES E TECTOS</v>
          </cell>
        </row>
        <row r="722">
          <cell r="B722" t="str">
            <v>9.1.1</v>
          </cell>
          <cell r="C722" t="str">
            <v>Fornecimento e aplicação de 2 demão de tinta de água de caractertisticas anti-fungicas, incluindo preparação de superficies, 1 demão de primário da mesma base e todos os trabalhos complementares.</v>
          </cell>
          <cell r="D722" t="str">
            <v>m2</v>
          </cell>
          <cell r="E722">
            <v>1000</v>
          </cell>
          <cell r="F722">
            <v>6.5</v>
          </cell>
        </row>
        <row r="723">
          <cell r="B723" t="str">
            <v>9.1.2</v>
          </cell>
          <cell r="C723" t="str">
            <v>Fornecimento e aplicação de 2 demão de tinta plástica, incluindo preparação de superficies, 1 demão de primário da mesma base e todos os trabalhos complementares, numa área de pintura até 100m2.</v>
          </cell>
          <cell r="D723" t="str">
            <v>m2</v>
          </cell>
          <cell r="E723">
            <v>500</v>
          </cell>
          <cell r="F723">
            <v>5.65</v>
          </cell>
        </row>
        <row r="724">
          <cell r="B724" t="str">
            <v>9.1.3</v>
          </cell>
          <cell r="C724" t="str">
            <v>Idem, tinta de esmalte aquoso</v>
          </cell>
          <cell r="D724" t="str">
            <v>m2</v>
          </cell>
          <cell r="E724">
            <v>50</v>
          </cell>
          <cell r="F724">
            <v>6.15</v>
          </cell>
        </row>
        <row r="725">
          <cell r="B725" t="str">
            <v>9.1.4</v>
          </cell>
          <cell r="C725" t="str">
            <v>Idem, tinta membranosa (borracha)</v>
          </cell>
          <cell r="D725" t="str">
            <v>m2</v>
          </cell>
          <cell r="E725">
            <v>1</v>
          </cell>
          <cell r="F725">
            <v>8.15</v>
          </cell>
        </row>
        <row r="726">
          <cell r="B726" t="str">
            <v>9.1.5</v>
          </cell>
          <cell r="C726" t="str">
            <v>Idem, tinta texturada</v>
          </cell>
          <cell r="D726" t="str">
            <v>m2</v>
          </cell>
          <cell r="E726">
            <v>100</v>
          </cell>
          <cell r="F726">
            <v>9.4</v>
          </cell>
        </row>
        <row r="727">
          <cell r="B727" t="str">
            <v>9.1.6</v>
          </cell>
          <cell r="C727" t="str">
            <v>Idem, tinta karapas</v>
          </cell>
          <cell r="D727" t="str">
            <v>m2</v>
          </cell>
          <cell r="E727">
            <v>5</v>
          </cell>
          <cell r="F727">
            <v>9</v>
          </cell>
        </row>
        <row r="728">
          <cell r="B728" t="str">
            <v>9.1.7</v>
          </cell>
          <cell r="C728" t="str">
            <v>Idem, tinta texturada tipo "tartaruguinha"</v>
          </cell>
          <cell r="D728" t="str">
            <v>m2</v>
          </cell>
          <cell r="E728">
            <v>5</v>
          </cell>
          <cell r="F728">
            <v>9.75</v>
          </cell>
        </row>
        <row r="729">
          <cell r="B729" t="str">
            <v>9.1.8</v>
          </cell>
          <cell r="C729" t="str">
            <v>Fornecimento e aplicação de 2 demão de tinta plástica, incluindo preparação de superficies, 1 demão de primário da mesma base e todos os trabalhos complementares, numa área de pintura superior a 100m2.</v>
          </cell>
          <cell r="D729" t="str">
            <v>m2</v>
          </cell>
          <cell r="E729">
            <v>700</v>
          </cell>
          <cell r="F729">
            <v>5.65</v>
          </cell>
        </row>
        <row r="730">
          <cell r="B730" t="str">
            <v>9.1.9</v>
          </cell>
          <cell r="C730" t="str">
            <v>Idem, tinta de esmalte aquoso</v>
          </cell>
          <cell r="D730" t="str">
            <v>m2</v>
          </cell>
          <cell r="E730">
            <v>0</v>
          </cell>
        </row>
        <row r="731">
          <cell r="B731" t="str">
            <v>9.1.10</v>
          </cell>
          <cell r="C731" t="str">
            <v>Idem, tinta membranosa (borracha)</v>
          </cell>
          <cell r="D731" t="str">
            <v>m2</v>
          </cell>
          <cell r="E731">
            <v>0</v>
          </cell>
        </row>
        <row r="732">
          <cell r="B732" t="str">
            <v>9.1.11</v>
          </cell>
          <cell r="C732" t="str">
            <v>Idem, tinta texturada</v>
          </cell>
          <cell r="D732" t="str">
            <v>m2</v>
          </cell>
          <cell r="E732">
            <v>150</v>
          </cell>
          <cell r="F732">
            <v>9.4</v>
          </cell>
        </row>
        <row r="733">
          <cell r="B733" t="str">
            <v>9.1.12</v>
          </cell>
          <cell r="C733" t="str">
            <v>Idem, tinta karapas</v>
          </cell>
          <cell r="D733" t="str">
            <v>m2</v>
          </cell>
          <cell r="E733">
            <v>0</v>
          </cell>
        </row>
        <row r="734">
          <cell r="B734" t="str">
            <v>9.1.13</v>
          </cell>
          <cell r="C734" t="str">
            <v>Idem, tinta texturada tipo "tartaruguinha"</v>
          </cell>
          <cell r="D734" t="str">
            <v>m2</v>
          </cell>
          <cell r="E734">
            <v>0</v>
          </cell>
        </row>
        <row r="735">
          <cell r="B735" t="str">
            <v>9.2</v>
          </cell>
          <cell r="C735" t="str">
            <v>DE CARPINTARIAS E SERRALHARIAS</v>
          </cell>
        </row>
        <row r="736">
          <cell r="B736" t="str">
            <v>9.2.1</v>
          </cell>
          <cell r="C736" t="str">
            <v>Fornecimento e aplicação de tinta de esmalte, sobre primário da mesma base, incluindo a prévia e conveniente preparação de superficie.</v>
          </cell>
          <cell r="D736" t="str">
            <v>m2</v>
          </cell>
          <cell r="E736">
            <v>20</v>
          </cell>
          <cell r="F736">
            <v>8.75</v>
          </cell>
        </row>
        <row r="737">
          <cell r="B737" t="str">
            <v>9.2.2</v>
          </cell>
          <cell r="C737" t="str">
            <v>Fornecimento e aplicação de tinta de esmalte sobre pintura, incluindo limpeza da pintura existente.</v>
          </cell>
          <cell r="D737" t="str">
            <v>m2</v>
          </cell>
          <cell r="E737">
            <v>60</v>
          </cell>
          <cell r="F737">
            <v>9</v>
          </cell>
        </row>
        <row r="738">
          <cell r="B738" t="str">
            <v>9.2.3</v>
          </cell>
          <cell r="C738" t="str">
            <v>Fornecimento e aplicação de tinta de esmalte conversor, incluindo saneamento prévio de superficies.</v>
          </cell>
          <cell r="D738" t="str">
            <v>m2</v>
          </cell>
          <cell r="E738">
            <v>150</v>
          </cell>
          <cell r="F738">
            <v>8.75</v>
          </cell>
        </row>
        <row r="739">
          <cell r="B739" t="str">
            <v>9.2.4</v>
          </cell>
          <cell r="C739" t="str">
            <v>Decapagem de tintas velhas e ferrugem em superfícies. para receber pintura</v>
          </cell>
          <cell r="D739" t="str">
            <v>m2</v>
          </cell>
          <cell r="E739">
            <v>30</v>
          </cell>
          <cell r="F739">
            <v>7.5</v>
          </cell>
        </row>
        <row r="740">
          <cell r="B740" t="str">
            <v>9.2.5</v>
          </cell>
          <cell r="C740" t="str">
            <v>Pintura a tinta tipo "ASPHALTENE 411-004 na superfícies metálica incluindo todos os componentes e equipamentos necessários à correcta aplicação</v>
          </cell>
          <cell r="D740" t="str">
            <v>m2</v>
          </cell>
          <cell r="E740">
            <v>0</v>
          </cell>
        </row>
        <row r="741">
          <cell r="B741" t="str">
            <v>9.2.6</v>
          </cell>
          <cell r="C741" t="str">
            <v>Fornecimento e aplicação de tratamento tipo "Bondex/Cupriniol" em elementos de madeira, incluindo saneamento prévio de superficies.</v>
          </cell>
          <cell r="D741" t="str">
            <v>m2</v>
          </cell>
          <cell r="E741">
            <v>100</v>
          </cell>
          <cell r="F741">
            <v>9.4</v>
          </cell>
        </row>
        <row r="742">
          <cell r="B742" t="str">
            <v>9.2.7</v>
          </cell>
          <cell r="C742" t="str">
            <v>Pintura a tinta de alumínio incluindo a preparação das superfícies</v>
          </cell>
          <cell r="D742" t="str">
            <v>m2</v>
          </cell>
          <cell r="E742">
            <v>0</v>
          </cell>
        </row>
        <row r="743">
          <cell r="B743" t="str">
            <v>9.2.8</v>
          </cell>
          <cell r="C743" t="str">
            <v>Pintura de convectores a tinta resistente a altas temperaturas</v>
          </cell>
          <cell r="D743" t="str">
            <v>un</v>
          </cell>
          <cell r="E743">
            <v>0</v>
          </cell>
        </row>
        <row r="744">
          <cell r="B744" t="str">
            <v>9.2.9</v>
          </cell>
          <cell r="C744" t="str">
            <v>Fornecimento e aplicação de tinta de esmalte em superfícies metálicas, incluindo a prévia preparação de superficie mediate limpeza manual padrão St3, desengorduramento de toda a superfície e sistema de pintura com aplicação de primário de dois componentes baseado em resinas de polivinil butiral e pigmentos resistentes à corrosão, do tipo "Primário Self Etching Primer Filler", ou equivalente, aplicado em duas demãos, aplicação de esmalte epóxi de alta espessura (intermediário/acabamento), aplicado em duas demãos e acabamento em Esmalte PU, aplicado em duas demãos.</v>
          </cell>
          <cell r="D744" t="str">
            <v>m2</v>
          </cell>
          <cell r="E744">
            <v>15</v>
          </cell>
          <cell r="F744">
            <v>25</v>
          </cell>
        </row>
        <row r="745">
          <cell r="B745" t="str">
            <v>9.2.10</v>
          </cell>
          <cell r="C745" t="str">
            <v>Idem, padrão St3.</v>
          </cell>
          <cell r="D745" t="str">
            <v>m2</v>
          </cell>
          <cell r="E745">
            <v>1</v>
          </cell>
          <cell r="F745">
            <v>28.75</v>
          </cell>
        </row>
        <row r="746">
          <cell r="B746" t="str">
            <v>9.2.11</v>
          </cell>
          <cell r="C746" t="str">
            <v>Fornecimento e aplicação de tinta de esmalte em superfícies metálicas, incluindo a prévia preparação de superficie mediate limpeza mecânica padrão Sa 2 , por forma a remover todo o produto anteriormente aplicado, desengorduramento de toda a superfície e aplicação de primário Epoxi Fosfato de Zinco, ou equivalente, aplicado numa demão, aplicação de Esmalte Epoxi Alta Espessura (Intermediário/Acabamento), aplicado em duas demãos e acabamento com aplicação de esmalte de poliuretano do tipo Esmalte PU, aplicado em duas demãos</v>
          </cell>
          <cell r="D746" t="str">
            <v>m2</v>
          </cell>
          <cell r="E746">
            <v>5</v>
          </cell>
          <cell r="F746">
            <v>24.4</v>
          </cell>
        </row>
        <row r="747">
          <cell r="B747" t="str">
            <v>9.2.12</v>
          </cell>
          <cell r="C747" t="str">
            <v>Idem, padrão 2 1/2.</v>
          </cell>
          <cell r="D747" t="str">
            <v>m2</v>
          </cell>
          <cell r="E747">
            <v>1</v>
          </cell>
          <cell r="F747">
            <v>25</v>
          </cell>
        </row>
        <row r="748">
          <cell r="B748" t="str">
            <v>9.2.13</v>
          </cell>
          <cell r="C748" t="str">
            <v>Idem, padrão 3.</v>
          </cell>
          <cell r="D748" t="str">
            <v>m2</v>
          </cell>
          <cell r="E748">
            <v>1</v>
          </cell>
          <cell r="F748">
            <v>25.65</v>
          </cell>
        </row>
        <row r="749">
          <cell r="B749" t="str">
            <v>9.2.14</v>
          </cell>
          <cell r="C749" t="str">
            <v xml:space="preserve">Idem, padrão Sa 2 1/2 com galvanização a quentegalvanização a quente, com um recobrimento mínimo de 100 microns, de espessura seca. </v>
          </cell>
          <cell r="D749" t="str">
            <v>m2</v>
          </cell>
          <cell r="E749">
            <v>1</v>
          </cell>
          <cell r="F749">
            <v>31.25</v>
          </cell>
        </row>
        <row r="750">
          <cell r="B750" t="str">
            <v>9.3</v>
          </cell>
          <cell r="C750" t="str">
            <v>PINTURAS DIVERSAS</v>
          </cell>
        </row>
        <row r="751">
          <cell r="B751" t="str">
            <v>9.3.1</v>
          </cell>
          <cell r="C751" t="str">
            <v>Pintura de faixas de gares com tinta anti-derrapante apropriada para marcação de pavimentos.</v>
          </cell>
          <cell r="D751" t="str">
            <v>m</v>
          </cell>
          <cell r="E751">
            <v>150</v>
          </cell>
          <cell r="F751">
            <v>3.75</v>
          </cell>
        </row>
        <row r="752">
          <cell r="B752" t="str">
            <v>9.3.2</v>
          </cell>
          <cell r="C752" t="str">
            <v>Pintura de chapas toponímicas e outras com tinta de esmalte, incluindo as letras e algarismos.</v>
          </cell>
          <cell r="D752" t="str">
            <v>un</v>
          </cell>
          <cell r="E752">
            <v>1</v>
          </cell>
          <cell r="F752">
            <v>62.5</v>
          </cell>
        </row>
        <row r="753">
          <cell r="B753" t="str">
            <v>9.3.3</v>
          </cell>
          <cell r="C753" t="str">
            <v>Pintura de beirados à portuguesa.</v>
          </cell>
          <cell r="D753" t="str">
            <v>m</v>
          </cell>
          <cell r="E753">
            <v>20</v>
          </cell>
          <cell r="F753">
            <v>18.75</v>
          </cell>
        </row>
        <row r="754">
          <cell r="B754" t="str">
            <v>9.3.4</v>
          </cell>
          <cell r="C754" t="str">
            <v>Fornecimento e aplicação de esquema de pintura anti-fogo aplicado conforme indicações do fabricante, incluindo limpeza e preparação das superfícies.</v>
          </cell>
          <cell r="D754" t="str">
            <v>m2</v>
          </cell>
          <cell r="E754">
            <v>0</v>
          </cell>
        </row>
        <row r="755">
          <cell r="B755" t="str">
            <v>9.3.5</v>
          </cell>
          <cell r="C755" t="str">
            <v>Fornecimento e aplicação de esquema de pintura de pavimentos com tinta anti-derrapante com base epoxi, incluindo limpeza, desengorduramento e preparação de superfície.</v>
          </cell>
          <cell r="D755" t="str">
            <v>m2</v>
          </cell>
          <cell r="E755">
            <v>10</v>
          </cell>
          <cell r="F755">
            <v>27.5</v>
          </cell>
        </row>
        <row r="756">
          <cell r="B756" t="str">
            <v>9.3.6</v>
          </cell>
          <cell r="C756" t="str">
            <v>Fornecimento e aplicação de esquema de pintura de pavimentos com tinta anti-derrapante com base de metacrilatos, incluindo limpeza, desengorduramento e preparação de superfície.</v>
          </cell>
          <cell r="D756" t="str">
            <v>m2</v>
          </cell>
          <cell r="E756">
            <v>1</v>
          </cell>
          <cell r="F756">
            <v>93.75</v>
          </cell>
        </row>
        <row r="757">
          <cell r="B757" t="str">
            <v>9.3.7</v>
          </cell>
          <cell r="C757" t="str">
            <v>Fornecimento e aplicação de tinta de esmalte em guarda de segurança metálicas em faixas na diagonal com as cores preto e amarelo, ou branco e vermelho, incluindo decapagem, preparação da superfície, primário da mesma base e todos os trabalhos complementares.</v>
          </cell>
          <cell r="D757" t="str">
            <v>m2</v>
          </cell>
          <cell r="E757">
            <v>5</v>
          </cell>
          <cell r="F757">
            <v>15.65</v>
          </cell>
        </row>
        <row r="758">
          <cell r="B758" t="str">
            <v>9.3.8</v>
          </cell>
          <cell r="C758" t="str">
            <v>Fornecimento e aplicação de tinta fotoluminiscente, em faixas de encaminhamento e segurança, incluindo limpeza, desengorduramento e preparação de superfície.</v>
          </cell>
          <cell r="D758" t="str">
            <v>m2</v>
          </cell>
          <cell r="E758">
            <v>0</v>
          </cell>
        </row>
        <row r="759">
          <cell r="B759" t="str">
            <v>9.4</v>
          </cell>
          <cell r="C759" t="str">
            <v>VERNIZES</v>
          </cell>
        </row>
        <row r="760">
          <cell r="B760" t="str">
            <v>9.4.1</v>
          </cell>
          <cell r="C760" t="str">
            <v>Aplicação de verniz em pavimentos, incluindo afagamento e todos os trabalhos preparatórios e complementares</v>
          </cell>
          <cell r="D760" t="str">
            <v>m2</v>
          </cell>
          <cell r="E760">
            <v>10</v>
          </cell>
          <cell r="F760">
            <v>18.75</v>
          </cell>
        </row>
        <row r="761">
          <cell r="B761" t="str">
            <v>9.4.2</v>
          </cell>
          <cell r="C761" t="str">
            <v>Envernizamento de portas, divisórias e lambris de madeira, incluindo todos os trabalhos preparatórios e complementares</v>
          </cell>
          <cell r="D761" t="str">
            <v>m2</v>
          </cell>
          <cell r="E761">
            <v>1</v>
          </cell>
          <cell r="F761">
            <v>31.25</v>
          </cell>
        </row>
        <row r="762">
          <cell r="B762" t="str">
            <v>9.4.3</v>
          </cell>
          <cell r="C762" t="str">
            <v>Idem em mobiliário.</v>
          </cell>
          <cell r="D762" t="str">
            <v>m2</v>
          </cell>
          <cell r="E762">
            <v>1</v>
          </cell>
          <cell r="F762">
            <v>43.75</v>
          </cell>
        </row>
        <row r="763">
          <cell r="B763" t="str">
            <v>9.4.4</v>
          </cell>
          <cell r="C763" t="str">
            <v>Limpeza de portas ou janelas exteriores e envernizamento com verniz celuloso incluindo preparação de superfícies</v>
          </cell>
          <cell r="D763" t="str">
            <v>m2</v>
          </cell>
          <cell r="E763">
            <v>5</v>
          </cell>
          <cell r="F763">
            <v>31.25</v>
          </cell>
        </row>
        <row r="764">
          <cell r="B764" t="str">
            <v>9.4.5</v>
          </cell>
          <cell r="C764" t="str">
            <v>Fornecimento e aplicação de verniz celuloso em carpintarias, incluindo preparação das superfícies e aplicação de tapa poros.</v>
          </cell>
          <cell r="D764" t="str">
            <v>m2</v>
          </cell>
          <cell r="E764">
            <v>5</v>
          </cell>
          <cell r="F764">
            <v>31.25</v>
          </cell>
        </row>
        <row r="765">
          <cell r="B765" t="str">
            <v>9.4.6</v>
          </cell>
          <cell r="C765" t="str">
            <v>Fornecimento e aplicação de verniz de alto tráfego em pavimentos, incluindo afagamento e todos os trabalhos preparatórios e complementares</v>
          </cell>
          <cell r="D765" t="str">
            <v>m2</v>
          </cell>
          <cell r="E765">
            <v>10</v>
          </cell>
          <cell r="F765">
            <v>31.25</v>
          </cell>
        </row>
        <row r="766">
          <cell r="B766" t="str">
            <v>9.4.7</v>
          </cell>
          <cell r="C766" t="str">
            <v>Fornecimento e aplicação de verniz acrílico em superfícies de betão, incluindo preparação das superfícies.</v>
          </cell>
          <cell r="D766" t="str">
            <v>m2</v>
          </cell>
          <cell r="E766">
            <v>10</v>
          </cell>
          <cell r="F766">
            <v>18.75</v>
          </cell>
        </row>
        <row r="767">
          <cell r="B767" t="str">
            <v>9.4.8</v>
          </cell>
          <cell r="C767" t="str">
            <v>Fornecimento e aplicação de verniz aquoso em cantarias, incluindo preparação das superfícies.</v>
          </cell>
          <cell r="D767" t="str">
            <v>m2</v>
          </cell>
          <cell r="E767">
            <v>40</v>
          </cell>
          <cell r="F767">
            <v>18.75</v>
          </cell>
        </row>
        <row r="768">
          <cell r="B768">
            <v>10</v>
          </cell>
          <cell r="C768" t="str">
            <v>CANALIZAÇÕES E EQUIPAMENTO SANITÁRIO  (inclui todos os acessórios necessários para o efeito)</v>
          </cell>
        </row>
        <row r="769">
          <cell r="B769" t="str">
            <v>10.1</v>
          </cell>
          <cell r="C769" t="str">
            <v>TUBAGEM PARA ÁGUAS</v>
          </cell>
        </row>
        <row r="770">
          <cell r="B770" t="str">
            <v>10.1.1</v>
          </cell>
          <cell r="C770" t="str">
            <v>Fornecimento e aplicação de canalização em tubo galvanizado de 3", incluindo acessórios, juntas e todos os trabalhos complementares.</v>
          </cell>
          <cell r="D770" t="str">
            <v>m</v>
          </cell>
          <cell r="E770">
            <v>1</v>
          </cell>
          <cell r="F770">
            <v>23.75</v>
          </cell>
        </row>
        <row r="771">
          <cell r="B771" t="str">
            <v>10.1.2</v>
          </cell>
          <cell r="C771" t="str">
            <v>Idem, de 2"</v>
          </cell>
          <cell r="D771" t="str">
            <v>m</v>
          </cell>
          <cell r="E771">
            <v>1</v>
          </cell>
          <cell r="F771">
            <v>18.7</v>
          </cell>
        </row>
        <row r="772">
          <cell r="B772" t="str">
            <v>10.1.3</v>
          </cell>
          <cell r="C772" t="str">
            <v>Idem, de 1"1/2</v>
          </cell>
          <cell r="D772" t="str">
            <v>m</v>
          </cell>
          <cell r="E772">
            <v>1</v>
          </cell>
          <cell r="F772">
            <v>15.75</v>
          </cell>
        </row>
        <row r="773">
          <cell r="B773" t="str">
            <v>10.1.4</v>
          </cell>
          <cell r="C773" t="str">
            <v>Idem, de 1"1/4</v>
          </cell>
          <cell r="D773" t="str">
            <v>m</v>
          </cell>
          <cell r="E773">
            <v>5</v>
          </cell>
          <cell r="F773">
            <v>14.7</v>
          </cell>
        </row>
        <row r="774">
          <cell r="B774" t="str">
            <v>10.1.5</v>
          </cell>
          <cell r="C774" t="str">
            <v>Idem, de 1"</v>
          </cell>
          <cell r="D774" t="str">
            <v>m</v>
          </cell>
          <cell r="E774">
            <v>5</v>
          </cell>
          <cell r="F774">
            <v>13.3</v>
          </cell>
        </row>
        <row r="775">
          <cell r="B775" t="str">
            <v>10.1.6</v>
          </cell>
          <cell r="C775" t="str">
            <v>Idem, de 3/4"</v>
          </cell>
          <cell r="D775" t="str">
            <v>m</v>
          </cell>
          <cell r="E775">
            <v>5</v>
          </cell>
          <cell r="F775">
            <v>11.7</v>
          </cell>
        </row>
        <row r="776">
          <cell r="B776" t="str">
            <v>10.1.7</v>
          </cell>
          <cell r="C776" t="str">
            <v>Idem, de 1/2"</v>
          </cell>
          <cell r="D776" t="str">
            <v>m</v>
          </cell>
          <cell r="E776">
            <v>1</v>
          </cell>
          <cell r="F776">
            <v>11.1</v>
          </cell>
        </row>
        <row r="777">
          <cell r="B777" t="str">
            <v>10.1.8</v>
          </cell>
          <cell r="C777" t="str">
            <v>Fornecimento e aplicação de tubo de PVC rigido com Ø 63mm e 10 kg de pressão, incluindo acessórios, juntas e todos os trabalhos complementares.</v>
          </cell>
          <cell r="D777" t="str">
            <v>m</v>
          </cell>
          <cell r="E777">
            <v>5</v>
          </cell>
          <cell r="F777">
            <v>7.4</v>
          </cell>
        </row>
        <row r="778">
          <cell r="B778" t="str">
            <v>10.1.9</v>
          </cell>
          <cell r="C778" t="str">
            <v xml:space="preserve">Idem, com Ø 75 </v>
          </cell>
          <cell r="D778" t="str">
            <v>m</v>
          </cell>
          <cell r="E778">
            <v>15</v>
          </cell>
          <cell r="F778">
            <v>8.4</v>
          </cell>
        </row>
        <row r="779">
          <cell r="B779" t="str">
            <v>10.1.10</v>
          </cell>
          <cell r="C779" t="str">
            <v>Idem, com Ø 90</v>
          </cell>
          <cell r="D779" t="str">
            <v>m</v>
          </cell>
          <cell r="E779">
            <v>1</v>
          </cell>
          <cell r="F779">
            <v>10</v>
          </cell>
        </row>
        <row r="780">
          <cell r="B780" t="str">
            <v>10.1.11</v>
          </cell>
          <cell r="C780" t="str">
            <v>Idem, com Ø 110</v>
          </cell>
          <cell r="D780" t="str">
            <v>m</v>
          </cell>
          <cell r="E780">
            <v>1</v>
          </cell>
          <cell r="F780">
            <v>11</v>
          </cell>
        </row>
        <row r="781">
          <cell r="B781" t="str">
            <v>10.1.12</v>
          </cell>
          <cell r="C781" t="str">
            <v>Idem, com Ø 125</v>
          </cell>
          <cell r="D781" t="str">
            <v>m</v>
          </cell>
          <cell r="E781">
            <v>1</v>
          </cell>
          <cell r="F781">
            <v>12.7</v>
          </cell>
        </row>
        <row r="782">
          <cell r="B782" t="str">
            <v>10.1.13</v>
          </cell>
          <cell r="C782" t="str">
            <v>Fornecimento e aplicação de canalização em tubo Inox 1", incluindo acessórios, juntas e todos os trabalhos complementares.</v>
          </cell>
          <cell r="D782" t="str">
            <v>m</v>
          </cell>
          <cell r="E782">
            <v>1</v>
          </cell>
          <cell r="F782">
            <v>17.100000000000001</v>
          </cell>
        </row>
        <row r="783">
          <cell r="B783" t="str">
            <v>10.1.14</v>
          </cell>
          <cell r="C783" t="str">
            <v>Idem, em tubo Inox 3/4"</v>
          </cell>
          <cell r="D783" t="str">
            <v>m</v>
          </cell>
          <cell r="E783">
            <v>1</v>
          </cell>
          <cell r="F783">
            <v>16.25</v>
          </cell>
        </row>
        <row r="784">
          <cell r="B784" t="str">
            <v>10.1.15</v>
          </cell>
          <cell r="C784" t="str">
            <v>Idem, em tubo Inox 1/2"</v>
          </cell>
          <cell r="D784" t="str">
            <v>m</v>
          </cell>
          <cell r="E784">
            <v>5</v>
          </cell>
          <cell r="F784">
            <v>14.65</v>
          </cell>
        </row>
        <row r="785">
          <cell r="B785" t="str">
            <v>10.1.16</v>
          </cell>
          <cell r="C785" t="str">
            <v>Idem, em tubo inox 28mm</v>
          </cell>
          <cell r="D785" t="str">
            <v>m</v>
          </cell>
          <cell r="E785">
            <v>5</v>
          </cell>
          <cell r="F785">
            <v>17.899999999999999</v>
          </cell>
        </row>
        <row r="786">
          <cell r="B786" t="str">
            <v>10.1.17</v>
          </cell>
          <cell r="C786" t="str">
            <v>Idem, em tubo inox 22mm</v>
          </cell>
          <cell r="D786" t="str">
            <v>m</v>
          </cell>
          <cell r="E786">
            <v>10</v>
          </cell>
          <cell r="F786">
            <v>15.85</v>
          </cell>
        </row>
        <row r="787">
          <cell r="B787" t="str">
            <v>10.1.18</v>
          </cell>
          <cell r="C787" t="str">
            <v>Idem, em tubo inox 18mm</v>
          </cell>
          <cell r="D787" t="str">
            <v>m</v>
          </cell>
          <cell r="E787">
            <v>10</v>
          </cell>
          <cell r="F787">
            <v>15.3</v>
          </cell>
        </row>
        <row r="788">
          <cell r="B788" t="str">
            <v>10.1.19</v>
          </cell>
          <cell r="C788" t="str">
            <v>Idem, em tubo inox 15mm</v>
          </cell>
          <cell r="D788" t="str">
            <v>m</v>
          </cell>
          <cell r="E788">
            <v>5</v>
          </cell>
          <cell r="F788">
            <v>14.399999999999999</v>
          </cell>
        </row>
        <row r="789">
          <cell r="B789" t="str">
            <v>10.1.20</v>
          </cell>
          <cell r="C789" t="str">
            <v>Fornecimento e aplicação de canalização em tubo Inox DN 50mm, de ligações flangeadas,  juntas e todos os trabalhos complementares.</v>
          </cell>
          <cell r="D789" t="str">
            <v>m</v>
          </cell>
          <cell r="E789">
            <v>1</v>
          </cell>
          <cell r="F789">
            <v>28.45</v>
          </cell>
        </row>
        <row r="790">
          <cell r="B790" t="str">
            <v>10.1.21</v>
          </cell>
          <cell r="C790" t="str">
            <v>Fornecimento e aplicação de tubo PVC tipo hidronil de 6kg de 2", incluindo acessórios, juntas e todos os trabalhos complementares.</v>
          </cell>
          <cell r="D790" t="str">
            <v>m</v>
          </cell>
          <cell r="E790">
            <v>5</v>
          </cell>
          <cell r="F790">
            <v>16.25</v>
          </cell>
        </row>
        <row r="791">
          <cell r="B791" t="str">
            <v>10.1.22</v>
          </cell>
          <cell r="C791" t="str">
            <v>Idem, de 1 1/2"</v>
          </cell>
          <cell r="D791" t="str">
            <v>m</v>
          </cell>
          <cell r="E791">
            <v>1</v>
          </cell>
          <cell r="F791">
            <v>14.9</v>
          </cell>
        </row>
        <row r="792">
          <cell r="B792" t="str">
            <v>10.1.23</v>
          </cell>
          <cell r="C792" t="str">
            <v>Idem, de 1"</v>
          </cell>
          <cell r="D792" t="str">
            <v>m</v>
          </cell>
          <cell r="E792">
            <v>1</v>
          </cell>
          <cell r="F792">
            <v>13.6</v>
          </cell>
        </row>
        <row r="793">
          <cell r="B793" t="str">
            <v>10.1.24</v>
          </cell>
          <cell r="C793" t="str">
            <v>Idem, de 3/4"</v>
          </cell>
          <cell r="D793" t="str">
            <v>m</v>
          </cell>
          <cell r="E793">
            <v>10</v>
          </cell>
          <cell r="F793">
            <v>13.1</v>
          </cell>
        </row>
        <row r="794">
          <cell r="B794" t="str">
            <v>10.1.25</v>
          </cell>
          <cell r="C794" t="str">
            <v>Idem, de 1/2"</v>
          </cell>
          <cell r="D794" t="str">
            <v>m</v>
          </cell>
          <cell r="E794">
            <v>10</v>
          </cell>
          <cell r="F794">
            <v>13</v>
          </cell>
        </row>
        <row r="795">
          <cell r="B795" t="str">
            <v>10.1.26</v>
          </cell>
          <cell r="C795" t="str">
            <v>Fornecimento e aplicação de tubo PEAD de PN16 de 2", incluindo acessórios, juntas e todos os trabalhos complementares.</v>
          </cell>
          <cell r="D795" t="str">
            <v>m</v>
          </cell>
          <cell r="E795">
            <v>1</v>
          </cell>
          <cell r="F795">
            <v>12.2</v>
          </cell>
        </row>
        <row r="796">
          <cell r="B796" t="str">
            <v>10.1.27</v>
          </cell>
          <cell r="C796" t="str">
            <v>Idem, de 1 1/2"</v>
          </cell>
          <cell r="D796" t="str">
            <v>m</v>
          </cell>
          <cell r="E796">
            <v>30</v>
          </cell>
          <cell r="F796">
            <v>10.6</v>
          </cell>
        </row>
        <row r="797">
          <cell r="B797" t="str">
            <v>10.1.28</v>
          </cell>
          <cell r="C797" t="str">
            <v>Idem, de 1"</v>
          </cell>
          <cell r="D797" t="str">
            <v>m</v>
          </cell>
          <cell r="E797">
            <v>50</v>
          </cell>
          <cell r="F797">
            <v>9.1</v>
          </cell>
        </row>
        <row r="798">
          <cell r="B798" t="str">
            <v>10.1.29</v>
          </cell>
          <cell r="C798" t="str">
            <v>Idem, de 3/4"</v>
          </cell>
          <cell r="D798" t="str">
            <v>m</v>
          </cell>
          <cell r="E798">
            <v>30</v>
          </cell>
          <cell r="F798">
            <v>8.65</v>
          </cell>
        </row>
        <row r="799">
          <cell r="B799" t="str">
            <v>10.1.30</v>
          </cell>
          <cell r="C799" t="str">
            <v>Idem, de 1/2"</v>
          </cell>
          <cell r="D799" t="str">
            <v>m</v>
          </cell>
          <cell r="E799">
            <v>1</v>
          </cell>
          <cell r="F799">
            <v>8.4500000000000011</v>
          </cell>
        </row>
        <row r="800">
          <cell r="B800" t="str">
            <v>10.1.31</v>
          </cell>
          <cell r="C800" t="str">
            <v>Fornecimento e aplicação de canalização em tudo "PEX" classe 2, diâmetro nominal 12mm, incluindo caixas de ligação, acessórios, manga e todos os trabalhos complementares.</v>
          </cell>
          <cell r="D800" t="str">
            <v>m</v>
          </cell>
          <cell r="E800">
            <v>1</v>
          </cell>
          <cell r="F800">
            <v>6.5</v>
          </cell>
        </row>
        <row r="801">
          <cell r="B801" t="str">
            <v>10.1.32</v>
          </cell>
          <cell r="C801" t="str">
            <v>Idem, diâmetro nominal 16mm</v>
          </cell>
          <cell r="D801" t="str">
            <v>m</v>
          </cell>
          <cell r="E801">
            <v>1</v>
          </cell>
          <cell r="F801">
            <v>7</v>
          </cell>
        </row>
        <row r="802">
          <cell r="B802" t="str">
            <v>10.1.33</v>
          </cell>
          <cell r="C802" t="str">
            <v>Idem, diâmetro nominal 20mm</v>
          </cell>
          <cell r="D802" t="str">
            <v>m</v>
          </cell>
          <cell r="E802">
            <v>1</v>
          </cell>
          <cell r="F802">
            <v>7.8000000000000007</v>
          </cell>
        </row>
        <row r="803">
          <cell r="B803" t="str">
            <v>10.1.34</v>
          </cell>
          <cell r="C803" t="str">
            <v>Idem, diâmetro nominal 25mm</v>
          </cell>
          <cell r="D803" t="str">
            <v>m</v>
          </cell>
          <cell r="E803">
            <v>1</v>
          </cell>
          <cell r="F803">
            <v>8.6999999999999993</v>
          </cell>
        </row>
        <row r="804">
          <cell r="B804" t="str">
            <v>10.1.35</v>
          </cell>
          <cell r="C804" t="str">
            <v>Idem, diâmetro nominal 32mm</v>
          </cell>
          <cell r="D804" t="str">
            <v>m</v>
          </cell>
          <cell r="E804">
            <v>1</v>
          </cell>
          <cell r="F804">
            <v>10.3</v>
          </cell>
        </row>
        <row r="805">
          <cell r="B805" t="str">
            <v>10.1.36</v>
          </cell>
          <cell r="C805" t="str">
            <v>Fornecimento e aplicação de canalização em tudo multicamada "PEXAL", diâmetro nominal 14mm, incluindo caixas de ligação, acessórios, manga e todos os trabalhos complementares.</v>
          </cell>
          <cell r="D805" t="str">
            <v>m</v>
          </cell>
          <cell r="E805">
            <v>1</v>
          </cell>
          <cell r="F805">
            <v>6.5</v>
          </cell>
        </row>
        <row r="806">
          <cell r="B806" t="str">
            <v>10.1.37</v>
          </cell>
          <cell r="C806" t="str">
            <v>Idem, diâmetro nominal 16mm</v>
          </cell>
          <cell r="D806" t="str">
            <v>m</v>
          </cell>
          <cell r="E806">
            <v>15</v>
          </cell>
          <cell r="F806">
            <v>7.4</v>
          </cell>
        </row>
        <row r="807">
          <cell r="B807" t="str">
            <v>10.1.38</v>
          </cell>
          <cell r="C807" t="str">
            <v>Idem, diâmetro nominal 20mm</v>
          </cell>
          <cell r="D807" t="str">
            <v>m</v>
          </cell>
          <cell r="E807">
            <v>10</v>
          </cell>
          <cell r="F807">
            <v>8.15</v>
          </cell>
        </row>
        <row r="808">
          <cell r="B808" t="str">
            <v>10.1.39</v>
          </cell>
          <cell r="C808" t="str">
            <v>Idem, diâmetro nominal 26mm</v>
          </cell>
          <cell r="D808" t="str">
            <v>m</v>
          </cell>
          <cell r="E808">
            <v>5</v>
          </cell>
          <cell r="F808">
            <v>9</v>
          </cell>
        </row>
        <row r="809">
          <cell r="B809" t="str">
            <v>10.1.40</v>
          </cell>
          <cell r="C809" t="str">
            <v>Idem, diâmetro nominal 32mm</v>
          </cell>
          <cell r="D809" t="str">
            <v>m</v>
          </cell>
          <cell r="E809">
            <v>1</v>
          </cell>
          <cell r="F809">
            <v>9.75</v>
          </cell>
        </row>
        <row r="810">
          <cell r="B810" t="str">
            <v>10.1.41</v>
          </cell>
          <cell r="C810" t="str">
            <v>Fornecimento e aplicação de canalização em tudo multicamada PE-Xb+AL+PEAD com DN 40mm, incluindo acessórios e montagem press fit</v>
          </cell>
          <cell r="D810" t="str">
            <v>m</v>
          </cell>
          <cell r="E810">
            <v>1</v>
          </cell>
          <cell r="F810">
            <v>12.2</v>
          </cell>
        </row>
        <row r="811">
          <cell r="B811" t="str">
            <v>10.1.42</v>
          </cell>
          <cell r="C811" t="str">
            <v>Idem, com 32mm</v>
          </cell>
          <cell r="D811" t="str">
            <v>m</v>
          </cell>
          <cell r="E811">
            <v>1</v>
          </cell>
          <cell r="F811">
            <v>10.6</v>
          </cell>
        </row>
        <row r="812">
          <cell r="B812" t="str">
            <v>10.1.43</v>
          </cell>
          <cell r="C812" t="str">
            <v>Idem, com 26mm</v>
          </cell>
          <cell r="D812" t="str">
            <v>m</v>
          </cell>
          <cell r="E812">
            <v>1</v>
          </cell>
          <cell r="F812">
            <v>9.75</v>
          </cell>
        </row>
        <row r="813">
          <cell r="B813" t="str">
            <v>10.1.44</v>
          </cell>
          <cell r="C813" t="str">
            <v>Idem, com 20mm</v>
          </cell>
          <cell r="D813" t="str">
            <v>m</v>
          </cell>
          <cell r="E813">
            <v>1</v>
          </cell>
          <cell r="F813">
            <v>9.75</v>
          </cell>
        </row>
        <row r="814">
          <cell r="B814" t="str">
            <v>10.1.45</v>
          </cell>
          <cell r="C814" t="str">
            <v>Idem, com 16mm</v>
          </cell>
          <cell r="D814" t="str">
            <v>m</v>
          </cell>
          <cell r="E814">
            <v>1</v>
          </cell>
          <cell r="F814">
            <v>10.6</v>
          </cell>
        </row>
        <row r="815">
          <cell r="B815" t="str">
            <v>10.2</v>
          </cell>
          <cell r="C815" t="str">
            <v>TUBAGEM PARA ESGOTOS</v>
          </cell>
        </row>
        <row r="816">
          <cell r="B816" t="str">
            <v>10.2.1</v>
          </cell>
          <cell r="C816" t="str">
            <v>Fornecimento e assentamento de canalização em tubo PVC de 40mm</v>
          </cell>
          <cell r="D816" t="str">
            <v>m</v>
          </cell>
          <cell r="E816">
            <v>15</v>
          </cell>
          <cell r="F816">
            <v>6.5</v>
          </cell>
        </row>
        <row r="817">
          <cell r="B817" t="str">
            <v>10.2.2</v>
          </cell>
          <cell r="C817" t="str">
            <v>Idem. em tubo PVC de 50mm</v>
          </cell>
          <cell r="D817" t="str">
            <v>m</v>
          </cell>
          <cell r="E817">
            <v>5</v>
          </cell>
          <cell r="F817">
            <v>7.4</v>
          </cell>
        </row>
        <row r="818">
          <cell r="B818" t="str">
            <v>10.2.3</v>
          </cell>
          <cell r="C818" t="str">
            <v>Idem. em tubo PVC de 75mm</v>
          </cell>
          <cell r="D818" t="str">
            <v>m</v>
          </cell>
          <cell r="E818">
            <v>5</v>
          </cell>
          <cell r="F818">
            <v>7.8</v>
          </cell>
        </row>
        <row r="819">
          <cell r="B819" t="str">
            <v>10.2.4</v>
          </cell>
          <cell r="C819" t="str">
            <v>Idem. em tubo PVC de 90mm</v>
          </cell>
          <cell r="D819" t="str">
            <v>m</v>
          </cell>
          <cell r="E819">
            <v>5</v>
          </cell>
          <cell r="F819">
            <v>9</v>
          </cell>
        </row>
        <row r="820">
          <cell r="B820" t="str">
            <v>10.2.5</v>
          </cell>
          <cell r="C820" t="str">
            <v>Idem. em tubo PVC de 110mm</v>
          </cell>
          <cell r="D820" t="str">
            <v>m</v>
          </cell>
          <cell r="E820">
            <v>15</v>
          </cell>
          <cell r="F820">
            <v>9.75</v>
          </cell>
        </row>
        <row r="821">
          <cell r="B821" t="str">
            <v>10.2.6</v>
          </cell>
          <cell r="C821" t="str">
            <v>Idem. em tubo PVC de 125mm</v>
          </cell>
          <cell r="D821" t="str">
            <v>m</v>
          </cell>
          <cell r="E821">
            <v>5</v>
          </cell>
          <cell r="F821">
            <v>13.4</v>
          </cell>
        </row>
        <row r="822">
          <cell r="B822" t="str">
            <v>10.2.7</v>
          </cell>
          <cell r="C822" t="str">
            <v>Idem. em tubo PVC de 140mm</v>
          </cell>
          <cell r="D822" t="str">
            <v>m</v>
          </cell>
          <cell r="E822">
            <v>1</v>
          </cell>
          <cell r="F822">
            <v>12.2</v>
          </cell>
        </row>
        <row r="823">
          <cell r="B823" t="str">
            <v>10.2.8</v>
          </cell>
          <cell r="C823" t="str">
            <v>Idem. em tubo PVC de 160mm</v>
          </cell>
          <cell r="D823" t="str">
            <v>m</v>
          </cell>
          <cell r="E823">
            <v>5</v>
          </cell>
          <cell r="F823">
            <v>13.9</v>
          </cell>
        </row>
        <row r="824">
          <cell r="B824" t="str">
            <v>10.2.9</v>
          </cell>
          <cell r="C824" t="str">
            <v>Idem. em tubo PVC de 200mm</v>
          </cell>
          <cell r="D824" t="str">
            <v>m</v>
          </cell>
          <cell r="E824">
            <v>1</v>
          </cell>
          <cell r="F824">
            <v>16.25</v>
          </cell>
        </row>
        <row r="825">
          <cell r="B825" t="str">
            <v>10.2.10</v>
          </cell>
          <cell r="C825" t="str">
            <v>Fornecimento e assentamento de tubo corrugado de parede dupla SN8 de Ø 50</v>
          </cell>
          <cell r="D825" t="str">
            <v>m</v>
          </cell>
          <cell r="E825">
            <v>1</v>
          </cell>
          <cell r="F825">
            <v>2.8</v>
          </cell>
        </row>
        <row r="826">
          <cell r="B826" t="str">
            <v>10.2.11</v>
          </cell>
          <cell r="C826" t="str">
            <v>Idem, com Ø 75</v>
          </cell>
          <cell r="D826" t="str">
            <v>m</v>
          </cell>
          <cell r="E826">
            <v>10</v>
          </cell>
          <cell r="F826">
            <v>3.6</v>
          </cell>
        </row>
        <row r="827">
          <cell r="B827" t="str">
            <v>10.2.12</v>
          </cell>
          <cell r="C827" t="str">
            <v>Idem, com Ø 90</v>
          </cell>
          <cell r="D827" t="str">
            <v>m</v>
          </cell>
          <cell r="E827">
            <v>10</v>
          </cell>
          <cell r="F827">
            <v>4.4000000000000004</v>
          </cell>
        </row>
        <row r="828">
          <cell r="B828" t="str">
            <v>10.2.13</v>
          </cell>
          <cell r="C828" t="str">
            <v>Idem, com Ø 125</v>
          </cell>
          <cell r="D828" t="str">
            <v>m</v>
          </cell>
          <cell r="E828">
            <v>10</v>
          </cell>
          <cell r="F828">
            <v>5.2</v>
          </cell>
        </row>
        <row r="829">
          <cell r="B829" t="str">
            <v>10.2.14</v>
          </cell>
          <cell r="C829" t="str">
            <v>Idem, com Ø 160</v>
          </cell>
          <cell r="D829" t="str">
            <v>m</v>
          </cell>
          <cell r="E829">
            <v>10</v>
          </cell>
          <cell r="F829">
            <v>7.5</v>
          </cell>
        </row>
        <row r="830">
          <cell r="B830" t="str">
            <v>10.2.15</v>
          </cell>
          <cell r="C830" t="str">
            <v>Idem, com Ø 200</v>
          </cell>
          <cell r="D830" t="str">
            <v>m</v>
          </cell>
          <cell r="E830">
            <v>10</v>
          </cell>
          <cell r="F830">
            <v>10.8</v>
          </cell>
        </row>
        <row r="831">
          <cell r="B831" t="str">
            <v>10.2.16</v>
          </cell>
          <cell r="C831" t="str">
            <v>Idem, com Ø 250</v>
          </cell>
          <cell r="D831" t="str">
            <v>m</v>
          </cell>
          <cell r="E831">
            <v>1</v>
          </cell>
          <cell r="F831">
            <v>17.450000000000003</v>
          </cell>
        </row>
        <row r="832">
          <cell r="B832" t="str">
            <v>10.2.17</v>
          </cell>
          <cell r="C832" t="str">
            <v>Idem, com Ø 315</v>
          </cell>
          <cell r="D832" t="str">
            <v>m</v>
          </cell>
          <cell r="E832">
            <v>1</v>
          </cell>
          <cell r="F832">
            <v>25</v>
          </cell>
        </row>
        <row r="833">
          <cell r="B833" t="str">
            <v>10.2.18</v>
          </cell>
          <cell r="C833" t="str">
            <v>Idem, com Ø 400</v>
          </cell>
          <cell r="D833" t="str">
            <v>m</v>
          </cell>
          <cell r="E833">
            <v>1</v>
          </cell>
          <cell r="F833">
            <v>43</v>
          </cell>
        </row>
        <row r="834">
          <cell r="B834" t="str">
            <v>10.2.19</v>
          </cell>
          <cell r="C834" t="str">
            <v>Fornecimento e assentamento de manilha de betão de Ø300mm</v>
          </cell>
          <cell r="D834" t="str">
            <v>m</v>
          </cell>
          <cell r="E834">
            <v>1</v>
          </cell>
          <cell r="F834">
            <v>13.5</v>
          </cell>
        </row>
        <row r="835">
          <cell r="B835" t="str">
            <v>10.2.20</v>
          </cell>
          <cell r="C835" t="str">
            <v>Idem, com Ø400mm</v>
          </cell>
          <cell r="D835" t="str">
            <v>m</v>
          </cell>
          <cell r="E835">
            <v>1</v>
          </cell>
          <cell r="F835">
            <v>16.25</v>
          </cell>
        </row>
        <row r="836">
          <cell r="B836" t="str">
            <v>10.2.21</v>
          </cell>
          <cell r="C836" t="str">
            <v>Idem, com Ø500mm</v>
          </cell>
          <cell r="D836" t="str">
            <v>m</v>
          </cell>
          <cell r="E836">
            <v>1</v>
          </cell>
          <cell r="F836">
            <v>22</v>
          </cell>
        </row>
        <row r="837">
          <cell r="B837" t="str">
            <v>10.2.22</v>
          </cell>
          <cell r="C837" t="str">
            <v>Idem, com Ø600mm</v>
          </cell>
          <cell r="D837" t="str">
            <v>m</v>
          </cell>
          <cell r="E837">
            <v>1</v>
          </cell>
          <cell r="F837">
            <v>26.7</v>
          </cell>
        </row>
        <row r="838">
          <cell r="B838" t="str">
            <v>10.2.23</v>
          </cell>
          <cell r="C838" t="str">
            <v>Idem, com Ø800mm</v>
          </cell>
          <cell r="D838" t="str">
            <v>m</v>
          </cell>
          <cell r="E838">
            <v>1</v>
          </cell>
          <cell r="F838">
            <v>52</v>
          </cell>
        </row>
        <row r="839">
          <cell r="B839" t="str">
            <v>10.2.24</v>
          </cell>
          <cell r="C839" t="str">
            <v>Idem, com Ø1000mm</v>
          </cell>
          <cell r="D839" t="str">
            <v>m</v>
          </cell>
          <cell r="E839">
            <v>1</v>
          </cell>
          <cell r="F839">
            <v>100.75000000000001</v>
          </cell>
        </row>
        <row r="840">
          <cell r="B840" t="str">
            <v>10.2.25</v>
          </cell>
          <cell r="C840" t="str">
            <v>Fornecimento e assentamento de manilha de Grês Cerâmica de Ø200mm</v>
          </cell>
          <cell r="D840" t="str">
            <v>m</v>
          </cell>
          <cell r="E840">
            <v>0</v>
          </cell>
        </row>
        <row r="841">
          <cell r="B841" t="str">
            <v>10.2.26</v>
          </cell>
          <cell r="C841" t="str">
            <v>Fornecimento e aplicação de tubagem em FFD, DN 350</v>
          </cell>
          <cell r="D841" t="str">
            <v>m</v>
          </cell>
          <cell r="E841">
            <v>1</v>
          </cell>
          <cell r="F841">
            <v>500</v>
          </cell>
        </row>
        <row r="842">
          <cell r="B842" t="str">
            <v>10.2.27</v>
          </cell>
          <cell r="C842" t="str">
            <v>Idem, DN 200</v>
          </cell>
          <cell r="D842" t="str">
            <v>m</v>
          </cell>
          <cell r="E842">
            <v>1</v>
          </cell>
          <cell r="F842">
            <v>250</v>
          </cell>
        </row>
        <row r="843">
          <cell r="B843" t="str">
            <v>10.2.28</v>
          </cell>
          <cell r="C843" t="str">
            <v>Idem, DN 125</v>
          </cell>
          <cell r="D843" t="str">
            <v>m</v>
          </cell>
          <cell r="E843">
            <v>1</v>
          </cell>
          <cell r="F843">
            <v>149.5</v>
          </cell>
        </row>
        <row r="844">
          <cell r="B844" t="str">
            <v>10.2.29</v>
          </cell>
          <cell r="C844" t="str">
            <v>Idem, DN 100</v>
          </cell>
          <cell r="D844" t="str">
            <v>m</v>
          </cell>
          <cell r="E844">
            <v>1</v>
          </cell>
          <cell r="F844">
            <v>94.25</v>
          </cell>
        </row>
        <row r="845">
          <cell r="B845" t="str">
            <v>10.2.30</v>
          </cell>
          <cell r="C845" t="str">
            <v>Idem, DN 80</v>
          </cell>
          <cell r="D845" t="str">
            <v>m</v>
          </cell>
          <cell r="E845">
            <v>1</v>
          </cell>
          <cell r="F845">
            <v>81.25</v>
          </cell>
        </row>
        <row r="846">
          <cell r="B846" t="str">
            <v>10.2.31</v>
          </cell>
          <cell r="C846" t="str">
            <v>Idem, DN 75</v>
          </cell>
          <cell r="D846" t="str">
            <v>m</v>
          </cell>
          <cell r="E846">
            <v>1</v>
          </cell>
          <cell r="F846">
            <v>68.25</v>
          </cell>
        </row>
        <row r="847">
          <cell r="B847" t="str">
            <v>10.2.32</v>
          </cell>
          <cell r="C847" t="str">
            <v>Idem, DN 50</v>
          </cell>
          <cell r="D847" t="str">
            <v>m</v>
          </cell>
          <cell r="E847">
            <v>1</v>
          </cell>
          <cell r="F847">
            <v>60.94</v>
          </cell>
        </row>
        <row r="848">
          <cell r="B848" t="str">
            <v>10.3</v>
          </cell>
          <cell r="C848" t="str">
            <v>TORNEIRAS E VÁLVULAS (NAS REDES)</v>
          </cell>
        </row>
        <row r="849">
          <cell r="B849" t="str">
            <v>10.3.1</v>
          </cell>
          <cell r="C849" t="str">
            <v>Fornecimento, substituição e aplicação de torneiras de serviço de 2", incluindo ligações, acessórios e todos os trabalhos complementares.</v>
          </cell>
          <cell r="D849" t="str">
            <v>un</v>
          </cell>
          <cell r="E849">
            <v>1</v>
          </cell>
          <cell r="F849">
            <v>26.25</v>
          </cell>
        </row>
        <row r="850">
          <cell r="B850" t="str">
            <v>10.3.2</v>
          </cell>
          <cell r="C850" t="str">
            <v>Idem, de 3"</v>
          </cell>
          <cell r="D850" t="str">
            <v>un</v>
          </cell>
          <cell r="E850">
            <v>1</v>
          </cell>
          <cell r="F850">
            <v>59.4</v>
          </cell>
        </row>
        <row r="851">
          <cell r="B851" t="str">
            <v>10.3.3</v>
          </cell>
          <cell r="C851" t="str">
            <v>Idem, de 1"1/2</v>
          </cell>
          <cell r="D851" t="str">
            <v>un</v>
          </cell>
          <cell r="E851">
            <v>1</v>
          </cell>
          <cell r="F851">
            <v>23.75</v>
          </cell>
        </row>
        <row r="852">
          <cell r="B852" t="str">
            <v>10.3.4</v>
          </cell>
          <cell r="C852" t="str">
            <v>Idem, de 1"</v>
          </cell>
          <cell r="D852" t="str">
            <v>un</v>
          </cell>
          <cell r="E852">
            <v>1</v>
          </cell>
          <cell r="F852">
            <v>12.5</v>
          </cell>
        </row>
        <row r="853">
          <cell r="B853" t="str">
            <v>10.3.5</v>
          </cell>
          <cell r="C853" t="str">
            <v>Idem, de 3/4"</v>
          </cell>
          <cell r="D853" t="str">
            <v>un</v>
          </cell>
          <cell r="E853">
            <v>5</v>
          </cell>
          <cell r="F853">
            <v>18.75</v>
          </cell>
        </row>
        <row r="854">
          <cell r="B854" t="str">
            <v>10.3.6</v>
          </cell>
          <cell r="C854" t="str">
            <v>Idem, de1/2"</v>
          </cell>
          <cell r="D854" t="str">
            <v>un</v>
          </cell>
          <cell r="E854">
            <v>5</v>
          </cell>
          <cell r="F854">
            <v>16.899999999999999</v>
          </cell>
        </row>
        <row r="855">
          <cell r="B855" t="str">
            <v>10.3.7</v>
          </cell>
          <cell r="C855" t="str">
            <v>Idem, de torneiras de passagem de 3/4"</v>
          </cell>
          <cell r="D855" t="str">
            <v>un</v>
          </cell>
          <cell r="E855">
            <v>1</v>
          </cell>
          <cell r="F855">
            <v>18.75</v>
          </cell>
        </row>
        <row r="856">
          <cell r="B856" t="str">
            <v>10.3.8</v>
          </cell>
          <cell r="C856" t="str">
            <v>Idem, de torneiras de passagem de 1/2"</v>
          </cell>
          <cell r="D856" t="str">
            <v>un</v>
          </cell>
          <cell r="E856">
            <v>1</v>
          </cell>
          <cell r="F856">
            <v>16.899999999999999</v>
          </cell>
        </row>
        <row r="857">
          <cell r="B857" t="str">
            <v>10.3.9</v>
          </cell>
          <cell r="C857" t="str">
            <v>Idem, de torneiras de segurança de 2"</v>
          </cell>
          <cell r="D857" t="str">
            <v>un</v>
          </cell>
          <cell r="E857">
            <v>1</v>
          </cell>
          <cell r="F857">
            <v>65.5</v>
          </cell>
        </row>
        <row r="858">
          <cell r="B858" t="str">
            <v>10.3.10</v>
          </cell>
          <cell r="C858" t="str">
            <v>Idem, de torneiras de segurança de 1 1/2"</v>
          </cell>
          <cell r="D858" t="str">
            <v>un</v>
          </cell>
          <cell r="E858">
            <v>1</v>
          </cell>
          <cell r="F858">
            <v>56.15</v>
          </cell>
        </row>
        <row r="859">
          <cell r="B859" t="str">
            <v>10.3.11</v>
          </cell>
          <cell r="C859" t="str">
            <v>Idem, de torneiras de segurança de 1"</v>
          </cell>
          <cell r="D859" t="str">
            <v>un</v>
          </cell>
          <cell r="E859">
            <v>1</v>
          </cell>
          <cell r="F859">
            <v>44.900000000000006</v>
          </cell>
        </row>
        <row r="860">
          <cell r="B860" t="str">
            <v>10.3.12</v>
          </cell>
          <cell r="C860" t="str">
            <v>Idem, de torneiras de segurança de 3/4"</v>
          </cell>
          <cell r="D860" t="str">
            <v>un</v>
          </cell>
          <cell r="E860">
            <v>5</v>
          </cell>
          <cell r="F860">
            <v>26.2</v>
          </cell>
        </row>
        <row r="861">
          <cell r="B861" t="str">
            <v>10.3.13</v>
          </cell>
          <cell r="C861" t="str">
            <v>Idem, de torneiras de segurança de 1/2"</v>
          </cell>
          <cell r="D861" t="str">
            <v>un</v>
          </cell>
          <cell r="E861">
            <v>1</v>
          </cell>
          <cell r="F861">
            <v>22.450000000000003</v>
          </cell>
        </row>
        <row r="862">
          <cell r="B862" t="str">
            <v>10.3.14</v>
          </cell>
          <cell r="C862" t="str">
            <v>Fornecimento e aplicação de válvulas de retensão Ø 2"</v>
          </cell>
          <cell r="D862" t="str">
            <v>un</v>
          </cell>
          <cell r="E862">
            <v>1</v>
          </cell>
          <cell r="F862">
            <v>66.25</v>
          </cell>
        </row>
        <row r="863">
          <cell r="B863" t="str">
            <v>10.3.15</v>
          </cell>
          <cell r="C863" t="str">
            <v>Idem, Ø 1.1/2"</v>
          </cell>
          <cell r="D863" t="str">
            <v>un</v>
          </cell>
          <cell r="E863">
            <v>1</v>
          </cell>
          <cell r="F863">
            <v>22.400000000000002</v>
          </cell>
        </row>
        <row r="864">
          <cell r="B864" t="str">
            <v>10.3.16</v>
          </cell>
          <cell r="C864" t="str">
            <v>Idem, Ø 1"</v>
          </cell>
          <cell r="D864" t="str">
            <v>un</v>
          </cell>
          <cell r="E864">
            <v>1</v>
          </cell>
          <cell r="F864">
            <v>13</v>
          </cell>
        </row>
        <row r="865">
          <cell r="B865" t="str">
            <v>10.3.17</v>
          </cell>
          <cell r="C865" t="str">
            <v>Idem, Ø 3/4"</v>
          </cell>
          <cell r="D865" t="str">
            <v>un</v>
          </cell>
          <cell r="E865">
            <v>1</v>
          </cell>
          <cell r="F865">
            <v>11.1</v>
          </cell>
        </row>
        <row r="866">
          <cell r="B866" t="str">
            <v>10.3.18</v>
          </cell>
          <cell r="C866" t="str">
            <v>Substituição de torneiras de esfera de 3/4"</v>
          </cell>
          <cell r="D866" t="str">
            <v>un</v>
          </cell>
          <cell r="E866">
            <v>1</v>
          </cell>
          <cell r="F866">
            <v>9.3000000000000007</v>
          </cell>
        </row>
        <row r="867">
          <cell r="B867" t="str">
            <v>10.3.19</v>
          </cell>
          <cell r="C867" t="str">
            <v>Idem, de 1"</v>
          </cell>
          <cell r="D867" t="str">
            <v>un</v>
          </cell>
          <cell r="E867">
            <v>1</v>
          </cell>
          <cell r="F867">
            <v>10.7</v>
          </cell>
        </row>
        <row r="868">
          <cell r="B868" t="str">
            <v>10.3.20</v>
          </cell>
          <cell r="C868" t="str">
            <v>Fornecimento e colocação de torneiras de válvulas de cunha de 2"</v>
          </cell>
          <cell r="D868" t="str">
            <v>un</v>
          </cell>
          <cell r="E868">
            <v>1</v>
          </cell>
          <cell r="F868">
            <v>38.75</v>
          </cell>
        </row>
        <row r="869">
          <cell r="B869" t="str">
            <v>10.3.21</v>
          </cell>
          <cell r="C869" t="str">
            <v>Idem, de 1" 1/2</v>
          </cell>
          <cell r="D869" t="str">
            <v>un</v>
          </cell>
          <cell r="E869">
            <v>1</v>
          </cell>
          <cell r="F869">
            <v>28.75</v>
          </cell>
        </row>
        <row r="870">
          <cell r="B870" t="str">
            <v>10.3.22</v>
          </cell>
          <cell r="C870" t="str">
            <v xml:space="preserve">Idem, de 1" </v>
          </cell>
          <cell r="D870" t="str">
            <v>un</v>
          </cell>
          <cell r="E870">
            <v>1</v>
          </cell>
          <cell r="F870">
            <v>24.4</v>
          </cell>
        </row>
        <row r="871">
          <cell r="B871" t="str">
            <v>10.3.23</v>
          </cell>
          <cell r="C871" t="str">
            <v>Idem, de 3/4"</v>
          </cell>
          <cell r="D871" t="str">
            <v>un</v>
          </cell>
          <cell r="E871">
            <v>1</v>
          </cell>
          <cell r="F871">
            <v>21.9</v>
          </cell>
        </row>
        <row r="872">
          <cell r="B872" t="str">
            <v>10.3.24</v>
          </cell>
          <cell r="C872" t="str">
            <v xml:space="preserve">Reparação de torneiras de serviço </v>
          </cell>
          <cell r="D872" t="str">
            <v>un</v>
          </cell>
          <cell r="E872">
            <v>5</v>
          </cell>
          <cell r="F872">
            <v>18.75</v>
          </cell>
        </row>
        <row r="873">
          <cell r="B873" t="str">
            <v>10.3.25</v>
          </cell>
          <cell r="C873" t="str">
            <v>Fornecimento e aplicação de torneiras  para rega de jardim, com caixa incorporada em ferro fundido e saida Ø 1"1/2, incluindo ligações, acessórios e todos os trabalhos complementares.</v>
          </cell>
          <cell r="D873" t="str">
            <v>un</v>
          </cell>
          <cell r="E873">
            <v>1</v>
          </cell>
          <cell r="F873">
            <v>129.70000000000002</v>
          </cell>
        </row>
        <row r="874">
          <cell r="B874" t="str">
            <v>10.3.26</v>
          </cell>
          <cell r="C874" t="str">
            <v>Fornecimento e substitução\montagem de boca de lavagem em ferro fundido, DN25, a instalar ao longo das plataformas, incluindo todos os acessórios de derivação, ligação e fixação necessários</v>
          </cell>
          <cell r="D874" t="str">
            <v>un</v>
          </cell>
          <cell r="E874">
            <v>0</v>
          </cell>
        </row>
        <row r="875">
          <cell r="B875" t="str">
            <v>10.3.27</v>
          </cell>
          <cell r="C875" t="str">
            <v>Fornecimento e montagem de marco de incêndio com cobertura tipo "Somepal" PN 16 da Fucoli-Somepal, ou equivalente, incluindo ligações, acessórios e todos os trabalhos complementares..</v>
          </cell>
          <cell r="D875" t="str">
            <v>un</v>
          </cell>
          <cell r="E875">
            <v>0</v>
          </cell>
        </row>
        <row r="876">
          <cell r="B876" t="str">
            <v>10.3.28</v>
          </cell>
          <cell r="C876" t="str">
            <v>Fornecimento e montagem de marco de incêndio sem cobertura tipo "Classic" PN 16 da Fucoli-Somepal, ou equivalente, incluindo ligações, acessórios e todos os trabalhos complementares..</v>
          </cell>
          <cell r="D876" t="str">
            <v>un</v>
          </cell>
          <cell r="E876">
            <v>0</v>
          </cell>
        </row>
        <row r="877">
          <cell r="B877" t="str">
            <v>10.3.29</v>
          </cell>
          <cell r="C877" t="str">
            <v>Fornecimento e montagem de caixa de carretel basculante completa, incluindo todos os materiais e trabalhos necessários ao seu bom funcionamento.</v>
          </cell>
          <cell r="D877" t="str">
            <v>un</v>
          </cell>
          <cell r="E877">
            <v>0</v>
          </cell>
        </row>
        <row r="878">
          <cell r="B878" t="str">
            <v>10.3.30</v>
          </cell>
          <cell r="C878" t="str">
            <v>Fornecimento e aplicação de válvula redutora de pressão em tubagens com Φ 2”</v>
          </cell>
          <cell r="D878" t="str">
            <v>un</v>
          </cell>
          <cell r="E878">
            <v>1</v>
          </cell>
          <cell r="F878">
            <v>157.5</v>
          </cell>
        </row>
        <row r="879">
          <cell r="B879" t="str">
            <v>10.3.31</v>
          </cell>
          <cell r="C879" t="str">
            <v>Idem, Ø 1.1/2"</v>
          </cell>
          <cell r="D879" t="str">
            <v>un</v>
          </cell>
          <cell r="E879">
            <v>1</v>
          </cell>
          <cell r="F879">
            <v>82.2</v>
          </cell>
        </row>
        <row r="880">
          <cell r="B880" t="str">
            <v>10.3.32</v>
          </cell>
          <cell r="C880" t="str">
            <v>Idem, Ø 1"</v>
          </cell>
          <cell r="D880" t="str">
            <v>un</v>
          </cell>
          <cell r="E880">
            <v>1</v>
          </cell>
          <cell r="F880">
            <v>63.1</v>
          </cell>
        </row>
        <row r="881">
          <cell r="B881" t="str">
            <v>10.3.33</v>
          </cell>
          <cell r="C881" t="str">
            <v>Idem, Ø 3/4"</v>
          </cell>
          <cell r="D881" t="str">
            <v>un</v>
          </cell>
          <cell r="E881">
            <v>1</v>
          </cell>
          <cell r="F881">
            <v>58.1</v>
          </cell>
        </row>
        <row r="882">
          <cell r="B882" t="str">
            <v>10.3.34</v>
          </cell>
          <cell r="C882" t="str">
            <v>Idem, Ø 1/2"</v>
          </cell>
          <cell r="D882" t="str">
            <v>un</v>
          </cell>
          <cell r="E882">
            <v>1</v>
          </cell>
          <cell r="F882">
            <v>36.4</v>
          </cell>
        </row>
        <row r="883">
          <cell r="B883" t="str">
            <v>10.3.35</v>
          </cell>
          <cell r="C883" t="str">
            <v>Reparação de válvulas de seccionamento, incluindo fornecimento de manípulos ou vedantes danificados.</v>
          </cell>
          <cell r="D883" t="str">
            <v>un</v>
          </cell>
          <cell r="E883">
            <v>1</v>
          </cell>
          <cell r="F883">
            <v>18.75</v>
          </cell>
        </row>
        <row r="884">
          <cell r="B884" t="str">
            <v>10.3.36</v>
          </cell>
          <cell r="C884" t="str">
            <v>Fornecimento e aplicação de válvula de retenção de bola em ferro dúctil, de ligação flangeada, DN 50mm</v>
          </cell>
          <cell r="D884" t="str">
            <v>un</v>
          </cell>
          <cell r="E884">
            <v>1</v>
          </cell>
          <cell r="F884">
            <v>75</v>
          </cell>
        </row>
        <row r="885">
          <cell r="B885" t="str">
            <v>10.3.37</v>
          </cell>
          <cell r="C885" t="str">
            <v>Idem, DN 65mm.</v>
          </cell>
          <cell r="D885" t="str">
            <v>un</v>
          </cell>
          <cell r="E885">
            <v>1</v>
          </cell>
          <cell r="F885">
            <v>87.5</v>
          </cell>
        </row>
        <row r="886">
          <cell r="B886" t="str">
            <v>10.3.38</v>
          </cell>
          <cell r="C886" t="str">
            <v>Idem, DN 80mm.</v>
          </cell>
          <cell r="D886" t="str">
            <v>un</v>
          </cell>
          <cell r="E886">
            <v>1</v>
          </cell>
          <cell r="F886">
            <v>106.25</v>
          </cell>
        </row>
        <row r="887">
          <cell r="B887" t="str">
            <v>10.3.39</v>
          </cell>
          <cell r="C887" t="str">
            <v>Idem, DN 100mm.</v>
          </cell>
          <cell r="D887" t="str">
            <v>un</v>
          </cell>
          <cell r="E887">
            <v>1</v>
          </cell>
          <cell r="F887">
            <v>143.75</v>
          </cell>
        </row>
        <row r="888">
          <cell r="B888" t="str">
            <v>10.3.40</v>
          </cell>
          <cell r="C888" t="str">
            <v>Fornecimento e aplicação de válvula de cunha em ferro dúctil, de ligação flangeada, incluindo volante e fixações, DN 50mm</v>
          </cell>
          <cell r="D888" t="str">
            <v>un</v>
          </cell>
          <cell r="E888">
            <v>1</v>
          </cell>
          <cell r="F888">
            <v>112.5</v>
          </cell>
        </row>
        <row r="889">
          <cell r="B889" t="str">
            <v>10.3.41</v>
          </cell>
          <cell r="C889" t="str">
            <v>Idem, DN 65mm.</v>
          </cell>
          <cell r="D889" t="str">
            <v>un</v>
          </cell>
          <cell r="E889">
            <v>1</v>
          </cell>
          <cell r="F889">
            <v>131.25</v>
          </cell>
        </row>
        <row r="890">
          <cell r="B890" t="str">
            <v>10.3.42</v>
          </cell>
          <cell r="C890" t="str">
            <v>Idem, DN 80mm.</v>
          </cell>
          <cell r="D890" t="str">
            <v>un</v>
          </cell>
          <cell r="E890">
            <v>1</v>
          </cell>
          <cell r="F890">
            <v>143.75</v>
          </cell>
        </row>
        <row r="891">
          <cell r="B891" t="str">
            <v>10.3.43</v>
          </cell>
          <cell r="C891" t="str">
            <v>Idem, DN 100mm.</v>
          </cell>
          <cell r="D891" t="str">
            <v>un</v>
          </cell>
          <cell r="E891">
            <v>1</v>
          </cell>
          <cell r="F891">
            <v>178.15</v>
          </cell>
        </row>
        <row r="892">
          <cell r="B892" t="str">
            <v>10.3.44</v>
          </cell>
          <cell r="C892" t="str">
            <v>Fornecimento e colocação de bichas flexíveis ou de latão para ligações</v>
          </cell>
          <cell r="D892" t="str">
            <v>un</v>
          </cell>
          <cell r="E892">
            <v>10</v>
          </cell>
          <cell r="F892">
            <v>15</v>
          </cell>
        </row>
        <row r="893">
          <cell r="B893" t="str">
            <v>10.3.45</v>
          </cell>
          <cell r="C893" t="str">
            <v>Fornecimento e aplicação de aspersores em jardins para rega de microaspersão qualquer que seja o diâmetro</v>
          </cell>
          <cell r="D893" t="str">
            <v>un</v>
          </cell>
          <cell r="E893">
            <v>1</v>
          </cell>
          <cell r="F893">
            <v>18.75</v>
          </cell>
        </row>
        <row r="894">
          <cell r="B894" t="str">
            <v>10.4</v>
          </cell>
          <cell r="C894" t="str">
            <v>TORNEIRAS E VÁLVULAS (EM APARELHOS SANITÁRIOS)</v>
          </cell>
        </row>
        <row r="895">
          <cell r="B895" t="str">
            <v>10.4.1</v>
          </cell>
          <cell r="C895" t="str">
            <v>Fornecimento e/ou substituição de torneiras misturadoras para lavatório, incluindo ligações, acessórios e todos os trabalhos complementares.</v>
          </cell>
          <cell r="D895" t="str">
            <v>un</v>
          </cell>
          <cell r="E895">
            <v>5</v>
          </cell>
          <cell r="F895">
            <v>62.5</v>
          </cell>
        </row>
        <row r="896">
          <cell r="B896" t="str">
            <v>10.4.2</v>
          </cell>
          <cell r="C896" t="str">
            <v>Idem, para Lava-Loiça</v>
          </cell>
          <cell r="D896" t="str">
            <v>un</v>
          </cell>
          <cell r="E896">
            <v>2</v>
          </cell>
          <cell r="F896">
            <v>62.5</v>
          </cell>
        </row>
        <row r="897">
          <cell r="B897" t="str">
            <v>10.4.3</v>
          </cell>
          <cell r="C897" t="str">
            <v>Idem, para bidé</v>
          </cell>
          <cell r="D897" t="str">
            <v>un</v>
          </cell>
          <cell r="E897">
            <v>1</v>
          </cell>
          <cell r="F897">
            <v>62.5</v>
          </cell>
        </row>
        <row r="898">
          <cell r="B898" t="str">
            <v>10.4.4</v>
          </cell>
          <cell r="C898" t="str">
            <v>Idem, para chuveiro</v>
          </cell>
          <cell r="D898" t="str">
            <v>un</v>
          </cell>
          <cell r="E898">
            <v>2</v>
          </cell>
          <cell r="F898">
            <v>62.5</v>
          </cell>
        </row>
        <row r="899">
          <cell r="B899" t="str">
            <v>10.4.5</v>
          </cell>
          <cell r="C899" t="str">
            <v>Fornecimento e/ou substituição de torneiras de coluna, incluindo ligações, acessórios e todos os trabalhos complementares.</v>
          </cell>
          <cell r="D899" t="str">
            <v>un</v>
          </cell>
          <cell r="E899">
            <v>1</v>
          </cell>
          <cell r="F899">
            <v>25</v>
          </cell>
        </row>
        <row r="900">
          <cell r="B900" t="str">
            <v>10.4.6</v>
          </cell>
          <cell r="C900" t="str">
            <v>Idem, de torneiras de coluna temporizadas</v>
          </cell>
          <cell r="D900" t="str">
            <v>un</v>
          </cell>
          <cell r="E900">
            <v>5</v>
          </cell>
          <cell r="F900">
            <v>47</v>
          </cell>
        </row>
        <row r="901">
          <cell r="B901" t="str">
            <v>10.4.7</v>
          </cell>
          <cell r="C901" t="str">
            <v>Idem, de torneiras de bebedouro</v>
          </cell>
          <cell r="D901" t="str">
            <v>un</v>
          </cell>
          <cell r="E901">
            <v>0</v>
          </cell>
        </row>
        <row r="902">
          <cell r="B902" t="str">
            <v>10.4.8</v>
          </cell>
          <cell r="C902" t="str">
            <v>Fornecimento e/ou substituição de bichas de lavatório, bidé ou autoclismo, incluindo ligações, acessórios e todos os trabalhos complementares.</v>
          </cell>
          <cell r="D902" t="str">
            <v>un</v>
          </cell>
          <cell r="E902">
            <v>5</v>
          </cell>
          <cell r="F902">
            <v>15</v>
          </cell>
        </row>
        <row r="903">
          <cell r="B903" t="str">
            <v>10.4.9</v>
          </cell>
          <cell r="C903" t="str">
            <v>idem, de bichas com 1,50m para chuveiro tipo telefone</v>
          </cell>
          <cell r="D903" t="str">
            <v>un</v>
          </cell>
          <cell r="E903">
            <v>1</v>
          </cell>
          <cell r="F903">
            <v>22.5</v>
          </cell>
        </row>
        <row r="904">
          <cell r="B904" t="str">
            <v>10.4.10</v>
          </cell>
          <cell r="C904" t="str">
            <v>Fornecimento e/ou substituição de chuveiro tipo telefone, incluindo ligações, acessórios e todos os trabalhos complementares.</v>
          </cell>
          <cell r="D904" t="str">
            <v>un</v>
          </cell>
          <cell r="E904">
            <v>1</v>
          </cell>
          <cell r="F904">
            <v>18.75</v>
          </cell>
        </row>
        <row r="905">
          <cell r="B905" t="str">
            <v>10.4.11</v>
          </cell>
          <cell r="C905" t="str">
            <v>Fornecimento e/ou substituição de torneiras de esquadria para autoclismos e/ou lavatórios, incluindo ligações, acessórios e todos os trabalhos complementares.</v>
          </cell>
          <cell r="D905" t="str">
            <v>un</v>
          </cell>
          <cell r="E905">
            <v>5</v>
          </cell>
          <cell r="F905">
            <v>9.4</v>
          </cell>
        </row>
        <row r="906">
          <cell r="B906" t="str">
            <v>10.4.12</v>
          </cell>
          <cell r="C906" t="str">
            <v>Fornecimento e aplicação de torneira monocomando de alavanca para lavatório com manípulo hospitalar incluindo cartucho de discos ceramicos, ligação com bicha e torneira de esquadria com filtro de cesto, todos os meios necessários à sua execução.</v>
          </cell>
          <cell r="D906" t="str">
            <v>un</v>
          </cell>
          <cell r="E906">
            <v>1</v>
          </cell>
          <cell r="F906">
            <v>93.75</v>
          </cell>
        </row>
        <row r="907">
          <cell r="B907" t="str">
            <v>10.4.13</v>
          </cell>
          <cell r="C907" t="str">
            <v>Fornecimento e aplicação de torneiras com comando foto-eléctrico temporizado, do tipo "Geberit", ou equivalente, incluindo ligações, acessórios e todos os trabalhos complementares..</v>
          </cell>
          <cell r="D907" t="str">
            <v>un</v>
          </cell>
          <cell r="E907">
            <v>0</v>
          </cell>
        </row>
        <row r="908">
          <cell r="B908" t="str">
            <v>10.4.14</v>
          </cell>
          <cell r="C908" t="str">
            <v>Fornecimento e aplicação de sistemas de descarga de urinois por infravermelhos, a pilha de 9 V, cromado mate, do tipo "Geberit", ou equivalente, incluindo ligações, acessórios e todos os trabalhos complementares..</v>
          </cell>
          <cell r="D908" t="str">
            <v>un</v>
          </cell>
          <cell r="E908">
            <v>0</v>
          </cell>
        </row>
        <row r="909">
          <cell r="B909" t="str">
            <v>10.4.15</v>
          </cell>
          <cell r="C909" t="str">
            <v>Fornecimento e aplicação de sistemas de descarga de urinois por infravermelhos, com alimentação electrica, cromado mate, do tipo "Geberit", ou equivalente, incluindo ligações, acessórios e todos os trabalhos complementares..</v>
          </cell>
          <cell r="D909" t="str">
            <v>un</v>
          </cell>
          <cell r="E909">
            <v>0</v>
          </cell>
        </row>
        <row r="910">
          <cell r="B910" t="str">
            <v>10.4.16</v>
          </cell>
          <cell r="C910" t="str">
            <v>Fornecimento e aplicação de sistemas de descarga de urinois pneumáticos, em aço inox, do tipo "Geberit - Tango", ou equivalente, incluindo ligações, acessórios e todos os trabalhos complementares.</v>
          </cell>
          <cell r="D910" t="str">
            <v>un</v>
          </cell>
          <cell r="E910">
            <v>1</v>
          </cell>
          <cell r="F910">
            <v>162.5</v>
          </cell>
        </row>
        <row r="911">
          <cell r="B911" t="str">
            <v>10.4.17</v>
          </cell>
          <cell r="C911" t="str">
            <v>Fornecimento e aplicação de placa de comando de descarga de sanita em plástico do tipo "Geberit - Série Sigma - Ref. Bolero", ou equivalente, incluindo ligações, acessórios e todos os trabalhos complementares.</v>
          </cell>
          <cell r="D911" t="str">
            <v>un</v>
          </cell>
          <cell r="E911">
            <v>1</v>
          </cell>
          <cell r="F911">
            <v>188</v>
          </cell>
        </row>
        <row r="912">
          <cell r="B912" t="str">
            <v>10.4.18</v>
          </cell>
          <cell r="C912" t="str">
            <v>Fornecimento e aplicação de placa de comando de descarga de sanita em zinco fundido do tipo "Geberit - Série Sigma - Ref. Tango", ou equivalente, incluindo ligações, acessórios e todos os trabalhos complementares.</v>
          </cell>
          <cell r="D912" t="str">
            <v>un</v>
          </cell>
          <cell r="E912">
            <v>1</v>
          </cell>
          <cell r="F912">
            <v>132.30000000000001</v>
          </cell>
        </row>
        <row r="913">
          <cell r="B913" t="str">
            <v>10.4.19</v>
          </cell>
          <cell r="C913" t="str">
            <v>Fornecimento e aplicação de placa de comando de descarga de fluxómetro em plástico ABS do tipo Grohe, ou equivalente, incluindo ligações, acessórios e todos os trabalhos complementares.</v>
          </cell>
          <cell r="D913" t="str">
            <v>un</v>
          </cell>
          <cell r="E913">
            <v>1</v>
          </cell>
          <cell r="F913">
            <v>25</v>
          </cell>
        </row>
        <row r="914">
          <cell r="B914" t="str">
            <v>10.4.20</v>
          </cell>
          <cell r="C914" t="str">
            <v>Fornecimento e aplicação de placa de comando de descarga de fluxómetro latão do tipo Grohe, ou equivalente, incluindo ligações, acessórios e todos os trabalhos complementares.</v>
          </cell>
          <cell r="D914" t="str">
            <v>un</v>
          </cell>
          <cell r="E914">
            <v>1</v>
          </cell>
          <cell r="F914">
            <v>37.5</v>
          </cell>
        </row>
        <row r="915">
          <cell r="B915" t="str">
            <v>10.4.21</v>
          </cell>
          <cell r="C915" t="str">
            <v>Fornecimento e montagem de torneiras simples temporizadas, para serviço de equipamentos (lavatórios, bidés, etc.), incluindo ligações, acessórios e todos os trabalhos complementares.</v>
          </cell>
          <cell r="D915" t="str">
            <v>un</v>
          </cell>
          <cell r="E915">
            <v>5</v>
          </cell>
          <cell r="F915">
            <v>43.75</v>
          </cell>
        </row>
        <row r="916">
          <cell r="B916" t="str">
            <v>10.5</v>
          </cell>
          <cell r="C916" t="str">
            <v>APARELHOS SANITÁRIOS E EQUIPAMENTOS</v>
          </cell>
        </row>
        <row r="917">
          <cell r="B917" t="str">
            <v>10.5.1</v>
          </cell>
          <cell r="C917" t="str">
            <v>Fornecimento, colocação/substituição de autoclismos tipo  de mochila em PVC, incluindo ligações e todos os pertences.</v>
          </cell>
          <cell r="D917" t="str">
            <v>un</v>
          </cell>
          <cell r="E917">
            <v>5</v>
          </cell>
          <cell r="F917">
            <v>62.5</v>
          </cell>
        </row>
        <row r="918">
          <cell r="B918" t="str">
            <v>10.5.2</v>
          </cell>
          <cell r="C918" t="str">
            <v>Reparação de autoclismos de mochila, incluindo acessórios e peças deterioradas ou partidas.</v>
          </cell>
          <cell r="D918" t="str">
            <v>un</v>
          </cell>
          <cell r="E918">
            <v>10</v>
          </cell>
          <cell r="F918">
            <v>37.5</v>
          </cell>
        </row>
        <row r="919">
          <cell r="B919" t="str">
            <v>10.5.3</v>
          </cell>
          <cell r="C919" t="str">
            <v>Fornecimento e colocação de camaras de compensação, incluindo todos os trabalhos de ligação necessarios, fixação e porgadores.</v>
          </cell>
          <cell r="D919" t="str">
            <v>un</v>
          </cell>
          <cell r="E919">
            <v>0</v>
          </cell>
        </row>
        <row r="920">
          <cell r="B920" t="str">
            <v>10.5.4</v>
          </cell>
          <cell r="C920" t="str">
            <v>Substituição de emboques.</v>
          </cell>
          <cell r="D920" t="str">
            <v>un</v>
          </cell>
          <cell r="E920">
            <v>2</v>
          </cell>
          <cell r="F920">
            <v>18.75</v>
          </cell>
        </row>
        <row r="921">
          <cell r="B921" t="str">
            <v>10.5.5</v>
          </cell>
          <cell r="C921" t="str">
            <v>Fornecimento e colocação de fluxómetros tipo "DAL".</v>
          </cell>
          <cell r="D921" t="str">
            <v>un</v>
          </cell>
          <cell r="E921">
            <v>5</v>
          </cell>
          <cell r="F921">
            <v>62.5</v>
          </cell>
        </row>
        <row r="922">
          <cell r="B922" t="str">
            <v>10.5.6</v>
          </cell>
          <cell r="C922" t="str">
            <v>Fornecimento e aplicação de balão de pressão hidrosferico de 50L</v>
          </cell>
          <cell r="D922" t="str">
            <v>un</v>
          </cell>
          <cell r="E922">
            <v>0</v>
          </cell>
        </row>
        <row r="923">
          <cell r="B923" t="str">
            <v>10.5.7</v>
          </cell>
          <cell r="C923" t="str">
            <v>Idem, de 100L</v>
          </cell>
          <cell r="D923" t="str">
            <v>un</v>
          </cell>
          <cell r="E923">
            <v>0</v>
          </cell>
        </row>
        <row r="924">
          <cell r="B924" t="str">
            <v>10.5.8</v>
          </cell>
          <cell r="C924" t="str">
            <v>Fornecimento e aplicação de estrutura de autoclismo de interior, do tipo "Geberit - Duofix" ou equivalente, incluindo depósito, fixação, ligações, acessórios e peças ao seu correto funcionamento.</v>
          </cell>
          <cell r="D924" t="str">
            <v>un</v>
          </cell>
          <cell r="E924">
            <v>1</v>
          </cell>
          <cell r="F924">
            <v>136.25</v>
          </cell>
        </row>
        <row r="925">
          <cell r="B925" t="str">
            <v>10.5.9</v>
          </cell>
          <cell r="C925" t="str">
            <v>Fornecimento e aplicação de coluna de lavatório do tipo "Sanindusa - Série City", ou equivalente, incluindo ligações, acessórios e todos os trabalhos necessários ao bom acabamento e funcionamento.</v>
          </cell>
          <cell r="D925" t="str">
            <v>un</v>
          </cell>
          <cell r="E925">
            <v>1</v>
          </cell>
          <cell r="F925">
            <v>48.7</v>
          </cell>
        </row>
        <row r="926">
          <cell r="B926" t="str">
            <v>10.5.10</v>
          </cell>
          <cell r="C926" t="str">
            <v>Idem, meia coluna</v>
          </cell>
          <cell r="D926" t="str">
            <v>un</v>
          </cell>
          <cell r="E926">
            <v>1</v>
          </cell>
          <cell r="F926">
            <v>41.4</v>
          </cell>
        </row>
        <row r="927">
          <cell r="B927" t="str">
            <v>10.5.11</v>
          </cell>
          <cell r="C927" t="str">
            <v>Idem, lavatório</v>
          </cell>
          <cell r="D927" t="str">
            <v>un</v>
          </cell>
          <cell r="E927">
            <v>1</v>
          </cell>
          <cell r="F927">
            <v>63.9</v>
          </cell>
        </row>
        <row r="928">
          <cell r="B928" t="str">
            <v>10.5.12</v>
          </cell>
          <cell r="C928" t="str">
            <v>Idem, lavatório semi-encastrar</v>
          </cell>
          <cell r="D928" t="str">
            <v>un</v>
          </cell>
          <cell r="E928">
            <v>1</v>
          </cell>
          <cell r="F928">
            <v>86.7</v>
          </cell>
        </row>
        <row r="929">
          <cell r="B929" t="str">
            <v>10.5.13</v>
          </cell>
          <cell r="C929" t="str">
            <v>Idem, sanita simples</v>
          </cell>
          <cell r="D929" t="str">
            <v>un</v>
          </cell>
          <cell r="E929">
            <v>1</v>
          </cell>
          <cell r="F929">
            <v>76.2</v>
          </cell>
        </row>
        <row r="930">
          <cell r="B930" t="str">
            <v>10.5.14</v>
          </cell>
          <cell r="C930" t="str">
            <v>Idem, sanita compacta</v>
          </cell>
          <cell r="D930" t="str">
            <v>un</v>
          </cell>
          <cell r="E930">
            <v>1</v>
          </cell>
          <cell r="F930">
            <v>89.8</v>
          </cell>
        </row>
        <row r="931">
          <cell r="B931" t="str">
            <v>10.5.15</v>
          </cell>
          <cell r="C931" t="str">
            <v>Idem, sanita suspensa</v>
          </cell>
          <cell r="D931" t="str">
            <v>un</v>
          </cell>
          <cell r="E931">
            <v>1</v>
          </cell>
          <cell r="F931">
            <v>130.5</v>
          </cell>
        </row>
        <row r="932">
          <cell r="B932" t="str">
            <v>10.5.16</v>
          </cell>
          <cell r="C932" t="str">
            <v>Idem, tanque compacto</v>
          </cell>
          <cell r="D932" t="str">
            <v>un</v>
          </cell>
          <cell r="E932">
            <v>1</v>
          </cell>
          <cell r="F932">
            <v>69.400000000000006</v>
          </cell>
        </row>
        <row r="933">
          <cell r="B933" t="str">
            <v>10.5.17</v>
          </cell>
          <cell r="C933" t="str">
            <v>Idem, bidé</v>
          </cell>
          <cell r="D933" t="str">
            <v>un</v>
          </cell>
          <cell r="E933">
            <v>1</v>
          </cell>
          <cell r="F933">
            <v>72.099999999999994</v>
          </cell>
        </row>
        <row r="934">
          <cell r="B934" t="str">
            <v>10.5.18</v>
          </cell>
          <cell r="C934" t="str">
            <v>Idem, bidé suspenso</v>
          </cell>
          <cell r="D934" t="str">
            <v>un</v>
          </cell>
          <cell r="E934">
            <v>1</v>
          </cell>
          <cell r="F934">
            <v>105.9</v>
          </cell>
        </row>
        <row r="935">
          <cell r="B935" t="str">
            <v>10.5.19</v>
          </cell>
          <cell r="C935" t="str">
            <v>Fornecimento e aplicação de sanita em aço inoxidável tipo Senda de descarga ao chão, incluindo emboque e ligações.</v>
          </cell>
          <cell r="D935" t="str">
            <v>un</v>
          </cell>
          <cell r="E935">
            <v>1</v>
          </cell>
          <cell r="F935">
            <v>823</v>
          </cell>
        </row>
        <row r="936">
          <cell r="B936" t="str">
            <v>10.5.20</v>
          </cell>
          <cell r="C936" t="str">
            <v>Idem, de descarga à parede.</v>
          </cell>
          <cell r="D936" t="str">
            <v>un</v>
          </cell>
          <cell r="E936">
            <v>1</v>
          </cell>
          <cell r="F936">
            <v>823</v>
          </cell>
        </row>
        <row r="937">
          <cell r="B937" t="str">
            <v>10.5.21</v>
          </cell>
          <cell r="C937" t="str">
            <v>Fornecimento e aplicação de urinol de parede do tipo "Sanindusa - Série Atlântico", ou equivalente, incluindo ligações, acessórios e todos os trabalhos necessários ao bom acabamento e funcionamento.</v>
          </cell>
          <cell r="D937" t="str">
            <v>un</v>
          </cell>
          <cell r="E937">
            <v>1</v>
          </cell>
          <cell r="F937">
            <v>187</v>
          </cell>
        </row>
        <row r="938">
          <cell r="B938" t="str">
            <v>10.5.22</v>
          </cell>
          <cell r="C938" t="str">
            <v>Fornecimento e aplicação de urinol de parede do tipo "Sanindusa - Série Ria", ou equivalente,incluindo ligações, acessórios e todos os trabalhos necessários ao bom acabamento e funcionamento.</v>
          </cell>
          <cell r="D938" t="str">
            <v>un</v>
          </cell>
          <cell r="E938">
            <v>1</v>
          </cell>
          <cell r="F938">
            <v>59.4</v>
          </cell>
        </row>
        <row r="939">
          <cell r="B939" t="str">
            <v>10.5.23</v>
          </cell>
          <cell r="C939" t="str">
            <v>Idem, para urinóis de face (coluna)</v>
          </cell>
          <cell r="D939" t="str">
            <v>un</v>
          </cell>
          <cell r="E939">
            <v>1</v>
          </cell>
          <cell r="F939">
            <v>135</v>
          </cell>
        </row>
        <row r="940">
          <cell r="B940" t="str">
            <v>10.5.24</v>
          </cell>
          <cell r="C940" t="str">
            <v>Fornecimento e aplicação de WC turca do tipo "Sanindusa", ou equivalente, incluindo ligações, acessórios e todos os trabalhos necessários ao bom acabamento e funcionamento.</v>
          </cell>
          <cell r="D940" t="str">
            <v>un</v>
          </cell>
          <cell r="E940">
            <v>1</v>
          </cell>
          <cell r="F940">
            <v>57</v>
          </cell>
        </row>
        <row r="941">
          <cell r="B941" t="str">
            <v>10.5.25</v>
          </cell>
          <cell r="C941" t="str">
            <v>Fornecimento e aplicação de base de chuveiro cerâmcia de pousar com secção quadrada 0,70mx0,70m, do tipo "Sanindusa - Série Moraira" ou equivalente, incluindo ligações, acessórios e todos os trabalhos necessários ao bom acabamento e funcionamento.</v>
          </cell>
          <cell r="D941" t="str">
            <v>un</v>
          </cell>
          <cell r="E941">
            <v>1</v>
          </cell>
          <cell r="F941">
            <v>79</v>
          </cell>
        </row>
        <row r="942">
          <cell r="B942" t="str">
            <v>10.5.26</v>
          </cell>
          <cell r="C942" t="str">
            <v>Idem, com 0,80mx0,80m.</v>
          </cell>
          <cell r="D942" t="str">
            <v>un</v>
          </cell>
          <cell r="E942">
            <v>1</v>
          </cell>
          <cell r="F942">
            <v>93.75</v>
          </cell>
        </row>
        <row r="943">
          <cell r="B943" t="str">
            <v>10.5.27</v>
          </cell>
          <cell r="C943" t="str">
            <v>Idem, de encastrar com 0,80mx0,80m.</v>
          </cell>
          <cell r="D943" t="str">
            <v>un</v>
          </cell>
          <cell r="E943">
            <v>1</v>
          </cell>
          <cell r="F943">
            <v>93.75</v>
          </cell>
        </row>
        <row r="944">
          <cell r="B944" t="str">
            <v>10.5.28</v>
          </cell>
          <cell r="C944" t="str">
            <v>Idem, de canto com 80 de raio.</v>
          </cell>
          <cell r="D944" t="str">
            <v>un</v>
          </cell>
          <cell r="E944">
            <v>1</v>
          </cell>
          <cell r="F944">
            <v>93.75</v>
          </cell>
        </row>
        <row r="945">
          <cell r="B945" t="str">
            <v>10.5.29</v>
          </cell>
          <cell r="C945" t="str">
            <v>Fornecimento e aplicação de base de chuveiro acrílica de pousar com secção quadrada 0,70mx0,70m, do tipo "Sanindusa - Série Moraira" ou equivalente, incluindo ligações, acessórios e todos os trabalhos necessários ao bom acabamento e funcionamento.</v>
          </cell>
          <cell r="D945" t="str">
            <v>un</v>
          </cell>
          <cell r="E945">
            <v>1</v>
          </cell>
          <cell r="F945">
            <v>79</v>
          </cell>
        </row>
        <row r="946">
          <cell r="B946" t="str">
            <v>10.5.30</v>
          </cell>
          <cell r="C946" t="str">
            <v>Idem, com 0,80mx0,80m.</v>
          </cell>
          <cell r="D946" t="str">
            <v>un</v>
          </cell>
          <cell r="E946">
            <v>1</v>
          </cell>
          <cell r="F946">
            <v>93.75</v>
          </cell>
        </row>
        <row r="947">
          <cell r="B947" t="str">
            <v>10.5.31</v>
          </cell>
          <cell r="C947" t="str">
            <v xml:space="preserve">Fornecimento e aplicação de banheiras acrílicas com seção de 1,80mx0,80m, do tipo "Sanindusa - Série Vértice", ou equivalente, incluindo ligações, acessórios e todos os trabalhos necessários ao bom acabamento e funcionamento. </v>
          </cell>
          <cell r="D947" t="str">
            <v>un</v>
          </cell>
          <cell r="E947">
            <v>0</v>
          </cell>
        </row>
        <row r="948">
          <cell r="B948" t="str">
            <v>10.5.32</v>
          </cell>
          <cell r="C948" t="str">
            <v>Fornecimento e colocação de bacias de lavatório em aço inox nas bancadas incluindo acessórios de adaptação da tomada e da descarga de águas e afixação</v>
          </cell>
          <cell r="D948" t="str">
            <v>un</v>
          </cell>
          <cell r="E948">
            <v>1</v>
          </cell>
          <cell r="F948">
            <v>251.95</v>
          </cell>
        </row>
        <row r="949">
          <cell r="B949" t="str">
            <v>10.5.33</v>
          </cell>
          <cell r="C949" t="str">
            <v>Fornecimento e aplicação de lava - loiças inoxidáveis, de pia dupla com escorredor, incluindo ligações, acessórios e todos os trabalhos necessários ao bom acabamento e funcionamento.</v>
          </cell>
          <cell r="D949" t="str">
            <v>un</v>
          </cell>
          <cell r="E949">
            <v>1</v>
          </cell>
          <cell r="F949">
            <v>156.25</v>
          </cell>
        </row>
        <row r="950">
          <cell r="B950" t="str">
            <v>10.5.34</v>
          </cell>
          <cell r="C950" t="str">
            <v>Idem, para sifões de gorduras</v>
          </cell>
          <cell r="D950" t="str">
            <v>un</v>
          </cell>
          <cell r="E950">
            <v>1</v>
          </cell>
          <cell r="F950">
            <v>31.25</v>
          </cell>
        </row>
        <row r="951">
          <cell r="B951" t="str">
            <v>10.5.35</v>
          </cell>
          <cell r="C951" t="str">
            <v>Idem, para sifões de garrafa cromados</v>
          </cell>
          <cell r="D951" t="str">
            <v>un</v>
          </cell>
          <cell r="E951">
            <v>5</v>
          </cell>
          <cell r="F951">
            <v>31.25</v>
          </cell>
        </row>
        <row r="952">
          <cell r="B952" t="str">
            <v>10.5.36</v>
          </cell>
          <cell r="C952" t="str">
            <v>Idem, para sifões de pavimento</v>
          </cell>
          <cell r="D952" t="str">
            <v>un</v>
          </cell>
          <cell r="E952">
            <v>5</v>
          </cell>
          <cell r="F952">
            <v>15</v>
          </cell>
        </row>
        <row r="953">
          <cell r="B953" t="str">
            <v>10.5.37</v>
          </cell>
          <cell r="C953" t="str">
            <v>Fornecimento e aplicação de sifão de lavatório ou bidé com tubo flexível.</v>
          </cell>
          <cell r="D953" t="str">
            <v>un</v>
          </cell>
          <cell r="E953">
            <v>10</v>
          </cell>
          <cell r="F953">
            <v>15</v>
          </cell>
        </row>
        <row r="954">
          <cell r="B954" t="str">
            <v>10.5.38</v>
          </cell>
          <cell r="C954" t="str">
            <v>Fornecimento e colocação/instalação de cilindros termoacumuladores eléctricos para aquecimento de água, de aplicação vertical, de Pot. 1500W, com cuba em cobre, sistema de segurança através de termoestato de controlo exterior, limitador térmico independente, incluindo os termos de responsabilidade necessários para a sua entrada em funcionamento  de acordo com portaria 1081/91.</v>
          </cell>
        </row>
        <row r="955">
          <cell r="B955" t="str">
            <v>10.5.38.1</v>
          </cell>
          <cell r="C955" t="str">
            <v>Com 30 l de capaciadade</v>
          </cell>
          <cell r="D955" t="str">
            <v>un</v>
          </cell>
          <cell r="E955">
            <v>1</v>
          </cell>
          <cell r="F955">
            <v>259.25</v>
          </cell>
        </row>
        <row r="956">
          <cell r="B956" t="str">
            <v>10.5.38.2</v>
          </cell>
          <cell r="C956" t="str">
            <v>Com 50 l de capaciadade</v>
          </cell>
          <cell r="D956" t="str">
            <v>un</v>
          </cell>
          <cell r="E956">
            <v>1</v>
          </cell>
          <cell r="F956">
            <v>312.5</v>
          </cell>
        </row>
        <row r="957">
          <cell r="B957" t="str">
            <v>10.5.38.3</v>
          </cell>
          <cell r="C957" t="str">
            <v>Com 80 l de capaciadade</v>
          </cell>
          <cell r="D957" t="str">
            <v>un</v>
          </cell>
          <cell r="E957">
            <v>1</v>
          </cell>
          <cell r="F957">
            <v>393.75</v>
          </cell>
        </row>
        <row r="958">
          <cell r="B958" t="str">
            <v>10.5.38.4</v>
          </cell>
          <cell r="C958" t="str">
            <v>Com 100l de capacidade</v>
          </cell>
          <cell r="D958" t="str">
            <v>un</v>
          </cell>
          <cell r="E958">
            <v>1</v>
          </cell>
          <cell r="F958">
            <v>437.5</v>
          </cell>
        </row>
        <row r="959">
          <cell r="B959" t="str">
            <v>10.5.38.5</v>
          </cell>
          <cell r="C959" t="str">
            <v>Com 150l de capacidade</v>
          </cell>
          <cell r="D959" t="str">
            <v>un</v>
          </cell>
          <cell r="E959">
            <v>1</v>
          </cell>
          <cell r="F959">
            <v>617.04999999999995</v>
          </cell>
        </row>
        <row r="960">
          <cell r="B960" t="str">
            <v>10.5.39</v>
          </cell>
          <cell r="C960" t="str">
            <v>Fornecimento e aplicação de válvula de segurança em termoacumuladores, de 6bar</v>
          </cell>
          <cell r="D960" t="str">
            <v>un</v>
          </cell>
          <cell r="E960">
            <v>1</v>
          </cell>
          <cell r="F960">
            <v>20</v>
          </cell>
        </row>
        <row r="961">
          <cell r="B961" t="str">
            <v>10.5.40</v>
          </cell>
          <cell r="C961" t="str">
            <v>Idem, 7bar</v>
          </cell>
          <cell r="D961" t="str">
            <v>un</v>
          </cell>
          <cell r="E961">
            <v>1</v>
          </cell>
          <cell r="F961">
            <v>22</v>
          </cell>
        </row>
        <row r="962">
          <cell r="B962" t="str">
            <v>10.5.41</v>
          </cell>
          <cell r="C962" t="str">
            <v>Idem, 8bar</v>
          </cell>
          <cell r="D962" t="str">
            <v>un</v>
          </cell>
          <cell r="E962">
            <v>0</v>
          </cell>
        </row>
        <row r="963">
          <cell r="B963" t="str">
            <v>10.5.42</v>
          </cell>
          <cell r="C963" t="str">
            <v>Idem, 10bar</v>
          </cell>
          <cell r="D963" t="str">
            <v>un</v>
          </cell>
          <cell r="E963">
            <v>0</v>
          </cell>
        </row>
        <row r="964">
          <cell r="B964" t="str">
            <v>10.5.43</v>
          </cell>
          <cell r="C964" t="str">
            <v>Fornecimento e aplicação de vaso de expansão de 5lt</v>
          </cell>
          <cell r="D964" t="str">
            <v>un</v>
          </cell>
          <cell r="E964">
            <v>1</v>
          </cell>
          <cell r="F964">
            <v>36</v>
          </cell>
        </row>
        <row r="965">
          <cell r="B965" t="str">
            <v>10.5.44</v>
          </cell>
          <cell r="C965" t="str">
            <v>Idem, de 12lt</v>
          </cell>
          <cell r="D965" t="str">
            <v>un</v>
          </cell>
          <cell r="E965">
            <v>1</v>
          </cell>
          <cell r="F965">
            <v>36.9</v>
          </cell>
        </row>
        <row r="966">
          <cell r="B966" t="str">
            <v>10.5.45</v>
          </cell>
          <cell r="C966" t="str">
            <v>Idem, de 35lt</v>
          </cell>
          <cell r="D966" t="str">
            <v>un</v>
          </cell>
          <cell r="E966">
            <v>0</v>
          </cell>
        </row>
        <row r="967">
          <cell r="B967" t="str">
            <v>10.5.46</v>
          </cell>
          <cell r="C967" t="str">
            <v>Idem, de 50lt</v>
          </cell>
          <cell r="D967" t="str">
            <v>un</v>
          </cell>
          <cell r="E967">
            <v>0</v>
          </cell>
        </row>
        <row r="968">
          <cell r="B968" t="str">
            <v>10.5.47</v>
          </cell>
          <cell r="C968" t="str">
            <v>Idem, de 100lt</v>
          </cell>
          <cell r="D968" t="str">
            <v>un</v>
          </cell>
          <cell r="E968">
            <v>0</v>
          </cell>
        </row>
        <row r="969">
          <cell r="B969" t="str">
            <v>10.5.48</v>
          </cell>
          <cell r="C969" t="str">
            <v>Fornecimento e instalação de contadores de água, em latão, de 1/2'', incluindo acessórios e todos os meios e materiais necessários à sua aplicação.</v>
          </cell>
          <cell r="D969" t="str">
            <v>un</v>
          </cell>
          <cell r="E969">
            <v>1</v>
          </cell>
          <cell r="F969">
            <v>46.7</v>
          </cell>
        </row>
        <row r="970">
          <cell r="B970" t="str">
            <v>10.5.49</v>
          </cell>
          <cell r="C970" t="str">
            <v>Idem, de 3/4"</v>
          </cell>
          <cell r="D970" t="str">
            <v>un</v>
          </cell>
          <cell r="E970">
            <v>1</v>
          </cell>
          <cell r="F970">
            <v>53</v>
          </cell>
        </row>
        <row r="971">
          <cell r="B971" t="str">
            <v>10.5.50</v>
          </cell>
          <cell r="C971" t="str">
            <v>Idem, de 1"</v>
          </cell>
          <cell r="D971" t="str">
            <v>un</v>
          </cell>
          <cell r="E971">
            <v>1</v>
          </cell>
          <cell r="F971">
            <v>76.319999999999993</v>
          </cell>
        </row>
        <row r="972">
          <cell r="B972" t="str">
            <v>10.5.51</v>
          </cell>
          <cell r="C972" t="str">
            <v>Idem, de 1 1/2"</v>
          </cell>
          <cell r="D972" t="str">
            <v>un</v>
          </cell>
          <cell r="E972">
            <v>1</v>
          </cell>
          <cell r="F972">
            <v>111.5</v>
          </cell>
        </row>
        <row r="973">
          <cell r="B973" t="str">
            <v>10.5.52</v>
          </cell>
          <cell r="C973" t="str">
            <v>Idem, de 2"</v>
          </cell>
          <cell r="D973" t="str">
            <v>un</v>
          </cell>
          <cell r="E973">
            <v>1</v>
          </cell>
          <cell r="F973">
            <v>177.5</v>
          </cell>
        </row>
        <row r="974">
          <cell r="B974" t="str">
            <v>10.5.53</v>
          </cell>
          <cell r="C974" t="str">
            <v>Fornecimento e aplicação de manómetro em rede existente, incluindo acessórios e ligações necessárias.</v>
          </cell>
          <cell r="D974" t="str">
            <v>un</v>
          </cell>
          <cell r="E974">
            <v>1</v>
          </cell>
          <cell r="F974">
            <v>47</v>
          </cell>
        </row>
        <row r="975">
          <cell r="B975" t="str">
            <v>10.5.54</v>
          </cell>
          <cell r="C975" t="str">
            <v>Fornecimento e aplicação de tampa cromada para caixas de pavimento.</v>
          </cell>
          <cell r="D975" t="str">
            <v>un</v>
          </cell>
          <cell r="E975">
            <v>5</v>
          </cell>
          <cell r="F975">
            <v>16.75</v>
          </cell>
        </row>
        <row r="976">
          <cell r="B976" t="str">
            <v>10.5.55</v>
          </cell>
          <cell r="C976" t="str">
            <v>Fornecimento e colocação/instalação de caixas de separação de gorduras tipo GORTECH da ECODEPUR incluindo todos os materias e trabalhos acessórioas necessários, dos modelos:</v>
          </cell>
        </row>
        <row r="977">
          <cell r="B977" t="str">
            <v>10.5.55.1</v>
          </cell>
          <cell r="C977" t="str">
            <v>Tipo NS2 c/ tampas</v>
          </cell>
          <cell r="D977" t="str">
            <v>un</v>
          </cell>
          <cell r="E977">
            <v>0</v>
          </cell>
        </row>
        <row r="978">
          <cell r="B978" t="str">
            <v>10.5.55.2</v>
          </cell>
          <cell r="C978" t="str">
            <v>Tipo NS4 c/ tampas</v>
          </cell>
          <cell r="D978" t="str">
            <v>un</v>
          </cell>
          <cell r="E978">
            <v>0</v>
          </cell>
        </row>
        <row r="979">
          <cell r="B979" t="str">
            <v>10.5.55.3</v>
          </cell>
          <cell r="C979" t="str">
            <v>Tipo NS6  c/ tampas</v>
          </cell>
          <cell r="D979" t="str">
            <v>un</v>
          </cell>
          <cell r="E979">
            <v>0</v>
          </cell>
        </row>
        <row r="980">
          <cell r="B980" t="str">
            <v>10.5.55.4</v>
          </cell>
          <cell r="C980" t="str">
            <v>Tipo NS10  c/ tampas</v>
          </cell>
          <cell r="D980" t="str">
            <v>un</v>
          </cell>
          <cell r="E980">
            <v>0</v>
          </cell>
        </row>
        <row r="981">
          <cell r="B981" t="str">
            <v>10.6</v>
          </cell>
          <cell r="C981" t="str">
            <v>ACESSÓRIOS SANITÁRIOS</v>
          </cell>
        </row>
        <row r="982">
          <cell r="B982" t="str">
            <v>10.6.1</v>
          </cell>
          <cell r="C982" t="str">
            <v>Fornecimento e aplicação de toalheiro para lavatório em aço inoxidável.</v>
          </cell>
          <cell r="D982" t="str">
            <v>un</v>
          </cell>
          <cell r="E982">
            <v>1</v>
          </cell>
          <cell r="F982">
            <v>18.100000000000001</v>
          </cell>
        </row>
        <row r="983">
          <cell r="B983" t="str">
            <v>10.6.2</v>
          </cell>
          <cell r="C983" t="str">
            <v>Idem, em plástico ABS.</v>
          </cell>
          <cell r="D983" t="str">
            <v>un</v>
          </cell>
          <cell r="E983">
            <v>1</v>
          </cell>
          <cell r="F983">
            <v>18.100000000000001</v>
          </cell>
        </row>
        <row r="984">
          <cell r="B984" t="str">
            <v>10.6.3</v>
          </cell>
          <cell r="C984" t="str">
            <v>Idem, porta-rolos para papel higiénico, em aço inox, circulares, diâm. 260mm.</v>
          </cell>
          <cell r="D984" t="str">
            <v>un</v>
          </cell>
          <cell r="E984">
            <v>2</v>
          </cell>
          <cell r="F984">
            <v>40.85</v>
          </cell>
        </row>
        <row r="985">
          <cell r="B985" t="str">
            <v>10.6.4</v>
          </cell>
          <cell r="C985" t="str">
            <v>Idem, em plástico ABS.</v>
          </cell>
          <cell r="D985" t="str">
            <v>un</v>
          </cell>
          <cell r="E985">
            <v>1</v>
          </cell>
          <cell r="F985">
            <v>21.25</v>
          </cell>
        </row>
        <row r="986">
          <cell r="B986" t="str">
            <v>10.6.5</v>
          </cell>
          <cell r="C986" t="str">
            <v>Idem, porta-rolos para papel higiénico convencional, em aço inoxidável.</v>
          </cell>
          <cell r="D986" t="str">
            <v>un</v>
          </cell>
          <cell r="E986">
            <v>1</v>
          </cell>
          <cell r="F986">
            <v>21.9</v>
          </cell>
        </row>
        <row r="987">
          <cell r="B987" t="str">
            <v>10.6.6</v>
          </cell>
          <cell r="C987" t="str">
            <v>Idem, em plástico ABS.</v>
          </cell>
          <cell r="D987" t="str">
            <v>un</v>
          </cell>
          <cell r="E987">
            <v>1</v>
          </cell>
          <cell r="F987">
            <v>12.5</v>
          </cell>
        </row>
        <row r="988">
          <cell r="B988" t="str">
            <v>10.6.7</v>
          </cell>
          <cell r="C988" t="str">
            <v>Idem, conjunto suporte e piassaba</v>
          </cell>
          <cell r="D988" t="str">
            <v>un</v>
          </cell>
          <cell r="E988">
            <v>1</v>
          </cell>
          <cell r="F988">
            <v>20</v>
          </cell>
        </row>
        <row r="989">
          <cell r="B989" t="str">
            <v>10.6.8</v>
          </cell>
          <cell r="C989" t="str">
            <v>Idem, espelho de lavatório com 0.40x0.60m</v>
          </cell>
          <cell r="D989" t="str">
            <v>un</v>
          </cell>
          <cell r="E989">
            <v>1</v>
          </cell>
          <cell r="F989">
            <v>27.5</v>
          </cell>
        </row>
        <row r="990">
          <cell r="B990" t="str">
            <v>10.6.9</v>
          </cell>
          <cell r="C990" t="str">
            <v>Idem, recipiente de lixo para w.c.</v>
          </cell>
          <cell r="D990" t="str">
            <v>un</v>
          </cell>
          <cell r="E990">
            <v>1</v>
          </cell>
          <cell r="F990">
            <v>14.1</v>
          </cell>
        </row>
        <row r="991">
          <cell r="B991" t="str">
            <v>10.6.10</v>
          </cell>
          <cell r="C991" t="str">
            <v>Idem, tampas de saneamento com 50x50 ou 60x60</v>
          </cell>
          <cell r="D991" t="str">
            <v>un</v>
          </cell>
          <cell r="E991">
            <v>1</v>
          </cell>
          <cell r="F991">
            <v>44.4</v>
          </cell>
        </row>
        <row r="992">
          <cell r="B992" t="str">
            <v>10.6.11</v>
          </cell>
          <cell r="C992" t="str">
            <v>Idem, tampas de sanita</v>
          </cell>
          <cell r="D992" t="str">
            <v>un</v>
          </cell>
          <cell r="E992">
            <v>10</v>
          </cell>
          <cell r="F992">
            <v>25</v>
          </cell>
        </row>
        <row r="993">
          <cell r="B993" t="str">
            <v>10.6.12</v>
          </cell>
          <cell r="C993" t="str">
            <v>Idem, doseador de sabonete líquido em aço inoxidável</v>
          </cell>
          <cell r="D993" t="str">
            <v>un</v>
          </cell>
          <cell r="E993">
            <v>1</v>
          </cell>
          <cell r="F993">
            <v>46.9</v>
          </cell>
        </row>
        <row r="994">
          <cell r="B994" t="str">
            <v>10.6.13</v>
          </cell>
          <cell r="C994" t="str">
            <v>Idem, doseador de sabonete líquido em plástico ABS</v>
          </cell>
          <cell r="D994" t="str">
            <v>un</v>
          </cell>
          <cell r="E994">
            <v>1</v>
          </cell>
          <cell r="F994">
            <v>13.75</v>
          </cell>
        </row>
        <row r="995">
          <cell r="B995" t="str">
            <v>10.6.14</v>
          </cell>
          <cell r="C995" t="str">
            <v>Idem, porta-toalhetes em aço inoxidável</v>
          </cell>
          <cell r="D995" t="str">
            <v>un</v>
          </cell>
          <cell r="E995">
            <v>1</v>
          </cell>
          <cell r="F995">
            <v>48.650000000000006</v>
          </cell>
        </row>
        <row r="996">
          <cell r="B996" t="str">
            <v>10.6.15</v>
          </cell>
          <cell r="C996" t="str">
            <v>Idem, porta-toalhetes em plástico ABS</v>
          </cell>
          <cell r="D996" t="str">
            <v>un</v>
          </cell>
          <cell r="E996">
            <v>1</v>
          </cell>
          <cell r="F996">
            <v>21.25</v>
          </cell>
        </row>
        <row r="997">
          <cell r="B997" t="str">
            <v>10.6.16</v>
          </cell>
          <cell r="C997" t="str">
            <v>Idem, varões para cortinados</v>
          </cell>
          <cell r="D997" t="str">
            <v>m</v>
          </cell>
          <cell r="E997">
            <v>1</v>
          </cell>
          <cell r="F997">
            <v>15.7</v>
          </cell>
        </row>
        <row r="998">
          <cell r="B998" t="str">
            <v>10.6.17</v>
          </cell>
          <cell r="C998" t="str">
            <v>Idem, cortinados plastificados para balnearios</v>
          </cell>
          <cell r="D998" t="str">
            <v>m</v>
          </cell>
          <cell r="E998">
            <v>1</v>
          </cell>
          <cell r="F998">
            <v>23.5</v>
          </cell>
        </row>
        <row r="999">
          <cell r="B999" t="str">
            <v>10.6.18</v>
          </cell>
          <cell r="C999" t="str">
            <v>Fornecimento e aplicação de separadores de urinois, do tipo "Geberit", ou equivalente, com as dimensões de 740mm*440mm, incluindo fixação e todos os trabalhos complementares.</v>
          </cell>
          <cell r="D999" t="str">
            <v>un</v>
          </cell>
          <cell r="E999">
            <v>1</v>
          </cell>
          <cell r="F999">
            <v>235</v>
          </cell>
        </row>
        <row r="1000">
          <cell r="B1000" t="str">
            <v>10.6.19</v>
          </cell>
          <cell r="C1000" t="str">
            <v>Fornecimento e aplicação de barra de apoio recto com campânula de protecção com 610mm de comprimento entre centros de patelas, em aço inoxidável AISI 304 com 1,5mm de espessura e acabamento escovado, para montagem horizontal, incluindo fixações e todos os meios necessários à sua execução.</v>
          </cell>
          <cell r="D1000" t="str">
            <v>un</v>
          </cell>
          <cell r="E1000">
            <v>1</v>
          </cell>
          <cell r="F1000">
            <v>155</v>
          </cell>
        </row>
        <row r="1001">
          <cell r="B1001" t="str">
            <v>10.6.20</v>
          </cell>
          <cell r="C1001" t="str">
            <v>Fornecimento e aplicação de barra de apoio rebatível em aço inoxidável AISI 304 de acabamento escovado com 1,5mm de espessura, com base de fixação à parede, incluindo fixações e todos os meios necessários à sua execução.</v>
          </cell>
          <cell r="D1001" t="str">
            <v>un</v>
          </cell>
          <cell r="E1001">
            <v>1</v>
          </cell>
          <cell r="F1001">
            <v>235</v>
          </cell>
        </row>
        <row r="1002">
          <cell r="B1002" t="str">
            <v>10.6.21</v>
          </cell>
          <cell r="C1002" t="str">
            <v>Fornecimento e aplicação de muda fraldas rebatível em polietileno, horizontal de parede, incluindo cinto de segurança com sistema de fecho rápido e cabides, dispensador de toalhetes, fixação à parede e todos os meios necessários à sua execução.</v>
          </cell>
          <cell r="D1002" t="str">
            <v>un</v>
          </cell>
          <cell r="E1002">
            <v>1</v>
          </cell>
          <cell r="F1002">
            <v>157</v>
          </cell>
        </row>
        <row r="1003">
          <cell r="B1003" t="str">
            <v>10.7</v>
          </cell>
          <cell r="C1003" t="str">
            <v>LIMPEZAS E DESOBSTRUÇÕES</v>
          </cell>
        </row>
        <row r="1004">
          <cell r="B1004" t="str">
            <v>10.7.1</v>
          </cell>
          <cell r="C1004" t="str">
            <v>Reparação ou desobstrução de canalizações de esgotos, não incluindo abertura de roços ou valas de sanitas e turcas.</v>
          </cell>
          <cell r="D1004" t="str">
            <v>m</v>
          </cell>
          <cell r="E1004">
            <v>50</v>
          </cell>
          <cell r="F1004">
            <v>7.5</v>
          </cell>
        </row>
        <row r="1005">
          <cell r="B1005" t="str">
            <v>10.7.2</v>
          </cell>
          <cell r="C1005" t="str">
            <v>Desobstrução de esgotos de sanitas e turcas</v>
          </cell>
          <cell r="D1005" t="str">
            <v>un</v>
          </cell>
          <cell r="E1005">
            <v>10</v>
          </cell>
          <cell r="F1005">
            <v>25</v>
          </cell>
        </row>
        <row r="1006">
          <cell r="B1006" t="str">
            <v>10.7.3</v>
          </cell>
          <cell r="C1006" t="str">
            <v>Idem em lavatórios e bidés</v>
          </cell>
          <cell r="D1006" t="str">
            <v>un</v>
          </cell>
          <cell r="E1006">
            <v>5</v>
          </cell>
          <cell r="F1006">
            <v>25</v>
          </cell>
        </row>
        <row r="1007">
          <cell r="B1007" t="str">
            <v>10.7.4</v>
          </cell>
          <cell r="C1007" t="str">
            <v>Idem em caixas de visita</v>
          </cell>
          <cell r="D1007" t="str">
            <v>un</v>
          </cell>
          <cell r="E1007">
            <v>10</v>
          </cell>
          <cell r="F1007">
            <v>25</v>
          </cell>
        </row>
        <row r="1008">
          <cell r="B1008" t="str">
            <v>10.7.5</v>
          </cell>
          <cell r="C1008" t="str">
            <v>Idem em urinóis</v>
          </cell>
          <cell r="D1008" t="str">
            <v>un</v>
          </cell>
          <cell r="E1008">
            <v>10</v>
          </cell>
          <cell r="F1008">
            <v>37.5</v>
          </cell>
        </row>
        <row r="1009">
          <cell r="B1009" t="str">
            <v>10.7.6</v>
          </cell>
          <cell r="C1009" t="str">
            <v>Idem em tubos de queda</v>
          </cell>
          <cell r="D1009" t="str">
            <v>un</v>
          </cell>
          <cell r="E1009">
            <v>2</v>
          </cell>
          <cell r="F1009">
            <v>62.5</v>
          </cell>
        </row>
        <row r="1010">
          <cell r="B1010" t="str">
            <v>10.7.7</v>
          </cell>
          <cell r="C1010" t="str">
            <v>Desobstrução de canalizações de esgotos ou de outra natureza por meios mecânicos de bombagem ou injecção, qualquer que seja a extensão, com recurso a empresas especializadas:</v>
          </cell>
        </row>
        <row r="1011">
          <cell r="B1011" t="str">
            <v>10.7.7.1</v>
          </cell>
          <cell r="C1011" t="str">
            <v>Mobilização dos meios, incluindo as primeiras três horas de trabalhos.</v>
          </cell>
          <cell r="D1011" t="str">
            <v>un</v>
          </cell>
          <cell r="E1011">
            <v>1</v>
          </cell>
          <cell r="F1011">
            <v>500</v>
          </cell>
        </row>
        <row r="1012">
          <cell r="B1012" t="str">
            <v>10.7.7.2</v>
          </cell>
          <cell r="C1012" t="str">
            <v>Horas adicionais</v>
          </cell>
          <cell r="D1012" t="str">
            <v>h</v>
          </cell>
          <cell r="E1012">
            <v>1</v>
          </cell>
          <cell r="F1012">
            <v>107</v>
          </cell>
        </row>
        <row r="1013">
          <cell r="B1013" t="str">
            <v>10.7.8</v>
          </cell>
          <cell r="C1013" t="str">
            <v>Limpeza e esvaziamento de fossas seticas, por meios mecânicos de bombagem, qualquer que seja a dimensão, com recurso a empresas especializadas:</v>
          </cell>
        </row>
        <row r="1014">
          <cell r="B1014" t="str">
            <v>10.7.8.1</v>
          </cell>
          <cell r="C1014" t="str">
            <v>Mobilização dos meios, incluindo os primeiros 10m3.</v>
          </cell>
          <cell r="D1014" t="str">
            <v>un</v>
          </cell>
          <cell r="E1014">
            <v>3</v>
          </cell>
          <cell r="F1014">
            <v>500</v>
          </cell>
        </row>
        <row r="1015">
          <cell r="B1015" t="str">
            <v>10.7.8.2</v>
          </cell>
          <cell r="C1015" t="str">
            <v>Volume adicional ao artigo anterior em m3</v>
          </cell>
          <cell r="D1015" t="str">
            <v>m3</v>
          </cell>
          <cell r="E1015">
            <v>1</v>
          </cell>
          <cell r="F1015">
            <v>107</v>
          </cell>
        </row>
        <row r="1016">
          <cell r="B1016" t="str">
            <v>10.7.9</v>
          </cell>
          <cell r="C1016" t="str">
            <v>Limpeza e esvaziamento de caixas de separação de gorduras, por meios mecânicos de bombagem, qualquer que seja a dimensão, com recurso a empresas especializadas, incluindo tratamento dos resíduos (mistura com gorduras):</v>
          </cell>
        </row>
        <row r="1017">
          <cell r="B1017" t="str">
            <v>10.7.9.1</v>
          </cell>
          <cell r="C1017" t="str">
            <v>Mobilização dos meios, incluindo os primeiros 5m3.</v>
          </cell>
          <cell r="D1017" t="str">
            <v>un</v>
          </cell>
          <cell r="E1017">
            <v>1</v>
          </cell>
          <cell r="F1017">
            <v>1305</v>
          </cell>
        </row>
        <row r="1018">
          <cell r="B1018" t="str">
            <v>10.7.9.2</v>
          </cell>
          <cell r="C1018" t="str">
            <v>Volume adicional ao artigo anterior em m3</v>
          </cell>
          <cell r="D1018" t="str">
            <v>m3</v>
          </cell>
          <cell r="E1018">
            <v>1</v>
          </cell>
          <cell r="F1018">
            <v>206.25</v>
          </cell>
        </row>
        <row r="1019">
          <cell r="B1019" t="str">
            <v>10.8</v>
          </cell>
          <cell r="C1019" t="str">
            <v>TAMPAS PARA CAIXAS DE VISITA E SUMIDOUROS / SARJETAS</v>
          </cell>
        </row>
        <row r="1020">
          <cell r="B1020" t="str">
            <v>10.8.1</v>
          </cell>
          <cell r="C1020" t="str">
            <v>Fornecimento e colocação de conjunto tampa e aro em ferro fundido, circulares ou de secção equivalente, classe B125, incluindo acerto de gola, remate e demais trabalhos necessários</v>
          </cell>
        </row>
        <row r="1021">
          <cell r="B1021" t="str">
            <v>10.8.1.1</v>
          </cell>
          <cell r="C1021" t="str">
            <v>De diâm. 40cm</v>
          </cell>
          <cell r="D1021" t="str">
            <v>un</v>
          </cell>
          <cell r="E1021">
            <v>1</v>
          </cell>
          <cell r="F1021">
            <v>50</v>
          </cell>
        </row>
        <row r="1022">
          <cell r="B1022" t="str">
            <v>10.8.1.2</v>
          </cell>
          <cell r="C1022" t="str">
            <v>De diâm. 55cm</v>
          </cell>
          <cell r="D1022" t="str">
            <v>un</v>
          </cell>
          <cell r="E1022">
            <v>1</v>
          </cell>
          <cell r="F1022">
            <v>75</v>
          </cell>
        </row>
        <row r="1023">
          <cell r="B1023" t="str">
            <v>10.8.1.3</v>
          </cell>
          <cell r="C1023" t="str">
            <v>De diâm. 60cm</v>
          </cell>
          <cell r="D1023" t="str">
            <v>un</v>
          </cell>
          <cell r="E1023">
            <v>1</v>
          </cell>
          <cell r="F1023">
            <v>112.5</v>
          </cell>
        </row>
        <row r="1024">
          <cell r="B1024" t="str">
            <v>10.8.2</v>
          </cell>
          <cell r="C1024" t="str">
            <v>Fornecimento e colocação de conjunto tampa e aro em ferro fundido, circulares ou de secção equivalente, classe C250, incluindo acerto de gola, remate e demais trabalhos necessários:</v>
          </cell>
        </row>
        <row r="1025">
          <cell r="B1025" t="str">
            <v>10.8.2.1</v>
          </cell>
          <cell r="C1025" t="str">
            <v>De diâm. 40cm</v>
          </cell>
          <cell r="D1025" t="str">
            <v>un</v>
          </cell>
          <cell r="E1025">
            <v>1</v>
          </cell>
          <cell r="F1025">
            <v>71.25</v>
          </cell>
        </row>
        <row r="1026">
          <cell r="B1026" t="str">
            <v>10.8.2.2</v>
          </cell>
          <cell r="C1026" t="str">
            <v>De diâm. 55cm</v>
          </cell>
          <cell r="D1026" t="str">
            <v>un</v>
          </cell>
          <cell r="E1026">
            <v>1</v>
          </cell>
          <cell r="F1026">
            <v>90</v>
          </cell>
        </row>
        <row r="1027">
          <cell r="B1027" t="str">
            <v>10.8.2.3</v>
          </cell>
          <cell r="C1027" t="str">
            <v>De diâm. 60cm</v>
          </cell>
          <cell r="D1027" t="str">
            <v>un</v>
          </cell>
          <cell r="E1027">
            <v>1</v>
          </cell>
          <cell r="F1027">
            <v>153.75</v>
          </cell>
        </row>
        <row r="1028">
          <cell r="B1028" t="str">
            <v>10.8.2.4</v>
          </cell>
          <cell r="C1028" t="str">
            <v>De diâm. 80cm</v>
          </cell>
          <cell r="D1028" t="str">
            <v>un</v>
          </cell>
          <cell r="E1028">
            <v>1</v>
          </cell>
          <cell r="F1028">
            <v>215</v>
          </cell>
        </row>
        <row r="1029">
          <cell r="B1029" t="str">
            <v>10.8.3</v>
          </cell>
          <cell r="C1029" t="str">
            <v>Fornecimento e colocação de conjunto tampa e aro em ferro fundido, circulares ou de secção equivalente, classe D400, incluindo acerto de gola, remate e demais trabalhos necessários:</v>
          </cell>
        </row>
        <row r="1030">
          <cell r="B1030" t="str">
            <v>10.8.3.1</v>
          </cell>
          <cell r="C1030" t="str">
            <v>De diâm. 40cm</v>
          </cell>
          <cell r="D1030" t="str">
            <v>un</v>
          </cell>
          <cell r="E1030">
            <v>1</v>
          </cell>
          <cell r="F1030">
            <v>74</v>
          </cell>
        </row>
        <row r="1031">
          <cell r="B1031" t="str">
            <v>10.8.3.2</v>
          </cell>
          <cell r="C1031" t="str">
            <v>De diâm. 55cm</v>
          </cell>
          <cell r="D1031" t="str">
            <v>un</v>
          </cell>
          <cell r="E1031">
            <v>1</v>
          </cell>
          <cell r="F1031">
            <v>103.75</v>
          </cell>
        </row>
        <row r="1032">
          <cell r="B1032" t="str">
            <v>10.8.3.3</v>
          </cell>
          <cell r="C1032" t="str">
            <v>De diâm. 60cm</v>
          </cell>
          <cell r="D1032" t="str">
            <v>un</v>
          </cell>
          <cell r="E1032">
            <v>1</v>
          </cell>
          <cell r="F1032">
            <v>168</v>
          </cell>
        </row>
        <row r="1033">
          <cell r="B1033" t="str">
            <v>10.8.4</v>
          </cell>
          <cell r="C1033" t="str">
            <v>Fornecimento e colocação/assentamento de conjunto aro/grelha de sumidouro com sistema anti roubo:</v>
          </cell>
        </row>
        <row r="1034">
          <cell r="B1034" t="str">
            <v>10.8.4.1</v>
          </cell>
          <cell r="C1034" t="str">
            <v>De dimensão 60x35cm, classe C250</v>
          </cell>
          <cell r="D1034" t="str">
            <v>un</v>
          </cell>
          <cell r="E1034">
            <v>1</v>
          </cell>
          <cell r="F1034">
            <v>76.25</v>
          </cell>
        </row>
        <row r="1035">
          <cell r="B1035" t="str">
            <v>10.8.4.2</v>
          </cell>
          <cell r="C1035" t="str">
            <v>De dimensão 60x35cm, classe D400</v>
          </cell>
          <cell r="D1035" t="str">
            <v>un</v>
          </cell>
          <cell r="E1035">
            <v>1</v>
          </cell>
          <cell r="F1035">
            <v>112.5</v>
          </cell>
        </row>
        <row r="1036">
          <cell r="B1036" t="str">
            <v>10.8.4.3</v>
          </cell>
          <cell r="C1036" t="str">
            <v>Fornecimento e assentamento de tampas/grelha circulares, em ferro fundido, classe D400, diâm 60cm.</v>
          </cell>
          <cell r="D1036" t="str">
            <v>un</v>
          </cell>
          <cell r="E1036">
            <v>1</v>
          </cell>
          <cell r="F1036">
            <v>127</v>
          </cell>
        </row>
        <row r="1037">
          <cell r="B1037" t="str">
            <v>10.8.4.4</v>
          </cell>
          <cell r="C1037" t="str">
            <v>Fornecimento e assentamento de conjunto grelha e aro em ferro fundido para sumidouro, com dimensão 60x350mm, classe C250.</v>
          </cell>
          <cell r="D1037" t="str">
            <v>un</v>
          </cell>
          <cell r="E1037">
            <v>1</v>
          </cell>
          <cell r="F1037">
            <v>100</v>
          </cell>
        </row>
        <row r="1038">
          <cell r="B1038" t="str">
            <v>10.8.5</v>
          </cell>
          <cell r="C1038" t="str">
            <v>Fornecimento e aplicação de grelhas em chapa zincada tipo POLYDRAIN com:</v>
          </cell>
        </row>
        <row r="1039">
          <cell r="B1039" t="str">
            <v>10.8.5.1</v>
          </cell>
          <cell r="C1039" t="str">
            <v>0,10m de largura</v>
          </cell>
          <cell r="D1039" t="str">
            <v>m</v>
          </cell>
          <cell r="E1039">
            <v>1</v>
          </cell>
          <cell r="F1039">
            <v>16</v>
          </cell>
        </row>
        <row r="1040">
          <cell r="B1040" t="str">
            <v>10.8.5.2</v>
          </cell>
          <cell r="C1040" t="str">
            <v>0,15m de largura</v>
          </cell>
          <cell r="D1040" t="str">
            <v>m</v>
          </cell>
          <cell r="E1040">
            <v>1</v>
          </cell>
          <cell r="F1040">
            <v>18.25</v>
          </cell>
        </row>
        <row r="1041">
          <cell r="B1041" t="str">
            <v>10.8.5.3</v>
          </cell>
          <cell r="C1041" t="str">
            <v>0,20m de largura</v>
          </cell>
          <cell r="D1041" t="str">
            <v>m</v>
          </cell>
          <cell r="E1041">
            <v>5</v>
          </cell>
          <cell r="F1041">
            <v>21</v>
          </cell>
        </row>
        <row r="1042">
          <cell r="B1042" t="str">
            <v>10.8.5.4</v>
          </cell>
          <cell r="C1042" t="str">
            <v>0,25m de largura</v>
          </cell>
          <cell r="D1042" t="str">
            <v>m</v>
          </cell>
          <cell r="E1042">
            <v>5</v>
          </cell>
          <cell r="F1042">
            <v>23.5</v>
          </cell>
        </row>
        <row r="1043">
          <cell r="B1043" t="str">
            <v>10.8.5.5</v>
          </cell>
          <cell r="C1043" t="str">
            <v>0,30m de largura</v>
          </cell>
          <cell r="D1043" t="str">
            <v>m</v>
          </cell>
          <cell r="E1043">
            <v>5</v>
          </cell>
          <cell r="F1043">
            <v>26.25</v>
          </cell>
        </row>
        <row r="1044">
          <cell r="B1044" t="str">
            <v>10.8.6</v>
          </cell>
          <cell r="C1044" t="str">
            <v>Fornecimento e aplicação de grelhas para sumidouros construidas por medida em barras de aço soldadas e galvanizadas, incluindo fixação.</v>
          </cell>
          <cell r="D1044" t="str">
            <v>m2</v>
          </cell>
          <cell r="E1044">
            <v>1</v>
          </cell>
          <cell r="F1044">
            <v>26.25</v>
          </cell>
        </row>
        <row r="1045">
          <cell r="B1045" t="str">
            <v>10.8.7</v>
          </cell>
          <cell r="C1045" t="str">
            <v>Fornecimento e colocação/assentamento de conjunto aro/grelha em aço metalizado e executados por medida para tapamento de caleiras e sargetas, incluindo dobradiças.</v>
          </cell>
          <cell r="D1045" t="str">
            <v>m2</v>
          </cell>
          <cell r="E1045">
            <v>1</v>
          </cell>
          <cell r="F1045">
            <v>46.9</v>
          </cell>
        </row>
        <row r="1046">
          <cell r="B1046" t="str">
            <v>10.8.8</v>
          </cell>
          <cell r="C1046" t="str">
            <v>Fornecimento e aplicação de grelhas de ferro fundido em aros existente para caleiras de pavimetno contínuas tipo ACO.</v>
          </cell>
          <cell r="D1046" t="str">
            <v>m2</v>
          </cell>
          <cell r="E1046">
            <v>1</v>
          </cell>
          <cell r="F1046">
            <v>31.25</v>
          </cell>
        </row>
        <row r="1047">
          <cell r="B1047" t="str">
            <v>11</v>
          </cell>
          <cell r="C1047" t="str">
            <v>VEDAÇÕES (Nota: Nas vedações com elementos metálicos, referenciadas neste capítulo, deverá ser considerado o fornecimento e aplicação dos materiais para efetuar as ligações à terra através de piquetes, de acordo com o estabelecido nas IT mencionadas.)</v>
          </cell>
        </row>
        <row r="1048">
          <cell r="B1048" t="str">
            <v>11.1</v>
          </cell>
          <cell r="C1048" t="str">
            <v>Fornecimento e colocação de vedação constituida por paineis de rede em aço electrosoldados de acordo com IT_CCE_003.</v>
          </cell>
          <cell r="D1048" t="str">
            <v>m</v>
          </cell>
          <cell r="E1048">
            <v>10</v>
          </cell>
          <cell r="F1048">
            <v>65</v>
          </cell>
        </row>
        <row r="1049">
          <cell r="B1049" t="str">
            <v>11.2</v>
          </cell>
          <cell r="C1049" t="str">
            <v>Fornecimento e colocação de vedação constituida por paineis de rede em aço electrosoldados de acordo com IT_CCE_004, tipologia I.</v>
          </cell>
          <cell r="D1049" t="str">
            <v>m</v>
          </cell>
          <cell r="E1049">
            <v>50</v>
          </cell>
          <cell r="F1049">
            <v>35</v>
          </cell>
        </row>
        <row r="1050">
          <cell r="B1050" t="str">
            <v>11.3</v>
          </cell>
          <cell r="C1050" t="str">
            <v>Fornecimento e colocação de vedação constituida por paineis de rede em aço electrosoldados de acordo com IT_CCE_004, tipologia II.</v>
          </cell>
          <cell r="D1050" t="str">
            <v>m</v>
          </cell>
          <cell r="E1050">
            <v>5</v>
          </cell>
          <cell r="F1050">
            <v>21.25</v>
          </cell>
        </row>
        <row r="1051">
          <cell r="B1051" t="str">
            <v>11.4</v>
          </cell>
          <cell r="C1051" t="str">
            <v>Fornecimento e montagem de prumos de madeira de secção 8,5/10 com 2,30m de altura, de acordo com IT_CCE_005 incluindo fixação da vedação em rede progressiva existente.</v>
          </cell>
          <cell r="D1051" t="str">
            <v>un</v>
          </cell>
          <cell r="E1051">
            <v>70</v>
          </cell>
          <cell r="F1051">
            <v>10.4</v>
          </cell>
        </row>
        <row r="1052">
          <cell r="B1052" t="str">
            <v>11.5</v>
          </cell>
          <cell r="C1052" t="str">
            <v>Fornecimento e colocação de fixadores em prumos metálicos de vedação constituida por paineis de rede em aço electrosoldados de acordo com IT_CCE_004, tipologia I.</v>
          </cell>
          <cell r="D1052" t="str">
            <v>un</v>
          </cell>
          <cell r="E1052">
            <v>5</v>
          </cell>
          <cell r="F1052">
            <v>2.5</v>
          </cell>
        </row>
        <row r="1053">
          <cell r="B1053" t="str">
            <v>11.6</v>
          </cell>
          <cell r="C1053" t="str">
            <v>Fornecimento e montagem de vedação em rede progressiva, de acordo com IT_CCE_005, incluindo os trabalhos referentes a ligações aos prumos de madeira existentes.</v>
          </cell>
          <cell r="D1053" t="str">
            <v>m</v>
          </cell>
          <cell r="E1053">
            <v>50</v>
          </cell>
          <cell r="F1053">
            <v>15.75</v>
          </cell>
        </row>
        <row r="1054">
          <cell r="B1054" t="str">
            <v>11.7</v>
          </cell>
          <cell r="C1054" t="str">
            <v xml:space="preserve">Fornecimento e montagem de vedação de plena via em zona rural, conforme IT.CCE.005, incluindo prumos de madeira, escoramentos, esticadores, encastramento em betão e todos os trabalhos necessários. </v>
          </cell>
          <cell r="D1054" t="str">
            <v>m</v>
          </cell>
          <cell r="E1054">
            <v>500</v>
          </cell>
          <cell r="F1054">
            <v>20</v>
          </cell>
        </row>
        <row r="1055">
          <cell r="B1055" t="str">
            <v>11.8</v>
          </cell>
          <cell r="C1055" t="str">
            <v>Reparação de rede de vedação de plena via em zona rural, incluindo esticamento entre postes.</v>
          </cell>
          <cell r="D1055" t="str">
            <v>m2</v>
          </cell>
          <cell r="E1055">
            <v>500</v>
          </cell>
          <cell r="F1055">
            <v>4.4000000000000004</v>
          </cell>
        </row>
        <row r="1056">
          <cell r="B1056" t="str">
            <v>11.9</v>
          </cell>
          <cell r="C1056" t="str">
            <v xml:space="preserve">Fornecimento e montagem de portão de vedação em madeira em rede progressiva, de duas folhas, com as dimensões de 4,00m*1,50m, incluindo todos os trabalhos necessários. </v>
          </cell>
          <cell r="D1056" t="str">
            <v>un</v>
          </cell>
          <cell r="E1056">
            <v>0</v>
          </cell>
        </row>
        <row r="1057">
          <cell r="B1057" t="str">
            <v>11.10</v>
          </cell>
          <cell r="C1057" t="str">
            <v xml:space="preserve">Fornecimento e montagem de portão de viaturas em vedação de plena via em zona rural, conforme IT.CCE.005, incluindo todos os trabalhos necessários. </v>
          </cell>
          <cell r="D1057" t="str">
            <v>un</v>
          </cell>
          <cell r="E1057">
            <v>1</v>
          </cell>
          <cell r="F1057">
            <v>687.5</v>
          </cell>
        </row>
        <row r="1058">
          <cell r="B1058" t="str">
            <v>11.11</v>
          </cell>
          <cell r="C1058" t="str">
            <v xml:space="preserve">Fornecimento e montagem de portão de homem em vedação de plena via em zona rural, conforme IT.CCE.005, incluindo todos os trabalhos necessários. </v>
          </cell>
          <cell r="D1058" t="str">
            <v>un</v>
          </cell>
          <cell r="E1058">
            <v>1</v>
          </cell>
          <cell r="F1058">
            <v>262.5</v>
          </cell>
        </row>
        <row r="1059">
          <cell r="B1059" t="str">
            <v>11.12</v>
          </cell>
          <cell r="C1059" t="str">
            <v>Reparação da fixação de painéis de vedações em rede electrossoldada aos postes, incluindo acessórios de montagem.</v>
          </cell>
          <cell r="D1059" t="str">
            <v>un</v>
          </cell>
          <cell r="E1059">
            <v>20</v>
          </cell>
          <cell r="F1059">
            <v>18.75</v>
          </cell>
        </row>
        <row r="1060">
          <cell r="B1060" t="str">
            <v>11.13</v>
          </cell>
          <cell r="C1060" t="str">
            <v>Fornecimento e aplicação de vedação em betão armado tipo barra-cama, incluindo prumos de suporte, abertura de fundação e todos os trabalhos complementares.</v>
          </cell>
          <cell r="D1060" t="str">
            <v>m</v>
          </cell>
          <cell r="E1060">
            <v>1</v>
          </cell>
          <cell r="F1060">
            <v>68.75</v>
          </cell>
        </row>
        <row r="1061">
          <cell r="B1061" t="str">
            <v>11.14</v>
          </cell>
          <cell r="C1061" t="str">
            <v>Fornecimento e aplicação de placas de vedação pré-fabricadas em betão armado tipo CP estilo gradeado ou recortado.</v>
          </cell>
          <cell r="D1061" t="str">
            <v>m2</v>
          </cell>
          <cell r="E1061">
            <v>1</v>
          </cell>
          <cell r="F1061">
            <v>36.5</v>
          </cell>
        </row>
        <row r="1062">
          <cell r="B1062" t="str">
            <v>11.15</v>
          </cell>
          <cell r="C1062" t="str">
            <v>Fornecimento e aplicação de placas de vedação pré-fabricadas em betão armado tipo CP, maciças.</v>
          </cell>
          <cell r="D1062" t="str">
            <v>m2</v>
          </cell>
          <cell r="E1062">
            <v>1</v>
          </cell>
          <cell r="F1062">
            <v>36.5</v>
          </cell>
        </row>
        <row r="1063">
          <cell r="B1063" t="str">
            <v>11.16</v>
          </cell>
          <cell r="C1063" t="str">
            <v>Fornecimento e aplicação de pilares pré-fabricados em betão armado para vedação tipo CP.</v>
          </cell>
          <cell r="D1063" t="str">
            <v>m</v>
          </cell>
          <cell r="E1063">
            <v>1</v>
          </cell>
          <cell r="F1063">
            <v>6.25</v>
          </cell>
        </row>
        <row r="1064">
          <cell r="B1064" t="str">
            <v>11.17</v>
          </cell>
          <cell r="C1064" t="str">
            <v>Fornecimento e colocação de rede elástica DIN plastificada incluindo montantes</v>
          </cell>
          <cell r="D1064" t="str">
            <v>m2</v>
          </cell>
          <cell r="E1064">
            <v>50</v>
          </cell>
          <cell r="F1064">
            <v>13.2</v>
          </cell>
        </row>
        <row r="1065">
          <cell r="B1065" t="str">
            <v>11.18</v>
          </cell>
          <cell r="C1065" t="str">
            <v>Reparação de vedação elástica DIN, incluindo rede, prumos e esticamento entre postes.</v>
          </cell>
          <cell r="D1065" t="str">
            <v>m2</v>
          </cell>
          <cell r="E1065">
            <v>50</v>
          </cell>
          <cell r="F1065">
            <v>8.75</v>
          </cell>
        </row>
        <row r="1066">
          <cell r="B1066" t="str">
            <v>11.19</v>
          </cell>
          <cell r="C1066" t="str">
            <v>Fornecimento e aplicação de guardas metálicas rodoviárias, incluindo prumos, acessórios, rabos de peixe.</v>
          </cell>
          <cell r="D1066" t="str">
            <v>m</v>
          </cell>
          <cell r="E1066">
            <v>1</v>
          </cell>
          <cell r="F1066">
            <v>312.5</v>
          </cell>
        </row>
        <row r="1067">
          <cell r="B1067" t="str">
            <v>12</v>
          </cell>
          <cell r="C1067" t="str">
            <v>MANUTENÇÃO DE ZONAS VERDES (inclui a recolha e o encaminhamento dos sobrantes/ resíduos a destino final autorizado/ licenciado, bem como, o cumprimento das disposições legais inerentes).</v>
          </cell>
        </row>
        <row r="1068">
          <cell r="B1068" t="str">
            <v>12.1</v>
          </cell>
          <cell r="C1068" t="str">
            <v>Renovação de áreas relvadas, mediante remoção de manto envelhecido, escarificação de superficie, replantação e adubagem.</v>
          </cell>
          <cell r="D1068" t="str">
            <v>m2</v>
          </cell>
          <cell r="E1068">
            <v>5</v>
          </cell>
          <cell r="F1068">
            <v>6.25</v>
          </cell>
        </row>
        <row r="1069">
          <cell r="B1069" t="str">
            <v>12.2</v>
          </cell>
          <cell r="C1069" t="str">
            <v>Fornecimento e aplicação de terra vegetal em jardins, canteiros ou floreiras.</v>
          </cell>
          <cell r="D1069" t="str">
            <v>m3</v>
          </cell>
          <cell r="E1069">
            <v>2</v>
          </cell>
          <cell r="F1069">
            <v>3.2</v>
          </cell>
        </row>
        <row r="1070">
          <cell r="B1070" t="str">
            <v>12.3</v>
          </cell>
          <cell r="C1070" t="str">
            <v>Fornecimento e aplicação de tela anti germinante.</v>
          </cell>
          <cell r="D1070" t="str">
            <v>m2</v>
          </cell>
          <cell r="E1070">
            <v>25</v>
          </cell>
          <cell r="F1070">
            <v>3.2</v>
          </cell>
        </row>
        <row r="1071">
          <cell r="B1071" t="str">
            <v>12.4</v>
          </cell>
          <cell r="C1071" t="str">
            <v>Fornecimento e aplicação de casca de carvalho em jardins.</v>
          </cell>
          <cell r="D1071" t="str">
            <v>m3</v>
          </cell>
          <cell r="E1071">
            <v>2</v>
          </cell>
          <cell r="F1071">
            <v>15.7</v>
          </cell>
        </row>
        <row r="1072">
          <cell r="B1072" t="str">
            <v>12.5</v>
          </cell>
          <cell r="C1072" t="str">
            <v>Poda de árvores.</v>
          </cell>
          <cell r="D1072" t="str">
            <v>un</v>
          </cell>
          <cell r="E1072">
            <v>10</v>
          </cell>
          <cell r="F1072">
            <v>62.5</v>
          </cell>
        </row>
        <row r="1073">
          <cell r="B1073" t="str">
            <v>12.6</v>
          </cell>
          <cell r="C1073" t="str">
            <v>Poda de arbusto.</v>
          </cell>
          <cell r="D1073" t="str">
            <v>m2</v>
          </cell>
          <cell r="E1073">
            <v>10</v>
          </cell>
          <cell r="F1073">
            <v>7.9</v>
          </cell>
        </row>
        <row r="1074">
          <cell r="B1074" t="str">
            <v>12.7</v>
          </cell>
          <cell r="C1074" t="str">
            <v>Corte de relvados.</v>
          </cell>
          <cell r="D1074" t="str">
            <v>m2</v>
          </cell>
          <cell r="E1074">
            <v>50</v>
          </cell>
          <cell r="F1074">
            <v>11</v>
          </cell>
        </row>
        <row r="1075">
          <cell r="B1075" t="str">
            <v>13</v>
          </cell>
          <cell r="C1075" t="str">
            <v>ALUGUER DE EQUIPAMENTO E FORNECIMENTO DE MATERIAIS</v>
          </cell>
        </row>
        <row r="1076">
          <cell r="B1076" t="str">
            <v>13.1</v>
          </cell>
          <cell r="C1076" t="str">
            <v>ALUGUER DE EQUIPAMENTO</v>
          </cell>
        </row>
        <row r="1077">
          <cell r="B1077" t="str">
            <v>13.1.1</v>
          </cell>
          <cell r="C1077" t="str">
            <v>Montagem/desmontagem de andaimes em tubo metálico de acordo com o estabelecido com o art.º 40º do Decreto-Lei 50/2005.</v>
          </cell>
          <cell r="D1077" t="str">
            <v>m2</v>
          </cell>
          <cell r="E1077">
            <v>25</v>
          </cell>
          <cell r="F1077">
            <v>7.9</v>
          </cell>
        </row>
        <row r="1078">
          <cell r="B1078" t="str">
            <v>13.1.2</v>
          </cell>
          <cell r="C1078" t="str">
            <v>Rectro escavadora</v>
          </cell>
          <cell r="D1078" t="str">
            <v>h</v>
          </cell>
          <cell r="E1078">
            <v>5</v>
          </cell>
          <cell r="F1078">
            <v>43.75</v>
          </cell>
        </row>
        <row r="1079">
          <cell r="B1079" t="str">
            <v>13.1.3</v>
          </cell>
          <cell r="C1079" t="str">
            <v>Rectro escavadora pequena (tipo Bob-Cat)</v>
          </cell>
          <cell r="D1079" t="str">
            <v>h</v>
          </cell>
          <cell r="E1079">
            <v>5</v>
          </cell>
          <cell r="F1079">
            <v>25</v>
          </cell>
        </row>
        <row r="1080">
          <cell r="B1080" t="str">
            <v>13.1.4</v>
          </cell>
          <cell r="C1080" t="str">
            <v>Giratória tipo Cat 325</v>
          </cell>
          <cell r="D1080" t="str">
            <v>h</v>
          </cell>
          <cell r="E1080">
            <v>5</v>
          </cell>
          <cell r="F1080">
            <v>62.5</v>
          </cell>
        </row>
        <row r="1081">
          <cell r="B1081" t="str">
            <v>13.1.5</v>
          </cell>
          <cell r="C1081" t="str">
            <v>Compressor</v>
          </cell>
          <cell r="D1081" t="str">
            <v>h</v>
          </cell>
          <cell r="E1081">
            <v>1</v>
          </cell>
          <cell r="F1081">
            <v>16.899999999999999</v>
          </cell>
        </row>
        <row r="1082">
          <cell r="B1082" t="str">
            <v>13.1.6</v>
          </cell>
          <cell r="C1082" t="str">
            <v>Cilindro vibrador</v>
          </cell>
          <cell r="D1082" t="str">
            <v>h</v>
          </cell>
          <cell r="E1082">
            <v>1</v>
          </cell>
          <cell r="F1082">
            <v>33.75</v>
          </cell>
        </row>
        <row r="1083">
          <cell r="B1083" t="str">
            <v>13.1.7</v>
          </cell>
          <cell r="C1083" t="str">
            <v>Pá carregadora</v>
          </cell>
          <cell r="D1083" t="str">
            <v>h</v>
          </cell>
          <cell r="E1083">
            <v>1</v>
          </cell>
          <cell r="F1083">
            <v>45</v>
          </cell>
        </row>
        <row r="1084">
          <cell r="B1084" t="str">
            <v>13.1.8</v>
          </cell>
          <cell r="C1084" t="str">
            <v>Camião de 12t basculante</v>
          </cell>
          <cell r="D1084" t="str">
            <v>h</v>
          </cell>
          <cell r="E1084">
            <v>2</v>
          </cell>
          <cell r="F1084">
            <v>28.3</v>
          </cell>
        </row>
        <row r="1085">
          <cell r="B1085" t="str">
            <v>13.1.9</v>
          </cell>
          <cell r="C1085" t="str">
            <v>Camião superior a 26t basculante</v>
          </cell>
          <cell r="D1085" t="str">
            <v>h</v>
          </cell>
          <cell r="E1085">
            <v>1</v>
          </cell>
          <cell r="F1085">
            <v>33.75</v>
          </cell>
        </row>
        <row r="1086">
          <cell r="B1086" t="str">
            <v>13.1.10</v>
          </cell>
          <cell r="C1086" t="str">
            <v>Viatura mista tipo pickup até 3500 Kg PB</v>
          </cell>
          <cell r="D1086" t="str">
            <v>h</v>
          </cell>
          <cell r="E1086">
            <v>15</v>
          </cell>
          <cell r="F1086">
            <v>16.899999999999999</v>
          </cell>
        </row>
        <row r="1087">
          <cell r="B1087" t="str">
            <v>13.1.11</v>
          </cell>
          <cell r="C1087" t="str">
            <v>Martelo eléctrico, incluindo grilho e demais acessóris</v>
          </cell>
          <cell r="D1087" t="str">
            <v>h</v>
          </cell>
          <cell r="E1087">
            <v>5</v>
          </cell>
          <cell r="F1087">
            <v>6.25</v>
          </cell>
        </row>
        <row r="1088">
          <cell r="B1088" t="str">
            <v>13.1.12</v>
          </cell>
          <cell r="C1088" t="str">
            <v>Rectificadora/rebarbadora eléctrica. para trabalhos de serralharia e outros</v>
          </cell>
          <cell r="D1088" t="str">
            <v>h</v>
          </cell>
          <cell r="E1088">
            <v>5</v>
          </cell>
          <cell r="F1088">
            <v>6.25</v>
          </cell>
        </row>
        <row r="1089">
          <cell r="B1089" t="str">
            <v>13.1.13</v>
          </cell>
          <cell r="C1089" t="str">
            <v>Bomba electrica de elevação de 1 1/2"</v>
          </cell>
          <cell r="D1089" t="str">
            <v>h</v>
          </cell>
          <cell r="E1089">
            <v>5</v>
          </cell>
          <cell r="F1089">
            <v>11.25</v>
          </cell>
        </row>
        <row r="1090">
          <cell r="B1090" t="str">
            <v>13.1.14</v>
          </cell>
          <cell r="C1090" t="str">
            <v>Compactador (saltitão)</v>
          </cell>
          <cell r="D1090" t="str">
            <v>h</v>
          </cell>
          <cell r="E1090">
            <v>1</v>
          </cell>
          <cell r="F1090">
            <v>11.25</v>
          </cell>
        </row>
        <row r="1091">
          <cell r="B1091" t="str">
            <v>13.1.15</v>
          </cell>
          <cell r="C1091" t="str">
            <v>Máquina de corte para pavimento betuminoso e/ou betão</v>
          </cell>
          <cell r="D1091" t="str">
            <v>h</v>
          </cell>
          <cell r="E1091">
            <v>1</v>
          </cell>
          <cell r="F1091">
            <v>22.5</v>
          </cell>
        </row>
        <row r="1092">
          <cell r="B1092" t="str">
            <v>13.1.16</v>
          </cell>
          <cell r="C1092" t="str">
            <v>Gerador eléctrico de 2,5 KVA</v>
          </cell>
          <cell r="D1092" t="str">
            <v>h</v>
          </cell>
          <cell r="E1092">
            <v>5</v>
          </cell>
          <cell r="F1092">
            <v>16.899999999999999</v>
          </cell>
        </row>
        <row r="1093">
          <cell r="B1093" t="str">
            <v>13.1.17</v>
          </cell>
          <cell r="C1093" t="str">
            <v>Gerador eléctrico de 5 KVA</v>
          </cell>
          <cell r="D1093" t="str">
            <v>h</v>
          </cell>
          <cell r="E1093">
            <v>1</v>
          </cell>
          <cell r="F1093">
            <v>31.25</v>
          </cell>
        </row>
        <row r="1094">
          <cell r="B1094" t="str">
            <v>13.1.18</v>
          </cell>
          <cell r="C1094" t="str">
            <v>Máquina giratória com balde de 0.75m3</v>
          </cell>
          <cell r="D1094" t="str">
            <v>h</v>
          </cell>
          <cell r="E1094">
            <v>1</v>
          </cell>
          <cell r="F1094">
            <v>43.75</v>
          </cell>
        </row>
        <row r="1095">
          <cell r="B1095" t="str">
            <v>13.1.19</v>
          </cell>
          <cell r="C1095" t="str">
            <v>Betoneira motor a gasolina com balde de 130 litros</v>
          </cell>
          <cell r="D1095" t="str">
            <v>h</v>
          </cell>
          <cell r="E1095">
            <v>1</v>
          </cell>
          <cell r="F1095">
            <v>5.7</v>
          </cell>
        </row>
        <row r="1096">
          <cell r="B1096" t="str">
            <v>13.1.20</v>
          </cell>
          <cell r="C1096" t="str">
            <v>Camião grua</v>
          </cell>
          <cell r="D1096" t="str">
            <v>h</v>
          </cell>
          <cell r="E1096">
            <v>10</v>
          </cell>
          <cell r="F1096">
            <v>56.25</v>
          </cell>
        </row>
        <row r="1097">
          <cell r="B1097" t="str">
            <v>13.1.21</v>
          </cell>
          <cell r="C1097" t="str">
            <v>grua até 5 Ton</v>
          </cell>
          <cell r="D1097" t="str">
            <v>h</v>
          </cell>
          <cell r="E1097">
            <v>1</v>
          </cell>
          <cell r="F1097">
            <v>67.5</v>
          </cell>
        </row>
        <row r="1098">
          <cell r="B1098" t="str">
            <v>13.1.22</v>
          </cell>
          <cell r="C1098" t="str">
            <v>grua até 10 Ton</v>
          </cell>
          <cell r="D1098" t="str">
            <v>h</v>
          </cell>
          <cell r="E1098">
            <v>1</v>
          </cell>
          <cell r="F1098">
            <v>78.75</v>
          </cell>
        </row>
        <row r="1099">
          <cell r="B1099" t="str">
            <v>13.1.23</v>
          </cell>
          <cell r="C1099" t="str">
            <v>Plataforma elevatória</v>
          </cell>
          <cell r="D1099" t="str">
            <v>h</v>
          </cell>
          <cell r="E1099">
            <v>5</v>
          </cell>
          <cell r="F1099">
            <v>58.2</v>
          </cell>
        </row>
        <row r="1100">
          <cell r="B1100" t="str">
            <v>13.2</v>
          </cell>
          <cell r="C1100" t="str">
            <v>FORNECIMENTO DE MATERIAIS</v>
          </cell>
        </row>
        <row r="1101">
          <cell r="B1101" t="str">
            <v>13.2.1</v>
          </cell>
          <cell r="C1101" t="str">
            <v>Fornecimento de sacos de cimento</v>
          </cell>
          <cell r="D1101" t="str">
            <v>un</v>
          </cell>
          <cell r="E1101">
            <v>0</v>
          </cell>
        </row>
        <row r="1102">
          <cell r="B1102" t="str">
            <v>13.2.2</v>
          </cell>
          <cell r="C1102" t="str">
            <v>Fornecimento de brita</v>
          </cell>
          <cell r="D1102" t="str">
            <v>m3</v>
          </cell>
          <cell r="E1102">
            <v>0</v>
          </cell>
        </row>
        <row r="1103">
          <cell r="B1103" t="str">
            <v>13.2.3</v>
          </cell>
          <cell r="C1103" t="str">
            <v xml:space="preserve">Fornecimento de tintas plásticas </v>
          </cell>
          <cell r="D1103" t="str">
            <v>l</v>
          </cell>
          <cell r="E1103">
            <v>5</v>
          </cell>
          <cell r="F1103">
            <v>6.25</v>
          </cell>
        </row>
        <row r="1104">
          <cell r="B1104" t="str">
            <v>13.2.4</v>
          </cell>
          <cell r="C1104" t="str">
            <v>Fornecimento de tintas de esmalte</v>
          </cell>
          <cell r="D1104" t="str">
            <v>l</v>
          </cell>
          <cell r="E1104">
            <v>1</v>
          </cell>
          <cell r="F1104">
            <v>16.25</v>
          </cell>
        </row>
        <row r="1105">
          <cell r="B1105" t="str">
            <v>13.2.5</v>
          </cell>
          <cell r="C1105" t="str">
            <v>Fornecimento de areia do rio lavada</v>
          </cell>
          <cell r="D1105" t="str">
            <v>m3</v>
          </cell>
          <cell r="E1105">
            <v>5</v>
          </cell>
          <cell r="F1105">
            <v>14.15</v>
          </cell>
        </row>
        <row r="1106">
          <cell r="B1106" t="str">
            <v>13.2.6</v>
          </cell>
          <cell r="C1106" t="str">
            <v xml:space="preserve">Fornecimento de pó de pedra </v>
          </cell>
          <cell r="D1106" t="str">
            <v>m3</v>
          </cell>
          <cell r="E1106">
            <v>1</v>
          </cell>
          <cell r="F1106">
            <v>12.5</v>
          </cell>
        </row>
        <row r="1107">
          <cell r="B1107" t="str">
            <v>13.2.7</v>
          </cell>
          <cell r="C1107" t="str">
            <v>Fornecimento de Tout-venant</v>
          </cell>
          <cell r="D1107" t="str">
            <v>m3</v>
          </cell>
          <cell r="E1107">
            <v>5</v>
          </cell>
          <cell r="F1107">
            <v>12.5</v>
          </cell>
        </row>
        <row r="1108">
          <cell r="B1108" t="str">
            <v>13.2.8</v>
          </cell>
          <cell r="C1108" t="str">
            <v>Fornecimento de balastro de origem granítica</v>
          </cell>
          <cell r="D1108" t="str">
            <v>m3</v>
          </cell>
          <cell r="E1108">
            <v>0</v>
          </cell>
        </row>
        <row r="1109">
          <cell r="B1109" t="str">
            <v>14</v>
          </cell>
          <cell r="C1109" t="str">
            <v>MÃO DE OBRA / CONSTRUÇÃO CIVIL</v>
          </cell>
        </row>
        <row r="1110">
          <cell r="B1110" t="str">
            <v>14.1</v>
          </cell>
          <cell r="C1110" t="str">
            <v>HORÁRIO NORMAL</v>
          </cell>
        </row>
        <row r="1111">
          <cell r="B1111" t="str">
            <v>14.1.1</v>
          </cell>
          <cell r="C1111" t="str">
            <v>Encarregado</v>
          </cell>
          <cell r="D1111" t="str">
            <v>h</v>
          </cell>
          <cell r="E1111">
            <v>80</v>
          </cell>
          <cell r="F1111">
            <v>13</v>
          </cell>
        </row>
        <row r="1112">
          <cell r="B1112" t="str">
            <v>14.1.2</v>
          </cell>
          <cell r="C1112" t="str">
            <v>Operário</v>
          </cell>
          <cell r="D1112" t="str">
            <v>h</v>
          </cell>
          <cell r="E1112">
            <v>100</v>
          </cell>
          <cell r="F1112">
            <v>9.5</v>
          </cell>
        </row>
        <row r="1113">
          <cell r="B1113" t="str">
            <v>14.1.3</v>
          </cell>
          <cell r="C1113" t="str">
            <v>Ajudante</v>
          </cell>
          <cell r="D1113" t="str">
            <v>h</v>
          </cell>
          <cell r="E1113">
            <v>100</v>
          </cell>
          <cell r="F1113">
            <v>9</v>
          </cell>
        </row>
        <row r="1114">
          <cell r="B1114" t="str">
            <v>14.2</v>
          </cell>
          <cell r="C1114" t="str">
            <v>HORÁRIO PÓS LABORAL, FIM DE SEMANA E FERIADOS</v>
          </cell>
        </row>
        <row r="1115">
          <cell r="B1115" t="str">
            <v>14.2.1</v>
          </cell>
          <cell r="C1115" t="str">
            <v>Encarregado</v>
          </cell>
          <cell r="D1115" t="str">
            <v>h</v>
          </cell>
          <cell r="E1115">
            <v>5</v>
          </cell>
          <cell r="F1115">
            <v>18</v>
          </cell>
        </row>
        <row r="1116">
          <cell r="B1116" t="str">
            <v>14.2.2</v>
          </cell>
          <cell r="C1116" t="str">
            <v>Operário</v>
          </cell>
          <cell r="D1116" t="str">
            <v>h</v>
          </cell>
          <cell r="E1116">
            <v>10</v>
          </cell>
          <cell r="F1116">
            <v>15</v>
          </cell>
        </row>
        <row r="1117">
          <cell r="B1117" t="str">
            <v>14.2.3</v>
          </cell>
          <cell r="C1117" t="str">
            <v>Ajudante</v>
          </cell>
          <cell r="D1117" t="str">
            <v>h</v>
          </cell>
          <cell r="E1117">
            <v>10</v>
          </cell>
          <cell r="F1117">
            <v>14</v>
          </cell>
        </row>
        <row r="1119">
          <cell r="B1119" t="str">
            <v>15</v>
          </cell>
          <cell r="C1119" t="str">
            <v>Taxa de Mobilização TMB  - ativação da Manutenção Corretiva Normal ou de Emergência:</v>
          </cell>
          <cell r="E1119" t="str">
            <v>PREÇO FIXO</v>
          </cell>
          <cell r="F1119" t="str">
            <v>QUANTIDADE</v>
          </cell>
        </row>
        <row r="1120">
          <cell r="B1120" t="str">
            <v>15.1</v>
          </cell>
          <cell r="C1120" t="str">
            <v>Ativação da Manutenção Corretiva Normal - Coroa 1 (até 50 Kms)</v>
          </cell>
          <cell r="D1120" t="str">
            <v>un</v>
          </cell>
          <cell r="E1120">
            <v>48</v>
          </cell>
          <cell r="F1120">
            <v>40</v>
          </cell>
        </row>
        <row r="1121">
          <cell r="B1121" t="str">
            <v>15.2</v>
          </cell>
          <cell r="C1121" t="str">
            <v>Ativação da Manutenção Corretiva Normal - Coroa 2 (de 50 a 100 Kms)</v>
          </cell>
          <cell r="D1121" t="str">
            <v>un</v>
          </cell>
          <cell r="E1121">
            <v>72</v>
          </cell>
          <cell r="F1121">
            <v>10</v>
          </cell>
        </row>
        <row r="1122">
          <cell r="B1122" t="str">
            <v>15.3</v>
          </cell>
          <cell r="C1122" t="str">
            <v>Ativação da Manutenção Corretiva Normal - Coroa 3 (de 100 a 150 Kms)</v>
          </cell>
          <cell r="D1122" t="str">
            <v>un</v>
          </cell>
          <cell r="E1122">
            <v>96</v>
          </cell>
          <cell r="F1122">
            <v>10</v>
          </cell>
        </row>
        <row r="1123">
          <cell r="B1123" t="str">
            <v>15.4</v>
          </cell>
          <cell r="C1123" t="str">
            <v>Ativação da Manutenção Corretiva Normal - Coroa 4 (acima de 150 Kms)</v>
          </cell>
          <cell r="D1123" t="str">
            <v>un</v>
          </cell>
          <cell r="E1123">
            <v>120</v>
          </cell>
          <cell r="F1123">
            <v>0</v>
          </cell>
        </row>
        <row r="1124">
          <cell r="B1124" t="str">
            <v>15.5</v>
          </cell>
          <cell r="C1124" t="str">
            <v>Ativação da Manutenção Corretiva Emergência - Coroa 1 (até 50 Kms)</v>
          </cell>
          <cell r="D1124" t="str">
            <v>un</v>
          </cell>
          <cell r="E1124">
            <v>60</v>
          </cell>
          <cell r="F1124">
            <v>10</v>
          </cell>
        </row>
        <row r="1125">
          <cell r="B1125" t="str">
            <v>15.6</v>
          </cell>
          <cell r="C1125" t="str">
            <v>Ativação da Manutenção Corretiva Emergência - Coroa 2 (de 50 a 100 Kms)</v>
          </cell>
          <cell r="D1125" t="str">
            <v>un</v>
          </cell>
          <cell r="E1125">
            <v>84</v>
          </cell>
          <cell r="F1125">
            <v>5</v>
          </cell>
        </row>
        <row r="1126">
          <cell r="B1126" t="str">
            <v>15.7</v>
          </cell>
          <cell r="C1126" t="str">
            <v>Ativação da Manutenção Corretiva Emergência - Coroa 3 (de 100 a 150 Kms)</v>
          </cell>
          <cell r="D1126" t="str">
            <v>un</v>
          </cell>
          <cell r="E1126">
            <v>108</v>
          </cell>
          <cell r="F1126">
            <v>5</v>
          </cell>
        </row>
        <row r="1127">
          <cell r="B1127" t="str">
            <v>15.8</v>
          </cell>
          <cell r="C1127" t="str">
            <v>Ativação da Manutenção Corretiva Emergência - Coroa 4 (acima de 150 Kms)</v>
          </cell>
          <cell r="D1127" t="str">
            <v>un</v>
          </cell>
          <cell r="E1127">
            <v>150</v>
          </cell>
          <cell r="F1127">
            <v>0</v>
          </cell>
        </row>
        <row r="1129">
          <cell r="B1129" t="str">
            <v>TOTAL  ( Soma de A) + B)</v>
          </cell>
        </row>
      </sheetData>
      <sheetData sheetId="5" refreshError="1"/>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exoBnovo"/>
      <sheetName val="Anexo C"/>
      <sheetName val="Anexo C novas quant"/>
      <sheetName val="Anexo C new version"/>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1 (2)"/>
      <sheetName val="tabela_o44 (2)"/>
      <sheetName val="OETELEC"/>
      <sheetName val="resumo manual"/>
      <sheetName val="COMPARAÇÃO"/>
      <sheetName val="TELEC"/>
      <sheetName val="Folha1"/>
      <sheetName val="Proposta OE-2004 (base)"/>
      <sheetName val="Proposta OI-NPIDDAC-2004 (base)"/>
    </sheetNames>
    <sheetDataSet>
      <sheetData sheetId="0" refreshError="1"/>
      <sheetData sheetId="1" refreshError="1">
        <row r="1">
          <cell r="A1">
            <v>616200001</v>
          </cell>
          <cell r="B1" t="str">
            <v>616200001  CMC-Matérias Subsidiárias</v>
          </cell>
        </row>
        <row r="2">
          <cell r="A2">
            <v>616300001</v>
          </cell>
          <cell r="B2" t="str">
            <v>616300001  CMC-M D-Carris P Lig</v>
          </cell>
        </row>
        <row r="3">
          <cell r="A3">
            <v>616300002</v>
          </cell>
          <cell r="B3" t="str">
            <v>616300002  CMC-M D-Trav Peç Fix</v>
          </cell>
        </row>
        <row r="4">
          <cell r="A4">
            <v>616300003</v>
          </cell>
          <cell r="B4" t="str">
            <v>616300003  CMC-M D-Balast, Grav</v>
          </cell>
        </row>
        <row r="5">
          <cell r="A5">
            <v>616300004</v>
          </cell>
          <cell r="B5" t="str">
            <v>616300004  CMC-M D-AMVs e Comp</v>
          </cell>
        </row>
        <row r="6">
          <cell r="A6">
            <v>616300005</v>
          </cell>
          <cell r="B6" t="str">
            <v>616300005  CMC-M D-Mat p/ Sinal</v>
          </cell>
        </row>
        <row r="7">
          <cell r="A7">
            <v>616300006</v>
          </cell>
          <cell r="B7" t="str">
            <v>616300006  CMC-M D-Mat p/ Telec</v>
          </cell>
        </row>
        <row r="8">
          <cell r="A8">
            <v>616300009</v>
          </cell>
          <cell r="B8" t="str">
            <v>616300009  CMC-M D-Mat Cat e Su</v>
          </cell>
        </row>
        <row r="9">
          <cell r="A9">
            <v>616300099</v>
          </cell>
          <cell r="B9" t="str">
            <v>616300099  CMC-Mat Div-Outros Materiais</v>
          </cell>
        </row>
        <row r="10">
          <cell r="A10">
            <v>616300101</v>
          </cell>
          <cell r="B10" t="str">
            <v>616300101  CMC-M D U-Carr P Lig</v>
          </cell>
        </row>
        <row r="11">
          <cell r="A11">
            <v>616300102</v>
          </cell>
          <cell r="B11" t="str">
            <v>616300102  CMC-M D U-Trav P Fix</v>
          </cell>
        </row>
        <row r="12">
          <cell r="A12">
            <v>621000001</v>
          </cell>
          <cell r="B12" t="str">
            <v>621000001  FSE-Subcontratos-Via</v>
          </cell>
        </row>
        <row r="13">
          <cell r="A13">
            <v>621000002</v>
          </cell>
          <cell r="B13" t="str">
            <v>621000002  FSE-Subcontratos-Sinalização</v>
          </cell>
        </row>
        <row r="14">
          <cell r="A14">
            <v>621000003</v>
          </cell>
          <cell r="B14" t="str">
            <v>621000003  FSE-Subcontratos-Telecomunicações</v>
          </cell>
        </row>
        <row r="15">
          <cell r="A15">
            <v>621000004</v>
          </cell>
          <cell r="B15" t="str">
            <v>621000004  FSE-Subcontratos-Catenária</v>
          </cell>
        </row>
        <row r="16">
          <cell r="A16">
            <v>621000006</v>
          </cell>
          <cell r="B16" t="str">
            <v>621000006  FSE-Subcontratos-Baixa tensão</v>
          </cell>
        </row>
        <row r="17">
          <cell r="A17">
            <v>621000007</v>
          </cell>
          <cell r="B17" t="str">
            <v>621000007  FSE-Subcontratos-Subestações</v>
          </cell>
        </row>
        <row r="18">
          <cell r="A18">
            <v>621000008</v>
          </cell>
          <cell r="B18" t="str">
            <v>621000008  FSE-Subcontratos-Construção civil</v>
          </cell>
        </row>
        <row r="19">
          <cell r="A19">
            <v>621000009</v>
          </cell>
          <cell r="B19" t="str">
            <v>621000009  FSE-Sub-Pont obr met</v>
          </cell>
        </row>
        <row r="20">
          <cell r="A20">
            <v>621000010</v>
          </cell>
          <cell r="B20" t="str">
            <v>621000010  FSE-Sub-Pass niv-Con</v>
          </cell>
        </row>
        <row r="21">
          <cell r="A21">
            <v>621000012</v>
          </cell>
          <cell r="B21" t="str">
            <v>621000012  FSE-Sub-Recup Materi</v>
          </cell>
        </row>
        <row r="22">
          <cell r="A22">
            <v>621000019</v>
          </cell>
          <cell r="B22" t="str">
            <v>621000019  FSE-Subcontratos-Outros</v>
          </cell>
        </row>
        <row r="23">
          <cell r="A23">
            <v>622110002</v>
          </cell>
          <cell r="B23" t="str">
            <v>622110002  FSE-Elect Usos Diver</v>
          </cell>
        </row>
        <row r="24">
          <cell r="A24">
            <v>622120001</v>
          </cell>
          <cell r="B24" t="str">
            <v>622120001  FSE-Gasóleo</v>
          </cell>
        </row>
        <row r="25">
          <cell r="A25">
            <v>622120002</v>
          </cell>
          <cell r="B25" t="str">
            <v>622120002  FSE-Gasolina</v>
          </cell>
        </row>
        <row r="26">
          <cell r="A26">
            <v>622120009</v>
          </cell>
          <cell r="B26" t="str">
            <v>622120009  FSE-Outros combustiveis</v>
          </cell>
        </row>
        <row r="27">
          <cell r="A27">
            <v>622130001</v>
          </cell>
          <cell r="B27" t="str">
            <v>622130001  FSE-Água</v>
          </cell>
        </row>
        <row r="28">
          <cell r="A28">
            <v>622140001</v>
          </cell>
          <cell r="B28" t="str">
            <v>622140001  FSE-Gás</v>
          </cell>
        </row>
        <row r="29">
          <cell r="A29">
            <v>622140009</v>
          </cell>
          <cell r="B29" t="str">
            <v>622140009  FSE-Outros fluidos</v>
          </cell>
        </row>
        <row r="30">
          <cell r="A30">
            <v>622150001</v>
          </cell>
          <cell r="B30" t="str">
            <v>622150001  FSE-Ferr. e Utens. de Desg. Rapido</v>
          </cell>
        </row>
        <row r="31">
          <cell r="A31">
            <v>622160001</v>
          </cell>
          <cell r="B31" t="str">
            <v>622160001  FSE-Livros e Document. Técnica</v>
          </cell>
        </row>
        <row r="32">
          <cell r="A32">
            <v>622170001</v>
          </cell>
          <cell r="B32" t="str">
            <v>622170001  FSE-Material de Escritório</v>
          </cell>
        </row>
        <row r="33">
          <cell r="A33">
            <v>622190004</v>
          </cell>
          <cell r="B33" t="str">
            <v>622190004  FSE Rendas e Alug-Outr viat</v>
          </cell>
        </row>
        <row r="34">
          <cell r="A34">
            <v>622190005</v>
          </cell>
          <cell r="B34" t="str">
            <v>622190005  FSE-Rendas-Ou I corp</v>
          </cell>
        </row>
        <row r="35">
          <cell r="A35">
            <v>622190009</v>
          </cell>
          <cell r="B35" t="str">
            <v>622190009  FSE-Outras rendas e alugueres</v>
          </cell>
        </row>
        <row r="36">
          <cell r="A36">
            <v>622210001</v>
          </cell>
          <cell r="B36" t="str">
            <v>622210001  FSE-Despesas de Representação</v>
          </cell>
        </row>
        <row r="37">
          <cell r="A37">
            <v>622221001</v>
          </cell>
          <cell r="B37" t="str">
            <v>622221001  FSE-Telefones</v>
          </cell>
        </row>
        <row r="38">
          <cell r="A38">
            <v>622221002</v>
          </cell>
          <cell r="B38" t="str">
            <v>622221002  FSE-Telefax</v>
          </cell>
        </row>
        <row r="39">
          <cell r="A39">
            <v>622221003</v>
          </cell>
          <cell r="B39" t="str">
            <v>622221003  FSE-Telemóveis e BIPs</v>
          </cell>
        </row>
        <row r="40">
          <cell r="A40">
            <v>622221005</v>
          </cell>
          <cell r="B40" t="str">
            <v>622221005  FSE-Serviços Postais</v>
          </cell>
        </row>
        <row r="41">
          <cell r="A41">
            <v>622230001</v>
          </cell>
          <cell r="B41" t="str">
            <v>622230001  FSE-Seguros-Viat L P</v>
          </cell>
        </row>
        <row r="42">
          <cell r="A42">
            <v>622230002</v>
          </cell>
          <cell r="B42" t="str">
            <v>622230002  FSE-Seguros-Outras Viaturas</v>
          </cell>
        </row>
        <row r="43">
          <cell r="A43">
            <v>622260001</v>
          </cell>
          <cell r="B43" t="str">
            <v>622260001  FSE-Transportes Pessoal</v>
          </cell>
        </row>
        <row r="44">
          <cell r="A44">
            <v>622270001</v>
          </cell>
          <cell r="B44" t="str">
            <v>622270001  FSE-Deslocações e Estadias</v>
          </cell>
        </row>
        <row r="45">
          <cell r="A45">
            <v>622320002</v>
          </cell>
          <cell r="B45" t="str">
            <v>622320002  FSE-Cons Rep Ou viat</v>
          </cell>
        </row>
        <row r="46">
          <cell r="A46">
            <v>622320002</v>
          </cell>
          <cell r="B46" t="str">
            <v>622320002  FSE-Cons Rep Ou viat</v>
          </cell>
        </row>
        <row r="47">
          <cell r="A47">
            <v>622320003</v>
          </cell>
          <cell r="B47" t="str">
            <v>622320003  FSE-Cons Rep Mat Inf</v>
          </cell>
        </row>
        <row r="48">
          <cell r="A48">
            <v>622320004</v>
          </cell>
          <cell r="B48" t="str">
            <v>622320004  FSE-CR-Mater P/C Inf</v>
          </cell>
        </row>
        <row r="49">
          <cell r="A49">
            <v>622320009</v>
          </cell>
          <cell r="B49" t="str">
            <v>622320009  FSE-Outras Cons Rep</v>
          </cell>
        </row>
        <row r="50">
          <cell r="A50">
            <v>622340001</v>
          </cell>
          <cell r="B50" t="str">
            <v>622340001  FSE-Limpeza, higiene e conforto</v>
          </cell>
        </row>
        <row r="51">
          <cell r="A51">
            <v>622350001</v>
          </cell>
          <cell r="B51" t="str">
            <v>622350001  Vig e Seg-Entidades Públicas</v>
          </cell>
        </row>
        <row r="52">
          <cell r="A52">
            <v>622350002</v>
          </cell>
          <cell r="B52" t="str">
            <v>622350002  FSE-Vig Seg-Privadas</v>
          </cell>
        </row>
        <row r="53">
          <cell r="A53">
            <v>622350009</v>
          </cell>
          <cell r="B53" t="str">
            <v>622350009  FSE-Outros Vigilância e Segurança</v>
          </cell>
        </row>
        <row r="54">
          <cell r="A54">
            <v>622360001</v>
          </cell>
          <cell r="B54" t="str">
            <v>622360001  FSE-TEs- Informática</v>
          </cell>
        </row>
        <row r="55">
          <cell r="A55">
            <v>622360002</v>
          </cell>
          <cell r="B55" t="str">
            <v>622360002  FSE-TEs- Consultoria</v>
          </cell>
        </row>
        <row r="56">
          <cell r="A56">
            <v>622360009</v>
          </cell>
          <cell r="B56" t="str">
            <v>622360009  FSE-Outros Trab Espe</v>
          </cell>
        </row>
        <row r="57">
          <cell r="A57">
            <v>622980001</v>
          </cell>
          <cell r="B57" t="str">
            <v>622980001  FSE-Transportes de Materiais</v>
          </cell>
        </row>
        <row r="58">
          <cell r="A58">
            <v>622980002</v>
          </cell>
          <cell r="B58" t="str">
            <v>622980002  FSE-Transportes de Equipamentos</v>
          </cell>
        </row>
        <row r="59">
          <cell r="A59">
            <v>622980003</v>
          </cell>
          <cell r="B59" t="str">
            <v>622980003  FSE-Transbordos-Obr</v>
          </cell>
        </row>
        <row r="60">
          <cell r="A60">
            <v>622980005</v>
          </cell>
          <cell r="B60" t="str">
            <v>622980005  FSE-Manutenção de Zonas Verdes</v>
          </cell>
        </row>
        <row r="61">
          <cell r="A61">
            <v>622980006</v>
          </cell>
          <cell r="B61" t="str">
            <v>622980006  FSE-OutFS C/ViatLPas</v>
          </cell>
        </row>
        <row r="62">
          <cell r="A62">
            <v>622980007</v>
          </cell>
          <cell r="B62" t="str">
            <v>622980007  FSE-Anúncios</v>
          </cell>
        </row>
        <row r="63">
          <cell r="A63">
            <v>622980009</v>
          </cell>
          <cell r="B63" t="str">
            <v>622980009  FSE-Outros For e Ser</v>
          </cell>
        </row>
        <row r="64">
          <cell r="A64">
            <v>662200001</v>
          </cell>
          <cell r="B64" t="str">
            <v>662200001  AE Edi Out cons-Esta</v>
          </cell>
        </row>
        <row r="65">
          <cell r="A65">
            <v>662200007</v>
          </cell>
          <cell r="B65" t="str">
            <v>662200007  AE Instal telecomuni</v>
          </cell>
        </row>
        <row r="66">
          <cell r="A66">
            <v>662300001</v>
          </cell>
          <cell r="B66" t="str">
            <v>662300001  AE Máq Instrum-REFER</v>
          </cell>
        </row>
        <row r="67">
          <cell r="A67">
            <v>662300002</v>
          </cell>
          <cell r="B67" t="str">
            <v>662300002  AE Mat tr fer rod-RE</v>
          </cell>
        </row>
        <row r="68">
          <cell r="A68">
            <v>662400001</v>
          </cell>
          <cell r="B68" t="str">
            <v>662400001  AE Eq transpor-REFER</v>
          </cell>
        </row>
        <row r="69">
          <cell r="A69">
            <v>662500001</v>
          </cell>
          <cell r="B69" t="str">
            <v>662500001  AE Ferram Uten-REFER</v>
          </cell>
        </row>
        <row r="70">
          <cell r="A70">
            <v>662600001</v>
          </cell>
          <cell r="B70" t="str">
            <v>662600001  AE Equip Adm - REFER</v>
          </cell>
        </row>
        <row r="71">
          <cell r="A71">
            <v>662600002</v>
          </cell>
          <cell r="B71" t="str">
            <v>662600002  AE Equi social-REFER</v>
          </cell>
        </row>
        <row r="72">
          <cell r="A72">
            <v>662900001</v>
          </cell>
          <cell r="B72" t="str">
            <v>662900001  AE Outr Imobi corpór</v>
          </cell>
        </row>
        <row r="73">
          <cell r="A73">
            <v>663200001</v>
          </cell>
          <cell r="B73" t="str">
            <v>663200001  AE Desp Inves desenv</v>
          </cell>
        </row>
        <row r="74">
          <cell r="A74">
            <v>694800001</v>
          </cell>
          <cell r="B74" t="str">
            <v>694800001  Cust P Ext-Outros</v>
          </cell>
        </row>
        <row r="75">
          <cell r="A75">
            <v>725100001</v>
          </cell>
          <cell r="B75" t="str">
            <v>725100001  P Serviços Secund-Telecomunicações</v>
          </cell>
        </row>
        <row r="76">
          <cell r="A76">
            <v>725510002</v>
          </cell>
          <cell r="B76" t="str">
            <v>725510002  Conserv Ramais Part</v>
          </cell>
        </row>
        <row r="77">
          <cell r="A77">
            <v>725520001</v>
          </cell>
          <cell r="B77" t="str">
            <v>725520001  Prov Supl-Atrav Via Aer  Sub</v>
          </cell>
        </row>
        <row r="78">
          <cell r="A78">
            <v>725520002</v>
          </cell>
          <cell r="B78" t="str">
            <v>725520002  Prov Supl-Atrav Via P Nível</v>
          </cell>
        </row>
        <row r="79">
          <cell r="A79">
            <v>725540001</v>
          </cell>
          <cell r="B79" t="str">
            <v>725540001  Repar Responsab Terc</v>
          </cell>
        </row>
        <row r="80">
          <cell r="A80">
            <v>725900001</v>
          </cell>
          <cell r="B80" t="str">
            <v>725900001  Prov Supl-Outr Serv Sec</v>
          </cell>
        </row>
        <row r="81">
          <cell r="A81">
            <v>732000001</v>
          </cell>
          <cell r="B81" t="str">
            <v>732000001  Prov Supl-Alug Mat Circ Infr</v>
          </cell>
        </row>
        <row r="82">
          <cell r="A82">
            <v>738300001</v>
          </cell>
          <cell r="B82" t="str">
            <v>738300001  Prov Supl-Venda de Sucatas</v>
          </cell>
        </row>
        <row r="83">
          <cell r="A83">
            <v>738300002</v>
          </cell>
          <cell r="B83" t="str">
            <v>738300002  Prov Supl-Venda Prod Vegetais</v>
          </cell>
        </row>
        <row r="84">
          <cell r="A84">
            <v>738600001</v>
          </cell>
          <cell r="B84" t="str">
            <v>738600001  Prov Supl-Cedência de Materiais</v>
          </cell>
        </row>
        <row r="85">
          <cell r="A85">
            <v>738600001</v>
          </cell>
          <cell r="B85" t="str">
            <v>738600001  Prov Supl-Pess Requisitado</v>
          </cell>
        </row>
        <row r="86">
          <cell r="A86">
            <v>738900001</v>
          </cell>
          <cell r="B86" t="str">
            <v>738900001  Prov Supl-Cad Encarg</v>
          </cell>
        </row>
        <row r="87">
          <cell r="A87">
            <v>738900002</v>
          </cell>
          <cell r="B87" t="str">
            <v>738900002  Prov Supl-Renda Casas Pess</v>
          </cell>
        </row>
        <row r="88">
          <cell r="A88">
            <v>738900009</v>
          </cell>
          <cell r="B88" t="str">
            <v>738900009  Prov Supl-Diversos</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7A7CD-476D-41B8-A616-40567B6C89B0}">
  <sheetPr codeName="Folha74">
    <tabColor theme="9" tint="0.59999389629810485"/>
  </sheetPr>
  <dimension ref="A1:P67"/>
  <sheetViews>
    <sheetView showGridLines="0" showZeros="0" showWhiteSpace="0" topLeftCell="B4" zoomScaleNormal="100" zoomScaleSheetLayoutView="75" workbookViewId="0">
      <selection activeCell="B7" sqref="B7:G7"/>
    </sheetView>
  </sheetViews>
  <sheetFormatPr defaultRowHeight="12.75" x14ac:dyDescent="0.2"/>
  <cols>
    <col min="1" max="1" width="4" hidden="1" customWidth="1"/>
    <col min="2" max="2" width="20.42578125" customWidth="1"/>
    <col min="3" max="3" width="62.28515625" customWidth="1"/>
    <col min="4" max="4" width="6.140625" customWidth="1"/>
    <col min="5" max="5" width="11.42578125" customWidth="1"/>
    <col min="6" max="6" width="13.7109375" customWidth="1"/>
    <col min="7" max="7" width="17.28515625" customWidth="1"/>
    <col min="257" max="257" width="7.42578125" bestFit="1" customWidth="1"/>
    <col min="258" max="258" width="54.42578125" customWidth="1"/>
    <col min="259" max="259" width="6" customWidth="1"/>
    <col min="260" max="260" width="7.28515625" customWidth="1"/>
    <col min="261" max="261" width="8.5703125" customWidth="1"/>
    <col min="262" max="262" width="12.28515625" customWidth="1"/>
    <col min="513" max="513" width="7.42578125" bestFit="1" customWidth="1"/>
    <col min="514" max="514" width="54.42578125" customWidth="1"/>
    <col min="515" max="515" width="6" customWidth="1"/>
    <col min="516" max="516" width="7.28515625" customWidth="1"/>
    <col min="517" max="517" width="8.5703125" customWidth="1"/>
    <col min="518" max="518" width="12.28515625" customWidth="1"/>
    <col min="769" max="769" width="7.42578125" bestFit="1" customWidth="1"/>
    <col min="770" max="770" width="54.42578125" customWidth="1"/>
    <col min="771" max="771" width="6" customWidth="1"/>
    <col min="772" max="772" width="7.28515625" customWidth="1"/>
    <col min="773" max="773" width="8.5703125" customWidth="1"/>
    <col min="774" max="774" width="12.28515625" customWidth="1"/>
    <col min="1025" max="1025" width="7.42578125" bestFit="1" customWidth="1"/>
    <col min="1026" max="1026" width="54.42578125" customWidth="1"/>
    <col min="1027" max="1027" width="6" customWidth="1"/>
    <col min="1028" max="1028" width="7.28515625" customWidth="1"/>
    <col min="1029" max="1029" width="8.5703125" customWidth="1"/>
    <col min="1030" max="1030" width="12.28515625" customWidth="1"/>
    <col min="1281" max="1281" width="7.42578125" bestFit="1" customWidth="1"/>
    <col min="1282" max="1282" width="54.42578125" customWidth="1"/>
    <col min="1283" max="1283" width="6" customWidth="1"/>
    <col min="1284" max="1284" width="7.28515625" customWidth="1"/>
    <col min="1285" max="1285" width="8.5703125" customWidth="1"/>
    <col min="1286" max="1286" width="12.28515625" customWidth="1"/>
    <col min="1537" max="1537" width="7.42578125" bestFit="1" customWidth="1"/>
    <col min="1538" max="1538" width="54.42578125" customWidth="1"/>
    <col min="1539" max="1539" width="6" customWidth="1"/>
    <col min="1540" max="1540" width="7.28515625" customWidth="1"/>
    <col min="1541" max="1541" width="8.5703125" customWidth="1"/>
    <col min="1542" max="1542" width="12.28515625" customWidth="1"/>
    <col min="1793" max="1793" width="7.42578125" bestFit="1" customWidth="1"/>
    <col min="1794" max="1794" width="54.42578125" customWidth="1"/>
    <col min="1795" max="1795" width="6" customWidth="1"/>
    <col min="1796" max="1796" width="7.28515625" customWidth="1"/>
    <col min="1797" max="1797" width="8.5703125" customWidth="1"/>
    <col min="1798" max="1798" width="12.28515625" customWidth="1"/>
    <col min="2049" max="2049" width="7.42578125" bestFit="1" customWidth="1"/>
    <col min="2050" max="2050" width="54.42578125" customWidth="1"/>
    <col min="2051" max="2051" width="6" customWidth="1"/>
    <col min="2052" max="2052" width="7.28515625" customWidth="1"/>
    <col min="2053" max="2053" width="8.5703125" customWidth="1"/>
    <col min="2054" max="2054" width="12.28515625" customWidth="1"/>
    <col min="2305" max="2305" width="7.42578125" bestFit="1" customWidth="1"/>
    <col min="2306" max="2306" width="54.42578125" customWidth="1"/>
    <col min="2307" max="2307" width="6" customWidth="1"/>
    <col min="2308" max="2308" width="7.28515625" customWidth="1"/>
    <col min="2309" max="2309" width="8.5703125" customWidth="1"/>
    <col min="2310" max="2310" width="12.28515625" customWidth="1"/>
    <col min="2561" max="2561" width="7.42578125" bestFit="1" customWidth="1"/>
    <col min="2562" max="2562" width="54.42578125" customWidth="1"/>
    <col min="2563" max="2563" width="6" customWidth="1"/>
    <col min="2564" max="2564" width="7.28515625" customWidth="1"/>
    <col min="2565" max="2565" width="8.5703125" customWidth="1"/>
    <col min="2566" max="2566" width="12.28515625" customWidth="1"/>
    <col min="2817" max="2817" width="7.42578125" bestFit="1" customWidth="1"/>
    <col min="2818" max="2818" width="54.42578125" customWidth="1"/>
    <col min="2819" max="2819" width="6" customWidth="1"/>
    <col min="2820" max="2820" width="7.28515625" customWidth="1"/>
    <col min="2821" max="2821" width="8.5703125" customWidth="1"/>
    <col min="2822" max="2822" width="12.28515625" customWidth="1"/>
    <col min="3073" max="3073" width="7.42578125" bestFit="1" customWidth="1"/>
    <col min="3074" max="3074" width="54.42578125" customWidth="1"/>
    <col min="3075" max="3075" width="6" customWidth="1"/>
    <col min="3076" max="3076" width="7.28515625" customWidth="1"/>
    <col min="3077" max="3077" width="8.5703125" customWidth="1"/>
    <col min="3078" max="3078" width="12.28515625" customWidth="1"/>
    <col min="3329" max="3329" width="7.42578125" bestFit="1" customWidth="1"/>
    <col min="3330" max="3330" width="54.42578125" customWidth="1"/>
    <col min="3331" max="3331" width="6" customWidth="1"/>
    <col min="3332" max="3332" width="7.28515625" customWidth="1"/>
    <col min="3333" max="3333" width="8.5703125" customWidth="1"/>
    <col min="3334" max="3334" width="12.28515625" customWidth="1"/>
    <col min="3585" max="3585" width="7.42578125" bestFit="1" customWidth="1"/>
    <col min="3586" max="3586" width="54.42578125" customWidth="1"/>
    <col min="3587" max="3587" width="6" customWidth="1"/>
    <col min="3588" max="3588" width="7.28515625" customWidth="1"/>
    <col min="3589" max="3589" width="8.5703125" customWidth="1"/>
    <col min="3590" max="3590" width="12.28515625" customWidth="1"/>
    <col min="3841" max="3841" width="7.42578125" bestFit="1" customWidth="1"/>
    <col min="3842" max="3842" width="54.42578125" customWidth="1"/>
    <col min="3843" max="3843" width="6" customWidth="1"/>
    <col min="3844" max="3844" width="7.28515625" customWidth="1"/>
    <col min="3845" max="3845" width="8.5703125" customWidth="1"/>
    <col min="3846" max="3846" width="12.28515625" customWidth="1"/>
    <col min="4097" max="4097" width="7.42578125" bestFit="1" customWidth="1"/>
    <col min="4098" max="4098" width="54.42578125" customWidth="1"/>
    <col min="4099" max="4099" width="6" customWidth="1"/>
    <col min="4100" max="4100" width="7.28515625" customWidth="1"/>
    <col min="4101" max="4101" width="8.5703125" customWidth="1"/>
    <col min="4102" max="4102" width="12.28515625" customWidth="1"/>
    <col min="4353" max="4353" width="7.42578125" bestFit="1" customWidth="1"/>
    <col min="4354" max="4354" width="54.42578125" customWidth="1"/>
    <col min="4355" max="4355" width="6" customWidth="1"/>
    <col min="4356" max="4356" width="7.28515625" customWidth="1"/>
    <col min="4357" max="4357" width="8.5703125" customWidth="1"/>
    <col min="4358" max="4358" width="12.28515625" customWidth="1"/>
    <col min="4609" max="4609" width="7.42578125" bestFit="1" customWidth="1"/>
    <col min="4610" max="4610" width="54.42578125" customWidth="1"/>
    <col min="4611" max="4611" width="6" customWidth="1"/>
    <col min="4612" max="4612" width="7.28515625" customWidth="1"/>
    <col min="4613" max="4613" width="8.5703125" customWidth="1"/>
    <col min="4614" max="4614" width="12.28515625" customWidth="1"/>
    <col min="4865" max="4865" width="7.42578125" bestFit="1" customWidth="1"/>
    <col min="4866" max="4866" width="54.42578125" customWidth="1"/>
    <col min="4867" max="4867" width="6" customWidth="1"/>
    <col min="4868" max="4868" width="7.28515625" customWidth="1"/>
    <col min="4869" max="4869" width="8.5703125" customWidth="1"/>
    <col min="4870" max="4870" width="12.28515625" customWidth="1"/>
    <col min="5121" max="5121" width="7.42578125" bestFit="1" customWidth="1"/>
    <col min="5122" max="5122" width="54.42578125" customWidth="1"/>
    <col min="5123" max="5123" width="6" customWidth="1"/>
    <col min="5124" max="5124" width="7.28515625" customWidth="1"/>
    <col min="5125" max="5125" width="8.5703125" customWidth="1"/>
    <col min="5126" max="5126" width="12.28515625" customWidth="1"/>
    <col min="5377" max="5377" width="7.42578125" bestFit="1" customWidth="1"/>
    <col min="5378" max="5378" width="54.42578125" customWidth="1"/>
    <col min="5379" max="5379" width="6" customWidth="1"/>
    <col min="5380" max="5380" width="7.28515625" customWidth="1"/>
    <col min="5381" max="5381" width="8.5703125" customWidth="1"/>
    <col min="5382" max="5382" width="12.28515625" customWidth="1"/>
    <col min="5633" max="5633" width="7.42578125" bestFit="1" customWidth="1"/>
    <col min="5634" max="5634" width="54.42578125" customWidth="1"/>
    <col min="5635" max="5635" width="6" customWidth="1"/>
    <col min="5636" max="5636" width="7.28515625" customWidth="1"/>
    <col min="5637" max="5637" width="8.5703125" customWidth="1"/>
    <col min="5638" max="5638" width="12.28515625" customWidth="1"/>
    <col min="5889" max="5889" width="7.42578125" bestFit="1" customWidth="1"/>
    <col min="5890" max="5890" width="54.42578125" customWidth="1"/>
    <col min="5891" max="5891" width="6" customWidth="1"/>
    <col min="5892" max="5892" width="7.28515625" customWidth="1"/>
    <col min="5893" max="5893" width="8.5703125" customWidth="1"/>
    <col min="5894" max="5894" width="12.28515625" customWidth="1"/>
    <col min="6145" max="6145" width="7.42578125" bestFit="1" customWidth="1"/>
    <col min="6146" max="6146" width="54.42578125" customWidth="1"/>
    <col min="6147" max="6147" width="6" customWidth="1"/>
    <col min="6148" max="6148" width="7.28515625" customWidth="1"/>
    <col min="6149" max="6149" width="8.5703125" customWidth="1"/>
    <col min="6150" max="6150" width="12.28515625" customWidth="1"/>
    <col min="6401" max="6401" width="7.42578125" bestFit="1" customWidth="1"/>
    <col min="6402" max="6402" width="54.42578125" customWidth="1"/>
    <col min="6403" max="6403" width="6" customWidth="1"/>
    <col min="6404" max="6404" width="7.28515625" customWidth="1"/>
    <col min="6405" max="6405" width="8.5703125" customWidth="1"/>
    <col min="6406" max="6406" width="12.28515625" customWidth="1"/>
    <col min="6657" max="6657" width="7.42578125" bestFit="1" customWidth="1"/>
    <col min="6658" max="6658" width="54.42578125" customWidth="1"/>
    <col min="6659" max="6659" width="6" customWidth="1"/>
    <col min="6660" max="6660" width="7.28515625" customWidth="1"/>
    <col min="6661" max="6661" width="8.5703125" customWidth="1"/>
    <col min="6662" max="6662" width="12.28515625" customWidth="1"/>
    <col min="6913" max="6913" width="7.42578125" bestFit="1" customWidth="1"/>
    <col min="6914" max="6914" width="54.42578125" customWidth="1"/>
    <col min="6915" max="6915" width="6" customWidth="1"/>
    <col min="6916" max="6916" width="7.28515625" customWidth="1"/>
    <col min="6917" max="6917" width="8.5703125" customWidth="1"/>
    <col min="6918" max="6918" width="12.28515625" customWidth="1"/>
    <col min="7169" max="7169" width="7.42578125" bestFit="1" customWidth="1"/>
    <col min="7170" max="7170" width="54.42578125" customWidth="1"/>
    <col min="7171" max="7171" width="6" customWidth="1"/>
    <col min="7172" max="7172" width="7.28515625" customWidth="1"/>
    <col min="7173" max="7173" width="8.5703125" customWidth="1"/>
    <col min="7174" max="7174" width="12.28515625" customWidth="1"/>
    <col min="7425" max="7425" width="7.42578125" bestFit="1" customWidth="1"/>
    <col min="7426" max="7426" width="54.42578125" customWidth="1"/>
    <col min="7427" max="7427" width="6" customWidth="1"/>
    <col min="7428" max="7428" width="7.28515625" customWidth="1"/>
    <col min="7429" max="7429" width="8.5703125" customWidth="1"/>
    <col min="7430" max="7430" width="12.28515625" customWidth="1"/>
    <col min="7681" max="7681" width="7.42578125" bestFit="1" customWidth="1"/>
    <col min="7682" max="7682" width="54.42578125" customWidth="1"/>
    <col min="7683" max="7683" width="6" customWidth="1"/>
    <col min="7684" max="7684" width="7.28515625" customWidth="1"/>
    <col min="7685" max="7685" width="8.5703125" customWidth="1"/>
    <col min="7686" max="7686" width="12.28515625" customWidth="1"/>
    <col min="7937" max="7937" width="7.42578125" bestFit="1" customWidth="1"/>
    <col min="7938" max="7938" width="54.42578125" customWidth="1"/>
    <col min="7939" max="7939" width="6" customWidth="1"/>
    <col min="7940" max="7940" width="7.28515625" customWidth="1"/>
    <col min="7941" max="7941" width="8.5703125" customWidth="1"/>
    <col min="7942" max="7942" width="12.28515625" customWidth="1"/>
    <col min="8193" max="8193" width="7.42578125" bestFit="1" customWidth="1"/>
    <col min="8194" max="8194" width="54.42578125" customWidth="1"/>
    <col min="8195" max="8195" width="6" customWidth="1"/>
    <col min="8196" max="8196" width="7.28515625" customWidth="1"/>
    <col min="8197" max="8197" width="8.5703125" customWidth="1"/>
    <col min="8198" max="8198" width="12.28515625" customWidth="1"/>
    <col min="8449" max="8449" width="7.42578125" bestFit="1" customWidth="1"/>
    <col min="8450" max="8450" width="54.42578125" customWidth="1"/>
    <col min="8451" max="8451" width="6" customWidth="1"/>
    <col min="8452" max="8452" width="7.28515625" customWidth="1"/>
    <col min="8453" max="8453" width="8.5703125" customWidth="1"/>
    <col min="8454" max="8454" width="12.28515625" customWidth="1"/>
    <col min="8705" max="8705" width="7.42578125" bestFit="1" customWidth="1"/>
    <col min="8706" max="8706" width="54.42578125" customWidth="1"/>
    <col min="8707" max="8707" width="6" customWidth="1"/>
    <col min="8708" max="8708" width="7.28515625" customWidth="1"/>
    <col min="8709" max="8709" width="8.5703125" customWidth="1"/>
    <col min="8710" max="8710" width="12.28515625" customWidth="1"/>
    <col min="8961" max="8961" width="7.42578125" bestFit="1" customWidth="1"/>
    <col min="8962" max="8962" width="54.42578125" customWidth="1"/>
    <col min="8963" max="8963" width="6" customWidth="1"/>
    <col min="8964" max="8964" width="7.28515625" customWidth="1"/>
    <col min="8965" max="8965" width="8.5703125" customWidth="1"/>
    <col min="8966" max="8966" width="12.28515625" customWidth="1"/>
    <col min="9217" max="9217" width="7.42578125" bestFit="1" customWidth="1"/>
    <col min="9218" max="9218" width="54.42578125" customWidth="1"/>
    <col min="9219" max="9219" width="6" customWidth="1"/>
    <col min="9220" max="9220" width="7.28515625" customWidth="1"/>
    <col min="9221" max="9221" width="8.5703125" customWidth="1"/>
    <col min="9222" max="9222" width="12.28515625" customWidth="1"/>
    <col min="9473" max="9473" width="7.42578125" bestFit="1" customWidth="1"/>
    <col min="9474" max="9474" width="54.42578125" customWidth="1"/>
    <col min="9475" max="9475" width="6" customWidth="1"/>
    <col min="9476" max="9476" width="7.28515625" customWidth="1"/>
    <col min="9477" max="9477" width="8.5703125" customWidth="1"/>
    <col min="9478" max="9478" width="12.28515625" customWidth="1"/>
    <col min="9729" max="9729" width="7.42578125" bestFit="1" customWidth="1"/>
    <col min="9730" max="9730" width="54.42578125" customWidth="1"/>
    <col min="9731" max="9731" width="6" customWidth="1"/>
    <col min="9732" max="9732" width="7.28515625" customWidth="1"/>
    <col min="9733" max="9733" width="8.5703125" customWidth="1"/>
    <col min="9734" max="9734" width="12.28515625" customWidth="1"/>
    <col min="9985" max="9985" width="7.42578125" bestFit="1" customWidth="1"/>
    <col min="9986" max="9986" width="54.42578125" customWidth="1"/>
    <col min="9987" max="9987" width="6" customWidth="1"/>
    <col min="9988" max="9988" width="7.28515625" customWidth="1"/>
    <col min="9989" max="9989" width="8.5703125" customWidth="1"/>
    <col min="9990" max="9990" width="12.28515625" customWidth="1"/>
    <col min="10241" max="10241" width="7.42578125" bestFit="1" customWidth="1"/>
    <col min="10242" max="10242" width="54.42578125" customWidth="1"/>
    <col min="10243" max="10243" width="6" customWidth="1"/>
    <col min="10244" max="10244" width="7.28515625" customWidth="1"/>
    <col min="10245" max="10245" width="8.5703125" customWidth="1"/>
    <col min="10246" max="10246" width="12.28515625" customWidth="1"/>
    <col min="10497" max="10497" width="7.42578125" bestFit="1" customWidth="1"/>
    <col min="10498" max="10498" width="54.42578125" customWidth="1"/>
    <col min="10499" max="10499" width="6" customWidth="1"/>
    <col min="10500" max="10500" width="7.28515625" customWidth="1"/>
    <col min="10501" max="10501" width="8.5703125" customWidth="1"/>
    <col min="10502" max="10502" width="12.28515625" customWidth="1"/>
    <col min="10753" max="10753" width="7.42578125" bestFit="1" customWidth="1"/>
    <col min="10754" max="10754" width="54.42578125" customWidth="1"/>
    <col min="10755" max="10755" width="6" customWidth="1"/>
    <col min="10756" max="10756" width="7.28515625" customWidth="1"/>
    <col min="10757" max="10757" width="8.5703125" customWidth="1"/>
    <col min="10758" max="10758" width="12.28515625" customWidth="1"/>
    <col min="11009" max="11009" width="7.42578125" bestFit="1" customWidth="1"/>
    <col min="11010" max="11010" width="54.42578125" customWidth="1"/>
    <col min="11011" max="11011" width="6" customWidth="1"/>
    <col min="11012" max="11012" width="7.28515625" customWidth="1"/>
    <col min="11013" max="11013" width="8.5703125" customWidth="1"/>
    <col min="11014" max="11014" width="12.28515625" customWidth="1"/>
    <col min="11265" max="11265" width="7.42578125" bestFit="1" customWidth="1"/>
    <col min="11266" max="11266" width="54.42578125" customWidth="1"/>
    <col min="11267" max="11267" width="6" customWidth="1"/>
    <col min="11268" max="11268" width="7.28515625" customWidth="1"/>
    <col min="11269" max="11269" width="8.5703125" customWidth="1"/>
    <col min="11270" max="11270" width="12.28515625" customWidth="1"/>
    <col min="11521" max="11521" width="7.42578125" bestFit="1" customWidth="1"/>
    <col min="11522" max="11522" width="54.42578125" customWidth="1"/>
    <col min="11523" max="11523" width="6" customWidth="1"/>
    <col min="11524" max="11524" width="7.28515625" customWidth="1"/>
    <col min="11525" max="11525" width="8.5703125" customWidth="1"/>
    <col min="11526" max="11526" width="12.28515625" customWidth="1"/>
    <col min="11777" max="11777" width="7.42578125" bestFit="1" customWidth="1"/>
    <col min="11778" max="11778" width="54.42578125" customWidth="1"/>
    <col min="11779" max="11779" width="6" customWidth="1"/>
    <col min="11780" max="11780" width="7.28515625" customWidth="1"/>
    <col min="11781" max="11781" width="8.5703125" customWidth="1"/>
    <col min="11782" max="11782" width="12.28515625" customWidth="1"/>
    <col min="12033" max="12033" width="7.42578125" bestFit="1" customWidth="1"/>
    <col min="12034" max="12034" width="54.42578125" customWidth="1"/>
    <col min="12035" max="12035" width="6" customWidth="1"/>
    <col min="12036" max="12036" width="7.28515625" customWidth="1"/>
    <col min="12037" max="12037" width="8.5703125" customWidth="1"/>
    <col min="12038" max="12038" width="12.28515625" customWidth="1"/>
    <col min="12289" max="12289" width="7.42578125" bestFit="1" customWidth="1"/>
    <col min="12290" max="12290" width="54.42578125" customWidth="1"/>
    <col min="12291" max="12291" width="6" customWidth="1"/>
    <col min="12292" max="12292" width="7.28515625" customWidth="1"/>
    <col min="12293" max="12293" width="8.5703125" customWidth="1"/>
    <col min="12294" max="12294" width="12.28515625" customWidth="1"/>
    <col min="12545" max="12545" width="7.42578125" bestFit="1" customWidth="1"/>
    <col min="12546" max="12546" width="54.42578125" customWidth="1"/>
    <col min="12547" max="12547" width="6" customWidth="1"/>
    <col min="12548" max="12548" width="7.28515625" customWidth="1"/>
    <col min="12549" max="12549" width="8.5703125" customWidth="1"/>
    <col min="12550" max="12550" width="12.28515625" customWidth="1"/>
    <col min="12801" max="12801" width="7.42578125" bestFit="1" customWidth="1"/>
    <col min="12802" max="12802" width="54.42578125" customWidth="1"/>
    <col min="12803" max="12803" width="6" customWidth="1"/>
    <col min="12804" max="12804" width="7.28515625" customWidth="1"/>
    <col min="12805" max="12805" width="8.5703125" customWidth="1"/>
    <col min="12806" max="12806" width="12.28515625" customWidth="1"/>
    <col min="13057" max="13057" width="7.42578125" bestFit="1" customWidth="1"/>
    <col min="13058" max="13058" width="54.42578125" customWidth="1"/>
    <col min="13059" max="13059" width="6" customWidth="1"/>
    <col min="13060" max="13060" width="7.28515625" customWidth="1"/>
    <col min="13061" max="13061" width="8.5703125" customWidth="1"/>
    <col min="13062" max="13062" width="12.28515625" customWidth="1"/>
    <col min="13313" max="13313" width="7.42578125" bestFit="1" customWidth="1"/>
    <col min="13314" max="13314" width="54.42578125" customWidth="1"/>
    <col min="13315" max="13315" width="6" customWidth="1"/>
    <col min="13316" max="13316" width="7.28515625" customWidth="1"/>
    <col min="13317" max="13317" width="8.5703125" customWidth="1"/>
    <col min="13318" max="13318" width="12.28515625" customWidth="1"/>
    <col min="13569" max="13569" width="7.42578125" bestFit="1" customWidth="1"/>
    <col min="13570" max="13570" width="54.42578125" customWidth="1"/>
    <col min="13571" max="13571" width="6" customWidth="1"/>
    <col min="13572" max="13572" width="7.28515625" customWidth="1"/>
    <col min="13573" max="13573" width="8.5703125" customWidth="1"/>
    <col min="13574" max="13574" width="12.28515625" customWidth="1"/>
    <col min="13825" max="13825" width="7.42578125" bestFit="1" customWidth="1"/>
    <col min="13826" max="13826" width="54.42578125" customWidth="1"/>
    <col min="13827" max="13827" width="6" customWidth="1"/>
    <col min="13828" max="13828" width="7.28515625" customWidth="1"/>
    <col min="13829" max="13829" width="8.5703125" customWidth="1"/>
    <col min="13830" max="13830" width="12.28515625" customWidth="1"/>
    <col min="14081" max="14081" width="7.42578125" bestFit="1" customWidth="1"/>
    <col min="14082" max="14082" width="54.42578125" customWidth="1"/>
    <col min="14083" max="14083" width="6" customWidth="1"/>
    <col min="14084" max="14084" width="7.28515625" customWidth="1"/>
    <col min="14085" max="14085" width="8.5703125" customWidth="1"/>
    <col min="14086" max="14086" width="12.28515625" customWidth="1"/>
    <col min="14337" max="14337" width="7.42578125" bestFit="1" customWidth="1"/>
    <col min="14338" max="14338" width="54.42578125" customWidth="1"/>
    <col min="14339" max="14339" width="6" customWidth="1"/>
    <col min="14340" max="14340" width="7.28515625" customWidth="1"/>
    <col min="14341" max="14341" width="8.5703125" customWidth="1"/>
    <col min="14342" max="14342" width="12.28515625" customWidth="1"/>
    <col min="14593" max="14593" width="7.42578125" bestFit="1" customWidth="1"/>
    <col min="14594" max="14594" width="54.42578125" customWidth="1"/>
    <col min="14595" max="14595" width="6" customWidth="1"/>
    <col min="14596" max="14596" width="7.28515625" customWidth="1"/>
    <col min="14597" max="14597" width="8.5703125" customWidth="1"/>
    <col min="14598" max="14598" width="12.28515625" customWidth="1"/>
    <col min="14849" max="14849" width="7.42578125" bestFit="1" customWidth="1"/>
    <col min="14850" max="14850" width="54.42578125" customWidth="1"/>
    <col min="14851" max="14851" width="6" customWidth="1"/>
    <col min="14852" max="14852" width="7.28515625" customWidth="1"/>
    <col min="14853" max="14853" width="8.5703125" customWidth="1"/>
    <col min="14854" max="14854" width="12.28515625" customWidth="1"/>
    <col min="15105" max="15105" width="7.42578125" bestFit="1" customWidth="1"/>
    <col min="15106" max="15106" width="54.42578125" customWidth="1"/>
    <col min="15107" max="15107" width="6" customWidth="1"/>
    <col min="15108" max="15108" width="7.28515625" customWidth="1"/>
    <col min="15109" max="15109" width="8.5703125" customWidth="1"/>
    <col min="15110" max="15110" width="12.28515625" customWidth="1"/>
    <col min="15361" max="15361" width="7.42578125" bestFit="1" customWidth="1"/>
    <col min="15362" max="15362" width="54.42578125" customWidth="1"/>
    <col min="15363" max="15363" width="6" customWidth="1"/>
    <col min="15364" max="15364" width="7.28515625" customWidth="1"/>
    <col min="15365" max="15365" width="8.5703125" customWidth="1"/>
    <col min="15366" max="15366" width="12.28515625" customWidth="1"/>
    <col min="15617" max="15617" width="7.42578125" bestFit="1" customWidth="1"/>
    <col min="15618" max="15618" width="54.42578125" customWidth="1"/>
    <col min="15619" max="15619" width="6" customWidth="1"/>
    <col min="15620" max="15620" width="7.28515625" customWidth="1"/>
    <col min="15621" max="15621" width="8.5703125" customWidth="1"/>
    <col min="15622" max="15622" width="12.28515625" customWidth="1"/>
    <col min="15873" max="15873" width="7.42578125" bestFit="1" customWidth="1"/>
    <col min="15874" max="15874" width="54.42578125" customWidth="1"/>
    <col min="15875" max="15875" width="6" customWidth="1"/>
    <col min="15876" max="15876" width="7.28515625" customWidth="1"/>
    <col min="15877" max="15877" width="8.5703125" customWidth="1"/>
    <col min="15878" max="15878" width="12.28515625" customWidth="1"/>
    <col min="16129" max="16129" width="7.42578125" bestFit="1" customWidth="1"/>
    <col min="16130" max="16130" width="54.42578125" customWidth="1"/>
    <col min="16131" max="16131" width="6" customWidth="1"/>
    <col min="16132" max="16132" width="7.28515625" customWidth="1"/>
    <col min="16133" max="16133" width="8.5703125" customWidth="1"/>
    <col min="16134" max="16134" width="12.28515625" customWidth="1"/>
  </cols>
  <sheetData>
    <row r="1" spans="1:16" hidden="1" x14ac:dyDescent="0.2"/>
    <row r="2" spans="1:16" s="30" customFormat="1" ht="14.25" hidden="1" x14ac:dyDescent="0.3">
      <c r="A2" s="47" t="s">
        <v>2721</v>
      </c>
      <c r="B2" s="48"/>
      <c r="C2" s="77" t="str">
        <f>IF(B2&lt;&gt;0,(VLOOKUP(B2,[0]!MQT,2,FALSE))," ")</f>
        <v xml:space="preserve"> </v>
      </c>
      <c r="D2" s="78" t="str">
        <f>IF(B2&lt;&gt;0,(VLOOKUP(B2,[0]!MQT,3,FALSE))," ")</f>
        <v xml:space="preserve"> </v>
      </c>
      <c r="E2" s="32"/>
      <c r="F2" s="79" t="str">
        <f>IF(B2&lt;&gt;0,(VLOOKUP(B2,[0]!MQT,5,FALSE))," ")</f>
        <v xml:space="preserve"> </v>
      </c>
      <c r="G2" s="31" t="str">
        <f>IF(E2&lt;&gt;0,(F2*E2)," ")</f>
        <v xml:space="preserve"> </v>
      </c>
      <c r="I2" s="49"/>
      <c r="J2" s="49"/>
      <c r="K2" s="49"/>
      <c r="L2" s="49"/>
      <c r="M2" s="49"/>
      <c r="O2" s="50"/>
      <c r="P2" s="51"/>
    </row>
    <row r="3" spans="1:16" hidden="1" x14ac:dyDescent="0.2"/>
    <row r="4" spans="1:16" s="33" customFormat="1" ht="34.5" customHeight="1" x14ac:dyDescent="0.25">
      <c r="B4" s="80"/>
      <c r="C4" s="81"/>
      <c r="D4" s="81"/>
      <c r="E4" s="81"/>
      <c r="F4" s="81"/>
      <c r="G4" s="81"/>
      <c r="H4" s="52"/>
    </row>
    <row r="5" spans="1:16" s="33" customFormat="1" ht="19.5" customHeight="1" x14ac:dyDescent="0.25">
      <c r="B5" s="80"/>
      <c r="C5" s="81"/>
      <c r="D5" s="81"/>
      <c r="E5" s="81"/>
      <c r="F5" s="81"/>
      <c r="G5" s="81"/>
      <c r="H5" s="52"/>
    </row>
    <row r="6" spans="1:16" s="33" customFormat="1" ht="39" customHeight="1" x14ac:dyDescent="0.25">
      <c r="B6" s="80"/>
      <c r="C6" s="81"/>
      <c r="D6" s="81"/>
      <c r="E6" s="81"/>
      <c r="F6" s="81"/>
      <c r="G6" s="81"/>
      <c r="H6" s="52"/>
    </row>
    <row r="7" spans="1:16" s="33" customFormat="1" ht="21" customHeight="1" x14ac:dyDescent="0.25">
      <c r="B7" s="92" t="s">
        <v>2731</v>
      </c>
      <c r="C7" s="92"/>
      <c r="D7" s="92"/>
      <c r="E7" s="92"/>
      <c r="F7" s="92"/>
      <c r="G7" s="92"/>
      <c r="H7" s="52"/>
    </row>
    <row r="8" spans="1:16" s="33" customFormat="1" ht="11.25" customHeight="1" thickBot="1" x14ac:dyDescent="0.3">
      <c r="B8" s="82"/>
      <c r="C8" s="93"/>
      <c r="D8" s="93"/>
      <c r="E8" s="93"/>
      <c r="F8" s="93"/>
      <c r="G8" s="93"/>
      <c r="H8" s="52"/>
    </row>
    <row r="9" spans="1:16" s="33" customFormat="1" ht="18.75" customHeight="1" x14ac:dyDescent="0.25">
      <c r="B9" s="46" t="s">
        <v>2720</v>
      </c>
      <c r="C9" s="45"/>
      <c r="D9" s="44" t="s">
        <v>2719</v>
      </c>
      <c r="E9" s="43"/>
      <c r="F9" s="118"/>
      <c r="G9" s="119"/>
      <c r="H9" s="52"/>
    </row>
    <row r="10" spans="1:16" s="33" customFormat="1" ht="17.25" customHeight="1" x14ac:dyDescent="0.25">
      <c r="B10" s="41" t="s">
        <v>2718</v>
      </c>
      <c r="C10" s="42"/>
      <c r="D10" s="94" t="s">
        <v>2728</v>
      </c>
      <c r="E10" s="94"/>
      <c r="F10" s="95"/>
      <c r="G10" s="96"/>
      <c r="H10" s="53"/>
      <c r="O10" s="54"/>
      <c r="P10" s="54"/>
    </row>
    <row r="11" spans="1:16" s="33" customFormat="1" ht="17.25" customHeight="1" thickBot="1" x14ac:dyDescent="0.3">
      <c r="B11" s="41" t="s">
        <v>2730</v>
      </c>
      <c r="C11" s="40"/>
      <c r="D11" s="89" t="s">
        <v>2717</v>
      </c>
      <c r="E11" s="89"/>
      <c r="F11" s="90"/>
      <c r="G11" s="91"/>
      <c r="H11" s="53"/>
      <c r="O11" s="54"/>
      <c r="P11" s="54"/>
    </row>
    <row r="12" spans="1:16" s="33" customFormat="1" ht="15.75" customHeight="1" x14ac:dyDescent="0.25">
      <c r="B12" s="39" t="s">
        <v>2716</v>
      </c>
      <c r="C12" s="38"/>
      <c r="D12" s="98"/>
      <c r="E12" s="99"/>
      <c r="F12" s="76" t="s">
        <v>2726</v>
      </c>
      <c r="G12" s="37"/>
      <c r="H12" s="53"/>
      <c r="J12" s="55"/>
      <c r="O12" s="54"/>
      <c r="P12" s="54"/>
    </row>
    <row r="13" spans="1:16" s="33" customFormat="1" ht="19.5" customHeight="1" thickBot="1" x14ac:dyDescent="0.35">
      <c r="B13" s="100"/>
      <c r="C13" s="101"/>
      <c r="D13" s="101"/>
      <c r="E13" s="102"/>
      <c r="F13" s="103">
        <f>SUM(G:G)</f>
        <v>66</v>
      </c>
      <c r="G13" s="104"/>
      <c r="H13" s="53"/>
      <c r="J13" s="56"/>
      <c r="O13" s="54"/>
      <c r="P13" s="54"/>
    </row>
    <row r="14" spans="1:16" s="33" customFormat="1" ht="14.25" x14ac:dyDescent="0.3">
      <c r="B14" s="36" t="s">
        <v>2715</v>
      </c>
      <c r="C14" s="35"/>
      <c r="D14" s="35"/>
      <c r="E14" s="75"/>
      <c r="F14" s="35"/>
      <c r="G14" s="34"/>
      <c r="H14" s="53"/>
      <c r="I14" s="57"/>
      <c r="J14" s="58"/>
      <c r="K14" s="57"/>
      <c r="O14" s="54"/>
      <c r="P14" s="54"/>
    </row>
    <row r="15" spans="1:16" s="33" customFormat="1" ht="14.25" hidden="1" customHeight="1" x14ac:dyDescent="0.3">
      <c r="B15" s="69"/>
      <c r="C15" s="70"/>
      <c r="D15" s="70"/>
      <c r="E15" s="70"/>
      <c r="F15" s="70"/>
      <c r="G15" s="71"/>
      <c r="H15" s="53"/>
      <c r="I15" s="57"/>
      <c r="J15" s="58"/>
      <c r="K15" s="57"/>
      <c r="O15" s="54"/>
      <c r="P15" s="54"/>
    </row>
    <row r="16" spans="1:16" s="33" customFormat="1" ht="14.25" hidden="1" customHeight="1" x14ac:dyDescent="0.3">
      <c r="B16" s="72"/>
      <c r="C16" s="73"/>
      <c r="D16" s="73"/>
      <c r="E16" s="73"/>
      <c r="F16" s="73"/>
      <c r="G16" s="74"/>
      <c r="H16" s="53"/>
      <c r="I16" s="57"/>
      <c r="J16" s="58"/>
      <c r="K16" s="57"/>
      <c r="O16" s="54"/>
      <c r="P16" s="54"/>
    </row>
    <row r="17" spans="1:16" s="33" customFormat="1" ht="14.25" hidden="1" customHeight="1" x14ac:dyDescent="0.3">
      <c r="B17" s="72"/>
      <c r="C17" s="73"/>
      <c r="D17" s="73"/>
      <c r="E17" s="73"/>
      <c r="F17" s="73"/>
      <c r="G17" s="74"/>
      <c r="H17" s="53"/>
      <c r="I17" s="57"/>
      <c r="J17" s="58"/>
      <c r="K17" s="57"/>
      <c r="O17" s="54"/>
      <c r="P17" s="54"/>
    </row>
    <row r="18" spans="1:16" s="33" customFormat="1" ht="50.25" customHeight="1" x14ac:dyDescent="0.3">
      <c r="B18" s="105"/>
      <c r="C18" s="106"/>
      <c r="D18" s="106"/>
      <c r="E18" s="106"/>
      <c r="F18" s="106"/>
      <c r="G18" s="107"/>
      <c r="H18" s="53"/>
      <c r="I18" s="57"/>
      <c r="J18" s="58"/>
      <c r="K18" s="57"/>
      <c r="O18" s="54"/>
      <c r="P18" s="54"/>
    </row>
    <row r="19" spans="1:16" s="33" customFormat="1" ht="16.5" customHeight="1" x14ac:dyDescent="0.3">
      <c r="B19" s="108" t="s">
        <v>2714</v>
      </c>
      <c r="C19" s="109"/>
      <c r="D19" s="109"/>
      <c r="E19" s="109"/>
      <c r="F19" s="109"/>
      <c r="G19" s="110"/>
      <c r="H19" s="53"/>
      <c r="J19" s="56"/>
      <c r="O19" s="54"/>
      <c r="P19" s="54"/>
    </row>
    <row r="20" spans="1:16" s="30" customFormat="1" ht="13.5" x14ac:dyDescent="0.25">
      <c r="A20"/>
      <c r="B20" s="111" t="s">
        <v>2727</v>
      </c>
      <c r="C20" s="113" t="s">
        <v>2713</v>
      </c>
      <c r="D20" s="113" t="s">
        <v>2712</v>
      </c>
      <c r="E20" s="113" t="s">
        <v>2711</v>
      </c>
      <c r="F20" s="59" t="s">
        <v>2710</v>
      </c>
      <c r="G20" s="116" t="s">
        <v>2709</v>
      </c>
      <c r="I20" s="49"/>
      <c r="J20" s="49"/>
      <c r="K20" s="49"/>
      <c r="L20" s="49"/>
      <c r="M20" s="49"/>
      <c r="O20" s="50"/>
      <c r="P20" s="50"/>
    </row>
    <row r="21" spans="1:16" s="30" customFormat="1" ht="15" customHeight="1" x14ac:dyDescent="0.25">
      <c r="A21"/>
      <c r="B21" s="112"/>
      <c r="C21" s="114"/>
      <c r="D21" s="114"/>
      <c r="E21" s="115"/>
      <c r="F21" s="60" t="s">
        <v>2708</v>
      </c>
      <c r="G21" s="117"/>
      <c r="I21" s="49"/>
      <c r="J21" s="49"/>
      <c r="K21" s="49"/>
      <c r="L21" s="49"/>
      <c r="M21" s="49"/>
      <c r="O21" s="50"/>
      <c r="P21" s="50"/>
    </row>
    <row r="22" spans="1:16" ht="14.25" x14ac:dyDescent="0.3">
      <c r="A22" s="47" t="s">
        <v>2721</v>
      </c>
      <c r="B22" s="48" t="s">
        <v>1893</v>
      </c>
      <c r="C22" s="77" t="str">
        <f>IF(B22&lt;&gt;0,(VLOOKUP(B22,[0]!MQT,2,FALSE))," ")</f>
        <v>Fornecimento e aplicação de sistema de selagem de juntas de caleiras tipo "EFISSUS"</v>
      </c>
      <c r="D22" s="78" t="str">
        <f>IF(B22&lt;&gt;0,(VLOOKUP(B22,[0]!MQT,3,FALSE))," ")</f>
        <v>m</v>
      </c>
      <c r="E22" s="32">
        <v>12</v>
      </c>
      <c r="F22" s="79">
        <f>IF(B22&lt;&gt;0,(VLOOKUP(B22,[0]!MQT,5,FALSE))," ")</f>
        <v>5.5</v>
      </c>
      <c r="G22" s="31">
        <f t="shared" ref="G22:G65" si="0">IF(E22&lt;&gt;0,(F22*E22)," ")</f>
        <v>66</v>
      </c>
    </row>
    <row r="23" spans="1:16" ht="14.25" x14ac:dyDescent="0.3">
      <c r="A23" s="47" t="s">
        <v>2721</v>
      </c>
      <c r="B23" s="48"/>
      <c r="C23" s="77" t="str">
        <f>IF(B23&lt;&gt;0,(VLOOKUP(B23,[0]!MQT,2,FALSE))," ")</f>
        <v xml:space="preserve"> </v>
      </c>
      <c r="D23" s="78" t="str">
        <f>IF(B23&lt;&gt;0,(VLOOKUP(B23,[0]!MQT,3,FALSE))," ")</f>
        <v xml:space="preserve"> </v>
      </c>
      <c r="E23" s="32"/>
      <c r="F23" s="79" t="str">
        <f>IF(B23&lt;&gt;0,(VLOOKUP(B23,[0]!MQT,5,FALSE))," ")</f>
        <v xml:space="preserve"> </v>
      </c>
      <c r="G23" s="31" t="str">
        <f t="shared" si="0"/>
        <v xml:space="preserve"> </v>
      </c>
    </row>
    <row r="24" spans="1:16" ht="14.25" x14ac:dyDescent="0.3">
      <c r="A24" s="47" t="s">
        <v>2721</v>
      </c>
      <c r="B24" s="48"/>
      <c r="C24" s="77" t="str">
        <f>IF(B24&lt;&gt;0,(VLOOKUP(B24,[0]!MQT,2,FALSE))," ")</f>
        <v xml:space="preserve"> </v>
      </c>
      <c r="D24" s="78" t="str">
        <f>IF(B24&lt;&gt;0,(VLOOKUP(B24,[0]!MQT,3,FALSE))," ")</f>
        <v xml:space="preserve"> </v>
      </c>
      <c r="E24" s="32"/>
      <c r="F24" s="79" t="str">
        <f>IF(B24&lt;&gt;0,(VLOOKUP(B24,[0]!MQT,5,FALSE))," ")</f>
        <v xml:space="preserve"> </v>
      </c>
      <c r="G24" s="31" t="str">
        <f t="shared" si="0"/>
        <v xml:space="preserve"> </v>
      </c>
    </row>
    <row r="25" spans="1:16" ht="27" customHeight="1" x14ac:dyDescent="0.3">
      <c r="A25" s="47" t="s">
        <v>2721</v>
      </c>
      <c r="B25" s="48"/>
      <c r="C25" s="77" t="str">
        <f>IF(B25&lt;&gt;0,(VLOOKUP(B25,[0]!MQT,2,FALSE))," ")</f>
        <v xml:space="preserve"> </v>
      </c>
      <c r="D25" s="78" t="str">
        <f>IF(B25&lt;&gt;0,(VLOOKUP(B25,[0]!MQT,3,FALSE))," ")</f>
        <v xml:space="preserve"> </v>
      </c>
      <c r="E25" s="32"/>
      <c r="F25" s="79" t="str">
        <f>IF(B25&lt;&gt;0,(VLOOKUP(B25,[0]!MQT,5,FALSE))," ")</f>
        <v xml:space="preserve"> </v>
      </c>
      <c r="G25" s="31" t="str">
        <f t="shared" si="0"/>
        <v xml:space="preserve"> </v>
      </c>
    </row>
    <row r="26" spans="1:16" ht="14.25" x14ac:dyDescent="0.3">
      <c r="A26" s="47" t="s">
        <v>2721</v>
      </c>
      <c r="B26" s="48"/>
      <c r="C26" s="77" t="str">
        <f>IF(B26&lt;&gt;0,(VLOOKUP(B26,[0]!MQT,2,FALSE))," ")</f>
        <v xml:space="preserve"> </v>
      </c>
      <c r="D26" s="78" t="str">
        <f>IF(B26&lt;&gt;0,(VLOOKUP(B26,[0]!MQT,3,FALSE))," ")</f>
        <v xml:space="preserve"> </v>
      </c>
      <c r="E26" s="32"/>
      <c r="F26" s="79" t="str">
        <f>IF(B26&lt;&gt;0,(VLOOKUP(B26,[0]!MQT,5,FALSE))," ")</f>
        <v xml:space="preserve"> </v>
      </c>
      <c r="G26" s="31" t="str">
        <f t="shared" si="0"/>
        <v xml:space="preserve"> </v>
      </c>
    </row>
    <row r="27" spans="1:16" ht="14.25" x14ac:dyDescent="0.3">
      <c r="A27" s="47" t="s">
        <v>2721</v>
      </c>
      <c r="B27" s="48"/>
      <c r="C27" s="77" t="str">
        <f>IF(B27&lt;&gt;0,(VLOOKUP(B27,[0]!MQT,2,FALSE))," ")</f>
        <v xml:space="preserve"> </v>
      </c>
      <c r="D27" s="78" t="str">
        <f>IF(B27&lt;&gt;0,(VLOOKUP(B27,[0]!MQT,3,FALSE))," ")</f>
        <v xml:space="preserve"> </v>
      </c>
      <c r="E27" s="32"/>
      <c r="F27" s="79" t="str">
        <f>IF(B27&lt;&gt;0,(VLOOKUP(B27,[0]!MQT,5,FALSE))," ")</f>
        <v xml:space="preserve"> </v>
      </c>
      <c r="G27" s="31" t="str">
        <f t="shared" si="0"/>
        <v xml:space="preserve"> </v>
      </c>
    </row>
    <row r="28" spans="1:16" ht="14.25" x14ac:dyDescent="0.3">
      <c r="A28" s="47" t="s">
        <v>2721</v>
      </c>
      <c r="B28" s="48"/>
      <c r="C28" s="77" t="str">
        <f>IF(B28&lt;&gt;0,(VLOOKUP(B28,[0]!MQT,2,FALSE))," ")</f>
        <v xml:space="preserve"> </v>
      </c>
      <c r="D28" s="78" t="str">
        <f>IF(B28&lt;&gt;0,(VLOOKUP(B28,[0]!MQT,3,FALSE))," ")</f>
        <v xml:space="preserve"> </v>
      </c>
      <c r="E28" s="32"/>
      <c r="F28" s="79" t="str">
        <f>IF(B28&lt;&gt;0,(VLOOKUP(B28,[0]!MQT,5,FALSE))," ")</f>
        <v xml:space="preserve"> </v>
      </c>
      <c r="G28" s="31" t="str">
        <f t="shared" si="0"/>
        <v xml:space="preserve"> </v>
      </c>
    </row>
    <row r="29" spans="1:16" ht="14.25" x14ac:dyDescent="0.3">
      <c r="A29" s="47" t="s">
        <v>2721</v>
      </c>
      <c r="B29" s="48"/>
      <c r="C29" s="77" t="str">
        <f>IF(B29&lt;&gt;0,(VLOOKUP(B29,[0]!MQT,2,FALSE))," ")</f>
        <v xml:space="preserve"> </v>
      </c>
      <c r="D29" s="78" t="str">
        <f>IF(B29&lt;&gt;0,(VLOOKUP(B29,[0]!MQT,3,FALSE))," ")</f>
        <v xml:space="preserve"> </v>
      </c>
      <c r="E29" s="32"/>
      <c r="F29" s="79" t="str">
        <f>IF(B29&lt;&gt;0,(VLOOKUP(B29,[0]!MQT,5,FALSE))," ")</f>
        <v xml:space="preserve"> </v>
      </c>
      <c r="G29" s="31" t="str">
        <f t="shared" si="0"/>
        <v xml:space="preserve"> </v>
      </c>
    </row>
    <row r="30" spans="1:16" ht="14.25" x14ac:dyDescent="0.3">
      <c r="A30" s="47"/>
      <c r="B30" s="48"/>
      <c r="C30" s="77" t="str">
        <f>IF(B30&lt;&gt;0,(VLOOKUP(B30,[0]!MQT,2,FALSE))," ")</f>
        <v xml:space="preserve"> </v>
      </c>
      <c r="D30" s="78" t="str">
        <f>IF(B30&lt;&gt;0,(VLOOKUP(B30,[0]!MQT,3,FALSE))," ")</f>
        <v xml:space="preserve"> </v>
      </c>
      <c r="E30" s="32"/>
      <c r="F30" s="79" t="str">
        <f>IF(B30&lt;&gt;0,(VLOOKUP(B30,[0]!MQT,5,FALSE))," ")</f>
        <v xml:space="preserve"> </v>
      </c>
      <c r="G30" s="31" t="str">
        <f t="shared" si="0"/>
        <v xml:space="preserve"> </v>
      </c>
    </row>
    <row r="31" spans="1:16" ht="14.25" x14ac:dyDescent="0.3">
      <c r="A31" s="47"/>
      <c r="B31" s="48"/>
      <c r="C31" s="77" t="str">
        <f>IF(B31&lt;&gt;0,(VLOOKUP(B31,[0]!MQT,2,FALSE))," ")</f>
        <v xml:space="preserve"> </v>
      </c>
      <c r="D31" s="78" t="str">
        <f>IF(B31&lt;&gt;0,(VLOOKUP(B31,[0]!MQT,3,FALSE))," ")</f>
        <v xml:space="preserve"> </v>
      </c>
      <c r="E31" s="32"/>
      <c r="F31" s="79" t="str">
        <f>IF(B31&lt;&gt;0,(VLOOKUP(B31,[0]!MQT,5,FALSE))," ")</f>
        <v xml:space="preserve"> </v>
      </c>
      <c r="G31" s="31" t="str">
        <f t="shared" si="0"/>
        <v xml:space="preserve"> </v>
      </c>
    </row>
    <row r="32" spans="1:16" ht="24.75" customHeight="1" x14ac:dyDescent="0.3">
      <c r="A32" s="47" t="s">
        <v>2721</v>
      </c>
      <c r="B32" s="48"/>
      <c r="C32" s="77" t="str">
        <f>IF(B32&lt;&gt;0,(VLOOKUP(B32,[0]!MQT,2,FALSE))," ")</f>
        <v xml:space="preserve"> </v>
      </c>
      <c r="D32" s="78" t="str">
        <f>IF(B32&lt;&gt;0,(VLOOKUP(B32,[0]!MQT,3,FALSE))," ")</f>
        <v xml:space="preserve"> </v>
      </c>
      <c r="E32" s="32"/>
      <c r="F32" s="79" t="str">
        <f>IF(B32&lt;&gt;0,(VLOOKUP(B32,[0]!MQT,5,FALSE))," ")</f>
        <v xml:space="preserve"> </v>
      </c>
      <c r="G32" s="31" t="str">
        <f t="shared" si="0"/>
        <v xml:space="preserve"> </v>
      </c>
    </row>
    <row r="33" spans="1:7" ht="27" customHeight="1" x14ac:dyDescent="0.3">
      <c r="A33" s="47" t="s">
        <v>2721</v>
      </c>
      <c r="B33" s="48"/>
      <c r="C33" s="77" t="str">
        <f>IF(B33&lt;&gt;0,(VLOOKUP(B33,[0]!MQT,2,FALSE))," ")</f>
        <v xml:space="preserve"> </v>
      </c>
      <c r="D33" s="78" t="str">
        <f>IF(B33&lt;&gt;0,(VLOOKUP(B33,[0]!MQT,3,FALSE))," ")</f>
        <v xml:space="preserve"> </v>
      </c>
      <c r="E33" s="32"/>
      <c r="F33" s="79" t="str">
        <f>IF(B33&lt;&gt;0,(VLOOKUP(B33,[0]!MQT,5,FALSE))," ")</f>
        <v xml:space="preserve"> </v>
      </c>
      <c r="G33" s="31" t="str">
        <f t="shared" si="0"/>
        <v xml:space="preserve"> </v>
      </c>
    </row>
    <row r="34" spans="1:7" ht="38.25" customHeight="1" x14ac:dyDescent="0.3">
      <c r="A34" s="47" t="s">
        <v>2721</v>
      </c>
      <c r="B34" s="48"/>
      <c r="C34" s="77" t="str">
        <f>IF(B34&lt;&gt;0,(VLOOKUP(B34,[0]!MQT,2,FALSE))," ")</f>
        <v xml:space="preserve"> </v>
      </c>
      <c r="D34" s="78" t="str">
        <f>IF(B34&lt;&gt;0,(VLOOKUP(B34,[0]!MQT,3,FALSE))," ")</f>
        <v xml:space="preserve"> </v>
      </c>
      <c r="E34" s="32"/>
      <c r="F34" s="79" t="str">
        <f>IF(B34&lt;&gt;0,(VLOOKUP(B34,[0]!MQT,5,FALSE))," ")</f>
        <v xml:space="preserve"> </v>
      </c>
      <c r="G34" s="31" t="str">
        <f t="shared" si="0"/>
        <v xml:space="preserve"> </v>
      </c>
    </row>
    <row r="35" spans="1:7" ht="14.25" x14ac:dyDescent="0.3">
      <c r="A35" s="47" t="s">
        <v>2721</v>
      </c>
      <c r="B35" s="48"/>
      <c r="C35" s="77" t="str">
        <f>IF(B35&lt;&gt;0,(VLOOKUP(B35,[0]!MQT,2,FALSE))," ")</f>
        <v xml:space="preserve"> </v>
      </c>
      <c r="D35" s="78" t="str">
        <f>IF(B35&lt;&gt;0,(VLOOKUP(B35,[0]!MQT,3,FALSE))," ")</f>
        <v xml:space="preserve"> </v>
      </c>
      <c r="E35" s="32"/>
      <c r="F35" s="79" t="str">
        <f>IF(B35&lt;&gt;0,(VLOOKUP(B35,[0]!MQT,5,FALSE))," ")</f>
        <v xml:space="preserve"> </v>
      </c>
      <c r="G35" s="31" t="str">
        <f t="shared" si="0"/>
        <v xml:space="preserve"> </v>
      </c>
    </row>
    <row r="36" spans="1:7" ht="14.25" x14ac:dyDescent="0.3">
      <c r="A36" s="47" t="s">
        <v>2721</v>
      </c>
      <c r="B36" s="48"/>
      <c r="C36" s="77" t="str">
        <f>IF(B36&lt;&gt;0,(VLOOKUP(B36,[0]!MQT,2,FALSE))," ")</f>
        <v xml:space="preserve"> </v>
      </c>
      <c r="D36" s="78" t="str">
        <f>IF(B36&lt;&gt;0,(VLOOKUP(B36,[0]!MQT,3,FALSE))," ")</f>
        <v xml:space="preserve"> </v>
      </c>
      <c r="E36" s="32"/>
      <c r="F36" s="79" t="str">
        <f>IF(B36&lt;&gt;0,(VLOOKUP(B36,[0]!MQT,5,FALSE))," ")</f>
        <v xml:space="preserve"> </v>
      </c>
      <c r="G36" s="31" t="str">
        <f t="shared" si="0"/>
        <v xml:space="preserve"> </v>
      </c>
    </row>
    <row r="37" spans="1:7" ht="14.25" x14ac:dyDescent="0.3">
      <c r="A37" s="47" t="s">
        <v>2721</v>
      </c>
      <c r="B37" s="48"/>
      <c r="C37" s="77" t="str">
        <f>IF(B37&lt;&gt;0,(VLOOKUP(B37,[0]!MQT,2,FALSE))," ")</f>
        <v xml:space="preserve"> </v>
      </c>
      <c r="D37" s="78" t="str">
        <f>IF(B37&lt;&gt;0,(VLOOKUP(B37,[0]!MQT,3,FALSE))," ")</f>
        <v xml:space="preserve"> </v>
      </c>
      <c r="E37" s="32"/>
      <c r="F37" s="79" t="str">
        <f>IF(B37&lt;&gt;0,(VLOOKUP(B37,[0]!MQT,5,FALSE))," ")</f>
        <v xml:space="preserve"> </v>
      </c>
      <c r="G37" s="31" t="str">
        <f t="shared" si="0"/>
        <v xml:space="preserve"> </v>
      </c>
    </row>
    <row r="38" spans="1:7" ht="14.25" x14ac:dyDescent="0.3">
      <c r="A38" s="47" t="s">
        <v>2721</v>
      </c>
      <c r="B38" s="48"/>
      <c r="C38" s="77" t="str">
        <f>IF(B38&lt;&gt;0,(VLOOKUP(B38,[0]!MQT,2,FALSE))," ")</f>
        <v xml:space="preserve"> </v>
      </c>
      <c r="D38" s="78" t="str">
        <f>IF(B38&lt;&gt;0,(VLOOKUP(B38,[0]!MQT,3,FALSE))," ")</f>
        <v xml:space="preserve"> </v>
      </c>
      <c r="E38" s="32"/>
      <c r="F38" s="79" t="str">
        <f>IF(B38&lt;&gt;0,(VLOOKUP(B38,[0]!MQT,5,FALSE))," ")</f>
        <v xml:space="preserve"> </v>
      </c>
      <c r="G38" s="31" t="str">
        <f t="shared" si="0"/>
        <v xml:space="preserve"> </v>
      </c>
    </row>
    <row r="39" spans="1:7" ht="27" customHeight="1" x14ac:dyDescent="0.3">
      <c r="A39" s="47" t="s">
        <v>2721</v>
      </c>
      <c r="B39" s="48"/>
      <c r="C39" s="77" t="str">
        <f>IF(B39&lt;&gt;0,(VLOOKUP(B39,[0]!MQT,2,FALSE))," ")</f>
        <v xml:space="preserve"> </v>
      </c>
      <c r="D39" s="78" t="str">
        <f>IF(B39&lt;&gt;0,(VLOOKUP(B39,[0]!MQT,3,FALSE))," ")</f>
        <v xml:space="preserve"> </v>
      </c>
      <c r="E39" s="32"/>
      <c r="F39" s="79" t="str">
        <f>IF(B39&lt;&gt;0,(VLOOKUP(B39,[0]!MQT,5,FALSE))," ")</f>
        <v xml:space="preserve"> </v>
      </c>
      <c r="G39" s="31" t="str">
        <f t="shared" si="0"/>
        <v xml:space="preserve"> </v>
      </c>
    </row>
    <row r="40" spans="1:7" ht="14.25" x14ac:dyDescent="0.3">
      <c r="A40" s="47" t="s">
        <v>2721</v>
      </c>
      <c r="B40" s="48"/>
      <c r="C40" s="77" t="str">
        <f>IF(B40&lt;&gt;0,(VLOOKUP(B40,[0]!MQT,2,FALSE))," ")</f>
        <v xml:space="preserve"> </v>
      </c>
      <c r="D40" s="78" t="str">
        <f>IF(B40&lt;&gt;0,(VLOOKUP(B40,[0]!MQT,3,FALSE))," ")</f>
        <v xml:space="preserve"> </v>
      </c>
      <c r="E40" s="32"/>
      <c r="F40" s="79" t="str">
        <f>IF(B40&lt;&gt;0,(VLOOKUP(B40,[0]!MQT,5,FALSE))," ")</f>
        <v xml:space="preserve"> </v>
      </c>
      <c r="G40" s="31" t="str">
        <f t="shared" si="0"/>
        <v xml:space="preserve"> </v>
      </c>
    </row>
    <row r="41" spans="1:7" ht="14.25" x14ac:dyDescent="0.3">
      <c r="A41" s="47" t="s">
        <v>2721</v>
      </c>
      <c r="B41" s="48"/>
      <c r="C41" s="77" t="str">
        <f>IF(B41&lt;&gt;0,(VLOOKUP(B41,[0]!MQT,2,FALSE))," ")</f>
        <v xml:space="preserve"> </v>
      </c>
      <c r="D41" s="78" t="str">
        <f>IF(B41&lt;&gt;0,(VLOOKUP(B41,[0]!MQT,3,FALSE))," ")</f>
        <v xml:space="preserve"> </v>
      </c>
      <c r="E41" s="32"/>
      <c r="F41" s="79" t="str">
        <f>IF(B41&lt;&gt;0,(VLOOKUP(B41,[0]!MQT,5,FALSE))," ")</f>
        <v xml:space="preserve"> </v>
      </c>
      <c r="G41" s="31" t="str">
        <f t="shared" si="0"/>
        <v xml:space="preserve"> </v>
      </c>
    </row>
    <row r="42" spans="1:7" ht="14.25" x14ac:dyDescent="0.3">
      <c r="A42" s="47" t="s">
        <v>2721</v>
      </c>
      <c r="B42" s="48"/>
      <c r="C42" s="77" t="str">
        <f>IF(B42&lt;&gt;0,(VLOOKUP(B42,[0]!MQT,2,FALSE))," ")</f>
        <v xml:space="preserve"> </v>
      </c>
      <c r="D42" s="78" t="str">
        <f>IF(B42&lt;&gt;0,(VLOOKUP(B42,[0]!MQT,3,FALSE))," ")</f>
        <v xml:space="preserve"> </v>
      </c>
      <c r="E42" s="32"/>
      <c r="F42" s="79" t="str">
        <f>IF(B42&lt;&gt;0,(VLOOKUP(B42,[0]!MQT,5,FALSE))," ")</f>
        <v xml:space="preserve"> </v>
      </c>
      <c r="G42" s="31" t="str">
        <f t="shared" si="0"/>
        <v xml:space="preserve"> </v>
      </c>
    </row>
    <row r="43" spans="1:7" ht="14.25" x14ac:dyDescent="0.3">
      <c r="A43" s="47" t="s">
        <v>2721</v>
      </c>
      <c r="B43" s="48"/>
      <c r="C43" s="77" t="str">
        <f>IF(B43&lt;&gt;0,(VLOOKUP(B43,[0]!MQT,2,FALSE))," ")</f>
        <v xml:space="preserve"> </v>
      </c>
      <c r="D43" s="78" t="str">
        <f>IF(B43&lt;&gt;0,(VLOOKUP(B43,[0]!MQT,3,FALSE))," ")</f>
        <v xml:space="preserve"> </v>
      </c>
      <c r="E43" s="32"/>
      <c r="F43" s="79" t="str">
        <f>IF(B43&lt;&gt;0,(VLOOKUP(B43,[0]!MQT,5,FALSE))," ")</f>
        <v xml:space="preserve"> </v>
      </c>
      <c r="G43" s="31" t="str">
        <f t="shared" si="0"/>
        <v xml:space="preserve"> </v>
      </c>
    </row>
    <row r="44" spans="1:7" ht="14.25" x14ac:dyDescent="0.3">
      <c r="A44" s="47" t="s">
        <v>2721</v>
      </c>
      <c r="B44" s="48"/>
      <c r="C44" s="77" t="str">
        <f>IF(B44&lt;&gt;0,(VLOOKUP(B44,[0]!MQT,2,FALSE))," ")</f>
        <v xml:space="preserve"> </v>
      </c>
      <c r="D44" s="78" t="str">
        <f>IF(B44&lt;&gt;0,(VLOOKUP(B44,[0]!MQT,3,FALSE))," ")</f>
        <v xml:space="preserve"> </v>
      </c>
      <c r="E44" s="32"/>
      <c r="F44" s="79" t="str">
        <f>IF(B44&lt;&gt;0,(VLOOKUP(B44,[0]!MQT,5,FALSE))," ")</f>
        <v xml:space="preserve"> </v>
      </c>
      <c r="G44" s="31" t="str">
        <f t="shared" si="0"/>
        <v xml:space="preserve"> </v>
      </c>
    </row>
    <row r="45" spans="1:7" ht="14.25" x14ac:dyDescent="0.3">
      <c r="A45" s="47" t="s">
        <v>2721</v>
      </c>
      <c r="B45" s="48"/>
      <c r="C45" s="77" t="str">
        <f>IF(B45&lt;&gt;0,(VLOOKUP(B45,[0]!MQT,2,FALSE))," ")</f>
        <v xml:space="preserve"> </v>
      </c>
      <c r="D45" s="78" t="str">
        <f>IF(B45&lt;&gt;0,(VLOOKUP(B45,[0]!MQT,3,FALSE))," ")</f>
        <v xml:space="preserve"> </v>
      </c>
      <c r="E45" s="32"/>
      <c r="F45" s="79" t="str">
        <f>IF(B45&lt;&gt;0,(VLOOKUP(B45,[0]!MQT,5,FALSE))," ")</f>
        <v xml:space="preserve"> </v>
      </c>
      <c r="G45" s="31" t="str">
        <f t="shared" si="0"/>
        <v xml:space="preserve"> </v>
      </c>
    </row>
    <row r="46" spans="1:7" ht="14.25" x14ac:dyDescent="0.3">
      <c r="A46" s="47" t="s">
        <v>2721</v>
      </c>
      <c r="B46" s="48"/>
      <c r="C46" s="77" t="str">
        <f>IF(B46&lt;&gt;0,(VLOOKUP(B46,[0]!MQT,2,FALSE))," ")</f>
        <v xml:space="preserve"> </v>
      </c>
      <c r="D46" s="78" t="str">
        <f>IF(B46&lt;&gt;0,(VLOOKUP(B46,[0]!MQT,3,FALSE))," ")</f>
        <v xml:space="preserve"> </v>
      </c>
      <c r="E46" s="32"/>
      <c r="F46" s="79" t="str">
        <f>IF(B46&lt;&gt;0,(VLOOKUP(B46,[0]!MQT,5,FALSE))," ")</f>
        <v xml:space="preserve"> </v>
      </c>
      <c r="G46" s="31" t="str">
        <f t="shared" si="0"/>
        <v xml:space="preserve"> </v>
      </c>
    </row>
    <row r="47" spans="1:7" ht="24.75" customHeight="1" x14ac:dyDescent="0.3">
      <c r="A47" s="47" t="s">
        <v>2721</v>
      </c>
      <c r="B47" s="48"/>
      <c r="C47" s="77" t="str">
        <f>IF(B47&lt;&gt;0,(VLOOKUP(B47,[0]!MQT,2,FALSE))," ")</f>
        <v xml:space="preserve"> </v>
      </c>
      <c r="D47" s="78" t="str">
        <f>IF(B47&lt;&gt;0,(VLOOKUP(B47,[0]!MQT,3,FALSE))," ")</f>
        <v xml:space="preserve"> </v>
      </c>
      <c r="E47" s="32"/>
      <c r="F47" s="79" t="str">
        <f>IF(B47&lt;&gt;0,(VLOOKUP(B47,[0]!MQT,5,FALSE))," ")</f>
        <v xml:space="preserve"> </v>
      </c>
      <c r="G47" s="31" t="str">
        <f t="shared" si="0"/>
        <v xml:space="preserve"> </v>
      </c>
    </row>
    <row r="48" spans="1:7" ht="14.25" x14ac:dyDescent="0.3">
      <c r="A48" s="47" t="s">
        <v>2721</v>
      </c>
      <c r="B48" s="48"/>
      <c r="C48" s="77" t="str">
        <f>IF(B48&lt;&gt;0,(VLOOKUP(B48,[0]!MQT,2,FALSE))," ")</f>
        <v xml:space="preserve"> </v>
      </c>
      <c r="D48" s="78" t="str">
        <f>IF(B48&lt;&gt;0,(VLOOKUP(B48,[0]!MQT,3,FALSE))," ")</f>
        <v xml:space="preserve"> </v>
      </c>
      <c r="E48" s="32"/>
      <c r="F48" s="79" t="str">
        <f>IF(B48&lt;&gt;0,(VLOOKUP(B48,[0]!MQT,5,FALSE))," ")</f>
        <v xml:space="preserve"> </v>
      </c>
      <c r="G48" s="31" t="str">
        <f t="shared" si="0"/>
        <v xml:space="preserve"> </v>
      </c>
    </row>
    <row r="49" spans="1:7" ht="14.25" x14ac:dyDescent="0.3">
      <c r="A49" s="47" t="s">
        <v>2721</v>
      </c>
      <c r="B49" s="48"/>
      <c r="C49" s="77" t="str">
        <f>IF(B49&lt;&gt;0,(VLOOKUP(B49,[0]!MQT,2,FALSE))," ")</f>
        <v xml:space="preserve"> </v>
      </c>
      <c r="D49" s="78" t="str">
        <f>IF(B49&lt;&gt;0,(VLOOKUP(B49,[0]!MQT,3,FALSE))," ")</f>
        <v xml:space="preserve"> </v>
      </c>
      <c r="E49" s="32"/>
      <c r="F49" s="79" t="str">
        <f>IF(B49&lt;&gt;0,(VLOOKUP(B49,[0]!MQT,5,FALSE))," ")</f>
        <v xml:space="preserve"> </v>
      </c>
      <c r="G49" s="31" t="str">
        <f t="shared" si="0"/>
        <v xml:space="preserve"> </v>
      </c>
    </row>
    <row r="50" spans="1:7" ht="14.25" x14ac:dyDescent="0.3">
      <c r="A50" s="47" t="s">
        <v>2721</v>
      </c>
      <c r="B50" s="48"/>
      <c r="C50" s="77" t="str">
        <f>IF(B50&lt;&gt;0,(VLOOKUP(B50,[0]!MQT,2,FALSE))," ")</f>
        <v xml:space="preserve"> </v>
      </c>
      <c r="D50" s="78" t="str">
        <f>IF(B50&lt;&gt;0,(VLOOKUP(B50,[0]!MQT,3,FALSE))," ")</f>
        <v xml:space="preserve"> </v>
      </c>
      <c r="E50" s="32"/>
      <c r="F50" s="79" t="str">
        <f>IF(B50&lt;&gt;0,(VLOOKUP(B50,[0]!MQT,5,FALSE))," ")</f>
        <v xml:space="preserve"> </v>
      </c>
      <c r="G50" s="31" t="str">
        <f t="shared" si="0"/>
        <v xml:space="preserve"> </v>
      </c>
    </row>
    <row r="51" spans="1:7" ht="14.25" x14ac:dyDescent="0.3">
      <c r="A51" s="47" t="s">
        <v>2721</v>
      </c>
      <c r="B51" s="48"/>
      <c r="C51" s="77" t="str">
        <f>IF(B51&lt;&gt;0,(VLOOKUP(B51,[0]!MQT,2,FALSE))," ")</f>
        <v xml:space="preserve"> </v>
      </c>
      <c r="D51" s="78" t="str">
        <f>IF(B51&lt;&gt;0,(VLOOKUP(B51,[0]!MQT,3,FALSE))," ")</f>
        <v xml:space="preserve"> </v>
      </c>
      <c r="E51" s="32"/>
      <c r="F51" s="79" t="str">
        <f>IF(B51&lt;&gt;0,(VLOOKUP(B51,[0]!MQT,5,FALSE))," ")</f>
        <v xml:space="preserve"> </v>
      </c>
      <c r="G51" s="31" t="str">
        <f t="shared" si="0"/>
        <v xml:space="preserve"> </v>
      </c>
    </row>
    <row r="52" spans="1:7" ht="14.25" x14ac:dyDescent="0.3">
      <c r="A52" s="47" t="s">
        <v>2721</v>
      </c>
      <c r="B52" s="48"/>
      <c r="C52" s="77" t="str">
        <f>IF(B52&lt;&gt;0,(VLOOKUP(B52,[0]!MQT,2,FALSE))," ")</f>
        <v xml:space="preserve"> </v>
      </c>
      <c r="D52" s="78" t="str">
        <f>IF(B52&lt;&gt;0,(VLOOKUP(B52,[0]!MQT,3,FALSE))," ")</f>
        <v xml:space="preserve"> </v>
      </c>
      <c r="E52" s="32"/>
      <c r="F52" s="79" t="str">
        <f>IF(B52&lt;&gt;0,(VLOOKUP(B52,[0]!MQT,5,FALSE))," ")</f>
        <v xml:space="preserve"> </v>
      </c>
      <c r="G52" s="31" t="str">
        <f t="shared" si="0"/>
        <v xml:space="preserve"> </v>
      </c>
    </row>
    <row r="53" spans="1:7" ht="14.25" x14ac:dyDescent="0.3">
      <c r="A53" s="47" t="s">
        <v>2721</v>
      </c>
      <c r="B53" s="48"/>
      <c r="C53" s="77" t="str">
        <f>IF(B53&lt;&gt;0,(VLOOKUP(B53,[0]!MQT,2,FALSE))," ")</f>
        <v xml:space="preserve"> </v>
      </c>
      <c r="D53" s="78" t="str">
        <f>IF(B53&lt;&gt;0,(VLOOKUP(B53,[0]!MQT,3,FALSE))," ")</f>
        <v xml:space="preserve"> </v>
      </c>
      <c r="E53" s="32"/>
      <c r="F53" s="79" t="str">
        <f>IF(B53&lt;&gt;0,(VLOOKUP(B53,[0]!MQT,5,FALSE))," ")</f>
        <v xml:space="preserve"> </v>
      </c>
      <c r="G53" s="31" t="str">
        <f t="shared" si="0"/>
        <v xml:space="preserve"> </v>
      </c>
    </row>
    <row r="54" spans="1:7" ht="14.25" x14ac:dyDescent="0.3">
      <c r="A54" s="47" t="s">
        <v>2721</v>
      </c>
      <c r="B54" s="48"/>
      <c r="C54" s="77" t="str">
        <f>IF(B54&lt;&gt;0,(VLOOKUP(B54,[0]!MQT,2,FALSE))," ")</f>
        <v xml:space="preserve"> </v>
      </c>
      <c r="D54" s="78" t="str">
        <f>IF(B54&lt;&gt;0,(VLOOKUP(B54,[0]!MQT,3,FALSE))," ")</f>
        <v xml:space="preserve"> </v>
      </c>
      <c r="E54" s="32"/>
      <c r="F54" s="79" t="str">
        <f>IF(B54&lt;&gt;0,(VLOOKUP(B54,[0]!MQT,5,FALSE))," ")</f>
        <v xml:space="preserve"> </v>
      </c>
      <c r="G54" s="31" t="str">
        <f t="shared" si="0"/>
        <v xml:space="preserve"> </v>
      </c>
    </row>
    <row r="55" spans="1:7" ht="14.25" x14ac:dyDescent="0.3">
      <c r="A55" s="47" t="s">
        <v>2721</v>
      </c>
      <c r="B55" s="48"/>
      <c r="C55" s="77" t="str">
        <f>IF(B55&lt;&gt;0,(VLOOKUP(B55,[0]!MQT,2,FALSE))," ")</f>
        <v xml:space="preserve"> </v>
      </c>
      <c r="D55" s="78" t="str">
        <f>IF(B55&lt;&gt;0,(VLOOKUP(B55,[0]!MQT,3,FALSE))," ")</f>
        <v xml:space="preserve"> </v>
      </c>
      <c r="E55" s="32"/>
      <c r="F55" s="79" t="str">
        <f>IF(B55&lt;&gt;0,(VLOOKUP(B55,[0]!MQT,5,FALSE))," ")</f>
        <v xml:space="preserve"> </v>
      </c>
      <c r="G55" s="31" t="str">
        <f t="shared" si="0"/>
        <v xml:space="preserve"> </v>
      </c>
    </row>
    <row r="56" spans="1:7" ht="14.25" x14ac:dyDescent="0.3">
      <c r="A56" s="47" t="s">
        <v>2721</v>
      </c>
      <c r="B56" s="48"/>
      <c r="C56" s="77" t="str">
        <f>IF(B56&lt;&gt;0,(VLOOKUP(B56,[0]!MQT,2,FALSE))," ")</f>
        <v xml:space="preserve"> </v>
      </c>
      <c r="D56" s="78" t="str">
        <f>IF(B56&lt;&gt;0,(VLOOKUP(B56,[0]!MQT,3,FALSE))," ")</f>
        <v xml:space="preserve"> </v>
      </c>
      <c r="E56" s="32"/>
      <c r="F56" s="79" t="str">
        <f>IF(B56&lt;&gt;0,(VLOOKUP(B56,[0]!MQT,5,FALSE))," ")</f>
        <v xml:space="preserve"> </v>
      </c>
      <c r="G56" s="31" t="str">
        <f t="shared" si="0"/>
        <v xml:space="preserve"> </v>
      </c>
    </row>
    <row r="57" spans="1:7" ht="14.25" x14ac:dyDescent="0.3">
      <c r="A57" s="47" t="s">
        <v>2721</v>
      </c>
      <c r="B57" s="48"/>
      <c r="C57" s="77" t="str">
        <f>IF(B57&lt;&gt;0,(VLOOKUP(B57,[0]!MQT,2,FALSE))," ")</f>
        <v xml:space="preserve"> </v>
      </c>
      <c r="D57" s="78" t="str">
        <f>IF(B57&lt;&gt;0,(VLOOKUP(B57,[0]!MQT,3,FALSE))," ")</f>
        <v xml:space="preserve"> </v>
      </c>
      <c r="E57" s="32"/>
      <c r="F57" s="79" t="str">
        <f>IF(B57&lt;&gt;0,(VLOOKUP(B57,[0]!MQT,5,FALSE))," ")</f>
        <v xml:space="preserve"> </v>
      </c>
      <c r="G57" s="31" t="str">
        <f t="shared" si="0"/>
        <v xml:space="preserve"> </v>
      </c>
    </row>
    <row r="58" spans="1:7" ht="14.25" x14ac:dyDescent="0.3">
      <c r="A58" s="47" t="s">
        <v>2721</v>
      </c>
      <c r="B58" s="48"/>
      <c r="C58" s="77" t="str">
        <f>IF(B58&lt;&gt;0,(VLOOKUP(B58,[0]!MQT,2,FALSE))," ")</f>
        <v xml:space="preserve"> </v>
      </c>
      <c r="D58" s="78" t="str">
        <f>IF(B58&lt;&gt;0,(VLOOKUP(B58,[0]!MQT,3,FALSE))," ")</f>
        <v xml:space="preserve"> </v>
      </c>
      <c r="E58" s="32"/>
      <c r="F58" s="79" t="str">
        <f>IF(B58&lt;&gt;0,(VLOOKUP(B58,[0]!MQT,5,FALSE))," ")</f>
        <v xml:space="preserve"> </v>
      </c>
      <c r="G58" s="31" t="str">
        <f t="shared" si="0"/>
        <v xml:space="preserve"> </v>
      </c>
    </row>
    <row r="59" spans="1:7" ht="14.25" x14ac:dyDescent="0.3">
      <c r="A59" s="47" t="s">
        <v>2721</v>
      </c>
      <c r="B59" s="48"/>
      <c r="C59" s="77" t="str">
        <f>IF(B59&lt;&gt;0,(VLOOKUP(B59,[0]!MQT,2,FALSE))," ")</f>
        <v xml:space="preserve"> </v>
      </c>
      <c r="D59" s="78" t="str">
        <f>IF(B59&lt;&gt;0,(VLOOKUP(B59,[0]!MQT,3,FALSE))," ")</f>
        <v xml:space="preserve"> </v>
      </c>
      <c r="E59" s="32"/>
      <c r="F59" s="79" t="str">
        <f>IF(B59&lt;&gt;0,(VLOOKUP(B59,[0]!MQT,5,FALSE))," ")</f>
        <v xml:space="preserve"> </v>
      </c>
      <c r="G59" s="31" t="str">
        <f t="shared" si="0"/>
        <v xml:space="preserve"> </v>
      </c>
    </row>
    <row r="60" spans="1:7" ht="14.25" x14ac:dyDescent="0.3">
      <c r="A60" s="47" t="s">
        <v>2721</v>
      </c>
      <c r="B60" s="48"/>
      <c r="C60" s="77" t="str">
        <f>IF(B60&lt;&gt;0,(VLOOKUP(B60,[0]!MQT,2,FALSE))," ")</f>
        <v xml:space="preserve"> </v>
      </c>
      <c r="D60" s="78" t="str">
        <f>IF(B60&lt;&gt;0,(VLOOKUP(B60,[0]!MQT,3,FALSE))," ")</f>
        <v xml:space="preserve"> </v>
      </c>
      <c r="E60" s="32"/>
      <c r="F60" s="79" t="str">
        <f>IF(B60&lt;&gt;0,(VLOOKUP(B60,[0]!MQT,5,FALSE))," ")</f>
        <v xml:space="preserve"> </v>
      </c>
      <c r="G60" s="31" t="str">
        <f t="shared" si="0"/>
        <v xml:space="preserve"> </v>
      </c>
    </row>
    <row r="61" spans="1:7" ht="14.25" x14ac:dyDescent="0.3">
      <c r="A61" s="47" t="s">
        <v>2721</v>
      </c>
      <c r="B61" s="48"/>
      <c r="C61" s="77" t="str">
        <f>IF(B61&lt;&gt;0,(VLOOKUP(B61,[0]!MQT,2,FALSE))," ")</f>
        <v xml:space="preserve"> </v>
      </c>
      <c r="D61" s="78" t="str">
        <f>IF(B61&lt;&gt;0,(VLOOKUP(B61,[0]!MQT,3,FALSE))," ")</f>
        <v xml:space="preserve"> </v>
      </c>
      <c r="E61" s="32"/>
      <c r="F61" s="79" t="str">
        <f>IF(B61&lt;&gt;0,(VLOOKUP(B61,[0]!MQT,5,FALSE))," ")</f>
        <v xml:space="preserve"> </v>
      </c>
      <c r="G61" s="31" t="str">
        <f t="shared" si="0"/>
        <v xml:space="preserve"> </v>
      </c>
    </row>
    <row r="62" spans="1:7" ht="14.25" x14ac:dyDescent="0.3">
      <c r="A62" s="47" t="s">
        <v>2721</v>
      </c>
      <c r="B62" s="48"/>
      <c r="C62" s="77" t="str">
        <f>IF(B62&lt;&gt;0,(VLOOKUP(B62,[0]!MQT,2,FALSE))," ")</f>
        <v xml:space="preserve"> </v>
      </c>
      <c r="D62" s="78" t="str">
        <f>IF(B62&lt;&gt;0,(VLOOKUP(B62,[0]!MQT,3,FALSE))," ")</f>
        <v xml:space="preserve"> </v>
      </c>
      <c r="E62" s="32"/>
      <c r="F62" s="79" t="str">
        <f>IF(B62&lt;&gt;0,(VLOOKUP(B62,[0]!MQT,5,FALSE))," ")</f>
        <v xml:space="preserve"> </v>
      </c>
      <c r="G62" s="31" t="str">
        <f t="shared" si="0"/>
        <v xml:space="preserve"> </v>
      </c>
    </row>
    <row r="63" spans="1:7" ht="14.25" x14ac:dyDescent="0.3">
      <c r="A63" s="47" t="s">
        <v>2721</v>
      </c>
      <c r="B63" s="48"/>
      <c r="C63" s="77" t="str">
        <f>IF(B63&lt;&gt;0,(VLOOKUP(B63,[0]!MQT,2,FALSE))," ")</f>
        <v xml:space="preserve"> </v>
      </c>
      <c r="D63" s="78" t="str">
        <f>IF(B63&lt;&gt;0,(VLOOKUP(B63,[0]!MQT,3,FALSE))," ")</f>
        <v xml:space="preserve"> </v>
      </c>
      <c r="E63" s="32"/>
      <c r="F63" s="79" t="str">
        <f>IF(B63&lt;&gt;0,(VLOOKUP(B63,[0]!MQT,5,FALSE))," ")</f>
        <v xml:space="preserve"> </v>
      </c>
      <c r="G63" s="31" t="str">
        <f t="shared" si="0"/>
        <v xml:space="preserve"> </v>
      </c>
    </row>
    <row r="64" spans="1:7" ht="14.25" x14ac:dyDescent="0.3">
      <c r="A64" s="47" t="s">
        <v>2721</v>
      </c>
      <c r="B64" s="48"/>
      <c r="C64" s="77" t="str">
        <f>IF(B64&lt;&gt;0,(VLOOKUP(B64,[0]!MQT,2,FALSE))," ")</f>
        <v xml:space="preserve"> </v>
      </c>
      <c r="D64" s="78" t="str">
        <f>IF(B64&lt;&gt;0,(VLOOKUP(B64,[0]!MQT,3,FALSE))," ")</f>
        <v xml:space="preserve"> </v>
      </c>
      <c r="E64" s="32"/>
      <c r="F64" s="79" t="str">
        <f>IF(B64&lt;&gt;0,(VLOOKUP(B64,[0]!MQT,5,FALSE))," ")</f>
        <v xml:space="preserve"> </v>
      </c>
      <c r="G64" s="31" t="str">
        <f t="shared" si="0"/>
        <v xml:space="preserve"> </v>
      </c>
    </row>
    <row r="65" spans="1:7" ht="14.25" x14ac:dyDescent="0.3">
      <c r="A65" s="47" t="s">
        <v>2721</v>
      </c>
      <c r="B65" s="48"/>
      <c r="C65" s="77" t="str">
        <f>IF(B65&lt;&gt;0,(VLOOKUP(B65,[0]!MQT,2,FALSE))," ")</f>
        <v xml:space="preserve"> </v>
      </c>
      <c r="D65" s="78" t="str">
        <f>IF(B65&lt;&gt;0,(VLOOKUP(B65,[0]!MQT,3,FALSE))," ")</f>
        <v xml:space="preserve"> </v>
      </c>
      <c r="E65" s="32"/>
      <c r="F65" s="79" t="str">
        <f>IF(B65&lt;&gt;0,(VLOOKUP(B65,[0]!MQT,5,FALSE))," ")</f>
        <v xml:space="preserve"> </v>
      </c>
      <c r="G65" s="31" t="str">
        <f t="shared" si="0"/>
        <v xml:space="preserve"> </v>
      </c>
    </row>
    <row r="66" spans="1:7" ht="14.25" x14ac:dyDescent="0.3">
      <c r="B66" s="83"/>
      <c r="C66" s="84"/>
      <c r="D66" s="85"/>
      <c r="E66" s="86"/>
      <c r="F66" s="87"/>
      <c r="G66" s="88"/>
    </row>
    <row r="67" spans="1:7" x14ac:dyDescent="0.2">
      <c r="B67" s="97">
        <f>F9</f>
        <v>0</v>
      </c>
      <c r="C67" s="97"/>
      <c r="D67" s="97"/>
      <c r="E67" s="97"/>
      <c r="F67" s="97"/>
      <c r="G67" s="97"/>
    </row>
  </sheetData>
  <mergeCells count="18">
    <mergeCell ref="B67:G67"/>
    <mergeCell ref="D12:E12"/>
    <mergeCell ref="B13:E13"/>
    <mergeCell ref="F13:G13"/>
    <mergeCell ref="B18:G18"/>
    <mergeCell ref="B19:G19"/>
    <mergeCell ref="B20:B21"/>
    <mergeCell ref="C20:C21"/>
    <mergeCell ref="D20:D21"/>
    <mergeCell ref="E20:E21"/>
    <mergeCell ref="G20:G21"/>
    <mergeCell ref="B7:G7"/>
    <mergeCell ref="C8:G8"/>
    <mergeCell ref="F9:G9"/>
    <mergeCell ref="D10:E10"/>
    <mergeCell ref="F10:G10"/>
    <mergeCell ref="D11:E11"/>
    <mergeCell ref="F11:G11"/>
  </mergeCells>
  <conditionalFormatting sqref="F9:G11 B13 B15:G17 C9 C11 B18">
    <cfRule type="cellIs" dxfId="0" priority="1" stopIfTrue="1" operator="equal">
      <formula>0</formula>
    </cfRule>
  </conditionalFormatting>
  <dataValidations count="2">
    <dataValidation type="list" allowBlank="1" showInputMessage="1" showErrorMessage="1" sqref="WVJ982915 C65481 IX65411 ST65411 ACP65411 AML65411 AWH65411 BGD65411 BPZ65411 BZV65411 CJR65411 CTN65411 DDJ65411 DNF65411 DXB65411 EGX65411 EQT65411 FAP65411 FKL65411 FUH65411 GED65411 GNZ65411 GXV65411 HHR65411 HRN65411 IBJ65411 ILF65411 IVB65411 JEX65411 JOT65411 JYP65411 KIL65411 KSH65411 LCD65411 LLZ65411 LVV65411 MFR65411 MPN65411 MZJ65411 NJF65411 NTB65411 OCX65411 OMT65411 OWP65411 PGL65411 PQH65411 QAD65411 QJZ65411 QTV65411 RDR65411 RNN65411 RXJ65411 SHF65411 SRB65411 TAX65411 TKT65411 TUP65411 UEL65411 UOH65411 UYD65411 VHZ65411 VRV65411 WBR65411 WLN65411 WVJ65411 C131017 IX130947 ST130947 ACP130947 AML130947 AWH130947 BGD130947 BPZ130947 BZV130947 CJR130947 CTN130947 DDJ130947 DNF130947 DXB130947 EGX130947 EQT130947 FAP130947 FKL130947 FUH130947 GED130947 GNZ130947 GXV130947 HHR130947 HRN130947 IBJ130947 ILF130947 IVB130947 JEX130947 JOT130947 JYP130947 KIL130947 KSH130947 LCD130947 LLZ130947 LVV130947 MFR130947 MPN130947 MZJ130947 NJF130947 NTB130947 OCX130947 OMT130947 OWP130947 PGL130947 PQH130947 QAD130947 QJZ130947 QTV130947 RDR130947 RNN130947 RXJ130947 SHF130947 SRB130947 TAX130947 TKT130947 TUP130947 UEL130947 UOH130947 UYD130947 VHZ130947 VRV130947 WBR130947 WLN130947 WVJ130947 C196553 IX196483 ST196483 ACP196483 AML196483 AWH196483 BGD196483 BPZ196483 BZV196483 CJR196483 CTN196483 DDJ196483 DNF196483 DXB196483 EGX196483 EQT196483 FAP196483 FKL196483 FUH196483 GED196483 GNZ196483 GXV196483 HHR196483 HRN196483 IBJ196483 ILF196483 IVB196483 JEX196483 JOT196483 JYP196483 KIL196483 KSH196483 LCD196483 LLZ196483 LVV196483 MFR196483 MPN196483 MZJ196483 NJF196483 NTB196483 OCX196483 OMT196483 OWP196483 PGL196483 PQH196483 QAD196483 QJZ196483 QTV196483 RDR196483 RNN196483 RXJ196483 SHF196483 SRB196483 TAX196483 TKT196483 TUP196483 UEL196483 UOH196483 UYD196483 VHZ196483 VRV196483 WBR196483 WLN196483 WVJ196483 C262089 IX262019 ST262019 ACP262019 AML262019 AWH262019 BGD262019 BPZ262019 BZV262019 CJR262019 CTN262019 DDJ262019 DNF262019 DXB262019 EGX262019 EQT262019 FAP262019 FKL262019 FUH262019 GED262019 GNZ262019 GXV262019 HHR262019 HRN262019 IBJ262019 ILF262019 IVB262019 JEX262019 JOT262019 JYP262019 KIL262019 KSH262019 LCD262019 LLZ262019 LVV262019 MFR262019 MPN262019 MZJ262019 NJF262019 NTB262019 OCX262019 OMT262019 OWP262019 PGL262019 PQH262019 QAD262019 QJZ262019 QTV262019 RDR262019 RNN262019 RXJ262019 SHF262019 SRB262019 TAX262019 TKT262019 TUP262019 UEL262019 UOH262019 UYD262019 VHZ262019 VRV262019 WBR262019 WLN262019 WVJ262019 C327625 IX327555 ST327555 ACP327555 AML327555 AWH327555 BGD327555 BPZ327555 BZV327555 CJR327555 CTN327555 DDJ327555 DNF327555 DXB327555 EGX327555 EQT327555 FAP327555 FKL327555 FUH327555 GED327555 GNZ327555 GXV327555 HHR327555 HRN327555 IBJ327555 ILF327555 IVB327555 JEX327555 JOT327555 JYP327555 KIL327555 KSH327555 LCD327555 LLZ327555 LVV327555 MFR327555 MPN327555 MZJ327555 NJF327555 NTB327555 OCX327555 OMT327555 OWP327555 PGL327555 PQH327555 QAD327555 QJZ327555 QTV327555 RDR327555 RNN327555 RXJ327555 SHF327555 SRB327555 TAX327555 TKT327555 TUP327555 UEL327555 UOH327555 UYD327555 VHZ327555 VRV327555 WBR327555 WLN327555 WVJ327555 C393161 IX393091 ST393091 ACP393091 AML393091 AWH393091 BGD393091 BPZ393091 BZV393091 CJR393091 CTN393091 DDJ393091 DNF393091 DXB393091 EGX393091 EQT393091 FAP393091 FKL393091 FUH393091 GED393091 GNZ393091 GXV393091 HHR393091 HRN393091 IBJ393091 ILF393091 IVB393091 JEX393091 JOT393091 JYP393091 KIL393091 KSH393091 LCD393091 LLZ393091 LVV393091 MFR393091 MPN393091 MZJ393091 NJF393091 NTB393091 OCX393091 OMT393091 OWP393091 PGL393091 PQH393091 QAD393091 QJZ393091 QTV393091 RDR393091 RNN393091 RXJ393091 SHF393091 SRB393091 TAX393091 TKT393091 TUP393091 UEL393091 UOH393091 UYD393091 VHZ393091 VRV393091 WBR393091 WLN393091 WVJ393091 C458697 IX458627 ST458627 ACP458627 AML458627 AWH458627 BGD458627 BPZ458627 BZV458627 CJR458627 CTN458627 DDJ458627 DNF458627 DXB458627 EGX458627 EQT458627 FAP458627 FKL458627 FUH458627 GED458627 GNZ458627 GXV458627 HHR458627 HRN458627 IBJ458627 ILF458627 IVB458627 JEX458627 JOT458627 JYP458627 KIL458627 KSH458627 LCD458627 LLZ458627 LVV458627 MFR458627 MPN458627 MZJ458627 NJF458627 NTB458627 OCX458627 OMT458627 OWP458627 PGL458627 PQH458627 QAD458627 QJZ458627 QTV458627 RDR458627 RNN458627 RXJ458627 SHF458627 SRB458627 TAX458627 TKT458627 TUP458627 UEL458627 UOH458627 UYD458627 VHZ458627 VRV458627 WBR458627 WLN458627 WVJ458627 C524233 IX524163 ST524163 ACP524163 AML524163 AWH524163 BGD524163 BPZ524163 BZV524163 CJR524163 CTN524163 DDJ524163 DNF524163 DXB524163 EGX524163 EQT524163 FAP524163 FKL524163 FUH524163 GED524163 GNZ524163 GXV524163 HHR524163 HRN524163 IBJ524163 ILF524163 IVB524163 JEX524163 JOT524163 JYP524163 KIL524163 KSH524163 LCD524163 LLZ524163 LVV524163 MFR524163 MPN524163 MZJ524163 NJF524163 NTB524163 OCX524163 OMT524163 OWP524163 PGL524163 PQH524163 QAD524163 QJZ524163 QTV524163 RDR524163 RNN524163 RXJ524163 SHF524163 SRB524163 TAX524163 TKT524163 TUP524163 UEL524163 UOH524163 UYD524163 VHZ524163 VRV524163 WBR524163 WLN524163 WVJ524163 C589769 IX589699 ST589699 ACP589699 AML589699 AWH589699 BGD589699 BPZ589699 BZV589699 CJR589699 CTN589699 DDJ589699 DNF589699 DXB589699 EGX589699 EQT589699 FAP589699 FKL589699 FUH589699 GED589699 GNZ589699 GXV589699 HHR589699 HRN589699 IBJ589699 ILF589699 IVB589699 JEX589699 JOT589699 JYP589699 KIL589699 KSH589699 LCD589699 LLZ589699 LVV589699 MFR589699 MPN589699 MZJ589699 NJF589699 NTB589699 OCX589699 OMT589699 OWP589699 PGL589699 PQH589699 QAD589699 QJZ589699 QTV589699 RDR589699 RNN589699 RXJ589699 SHF589699 SRB589699 TAX589699 TKT589699 TUP589699 UEL589699 UOH589699 UYD589699 VHZ589699 VRV589699 WBR589699 WLN589699 WVJ589699 C655305 IX655235 ST655235 ACP655235 AML655235 AWH655235 BGD655235 BPZ655235 BZV655235 CJR655235 CTN655235 DDJ655235 DNF655235 DXB655235 EGX655235 EQT655235 FAP655235 FKL655235 FUH655235 GED655235 GNZ655235 GXV655235 HHR655235 HRN655235 IBJ655235 ILF655235 IVB655235 JEX655235 JOT655235 JYP655235 KIL655235 KSH655235 LCD655235 LLZ655235 LVV655235 MFR655235 MPN655235 MZJ655235 NJF655235 NTB655235 OCX655235 OMT655235 OWP655235 PGL655235 PQH655235 QAD655235 QJZ655235 QTV655235 RDR655235 RNN655235 RXJ655235 SHF655235 SRB655235 TAX655235 TKT655235 TUP655235 UEL655235 UOH655235 UYD655235 VHZ655235 VRV655235 WBR655235 WLN655235 WVJ655235 C720841 IX720771 ST720771 ACP720771 AML720771 AWH720771 BGD720771 BPZ720771 BZV720771 CJR720771 CTN720771 DDJ720771 DNF720771 DXB720771 EGX720771 EQT720771 FAP720771 FKL720771 FUH720771 GED720771 GNZ720771 GXV720771 HHR720771 HRN720771 IBJ720771 ILF720771 IVB720771 JEX720771 JOT720771 JYP720771 KIL720771 KSH720771 LCD720771 LLZ720771 LVV720771 MFR720771 MPN720771 MZJ720771 NJF720771 NTB720771 OCX720771 OMT720771 OWP720771 PGL720771 PQH720771 QAD720771 QJZ720771 QTV720771 RDR720771 RNN720771 RXJ720771 SHF720771 SRB720771 TAX720771 TKT720771 TUP720771 UEL720771 UOH720771 UYD720771 VHZ720771 VRV720771 WBR720771 WLN720771 WVJ720771 C786377 IX786307 ST786307 ACP786307 AML786307 AWH786307 BGD786307 BPZ786307 BZV786307 CJR786307 CTN786307 DDJ786307 DNF786307 DXB786307 EGX786307 EQT786307 FAP786307 FKL786307 FUH786307 GED786307 GNZ786307 GXV786307 HHR786307 HRN786307 IBJ786307 ILF786307 IVB786307 JEX786307 JOT786307 JYP786307 KIL786307 KSH786307 LCD786307 LLZ786307 LVV786307 MFR786307 MPN786307 MZJ786307 NJF786307 NTB786307 OCX786307 OMT786307 OWP786307 PGL786307 PQH786307 QAD786307 QJZ786307 QTV786307 RDR786307 RNN786307 RXJ786307 SHF786307 SRB786307 TAX786307 TKT786307 TUP786307 UEL786307 UOH786307 UYD786307 VHZ786307 VRV786307 WBR786307 WLN786307 WVJ786307 C851913 IX851843 ST851843 ACP851843 AML851843 AWH851843 BGD851843 BPZ851843 BZV851843 CJR851843 CTN851843 DDJ851843 DNF851843 DXB851843 EGX851843 EQT851843 FAP851843 FKL851843 FUH851843 GED851843 GNZ851843 GXV851843 HHR851843 HRN851843 IBJ851843 ILF851843 IVB851843 JEX851843 JOT851843 JYP851843 KIL851843 KSH851843 LCD851843 LLZ851843 LVV851843 MFR851843 MPN851843 MZJ851843 NJF851843 NTB851843 OCX851843 OMT851843 OWP851843 PGL851843 PQH851843 QAD851843 QJZ851843 QTV851843 RDR851843 RNN851843 RXJ851843 SHF851843 SRB851843 TAX851843 TKT851843 TUP851843 UEL851843 UOH851843 UYD851843 VHZ851843 VRV851843 WBR851843 WLN851843 WVJ851843 C917449 IX917379 ST917379 ACP917379 AML917379 AWH917379 BGD917379 BPZ917379 BZV917379 CJR917379 CTN917379 DDJ917379 DNF917379 DXB917379 EGX917379 EQT917379 FAP917379 FKL917379 FUH917379 GED917379 GNZ917379 GXV917379 HHR917379 HRN917379 IBJ917379 ILF917379 IVB917379 JEX917379 JOT917379 JYP917379 KIL917379 KSH917379 LCD917379 LLZ917379 LVV917379 MFR917379 MPN917379 MZJ917379 NJF917379 NTB917379 OCX917379 OMT917379 OWP917379 PGL917379 PQH917379 QAD917379 QJZ917379 QTV917379 RDR917379 RNN917379 RXJ917379 SHF917379 SRB917379 TAX917379 TKT917379 TUP917379 UEL917379 UOH917379 UYD917379 VHZ917379 VRV917379 WBR917379 WLN917379 WVJ917379 C982985 IX982915 ST982915 ACP982915 AML982915 AWH982915 BGD982915 BPZ982915 BZV982915 CJR982915 CTN982915 DDJ982915 DNF982915 DXB982915 EGX982915 EQT982915 FAP982915 FKL982915 FUH982915 GED982915 GNZ982915 GXV982915 HHR982915 HRN982915 IBJ982915 ILF982915 IVB982915 JEX982915 JOT982915 JYP982915 KIL982915 KSH982915 LCD982915 LLZ982915 LVV982915 MFR982915 MPN982915 MZJ982915 NJF982915 NTB982915 OCX982915 OMT982915 OWP982915 PGL982915 PQH982915 QAD982915 QJZ982915 QTV982915 RDR982915 RNN982915 RXJ982915 SHF982915 SRB982915 TAX982915 TKT982915 TUP982915 UEL982915 UOH982915 UYD982915 VHZ982915 VRV982915 WBR982915 WLN982915" xr:uid="{3924CA76-8AF1-41E3-A2D6-A10F81A9E8B1}">
      <formula1>Requerentes</formula1>
    </dataValidation>
    <dataValidation type="list" allowBlank="1" showInputMessage="1" showErrorMessage="1" sqref="C65439 WVJ982873 WLN982873 WBR982873 VRV982873 VHZ982873 UYD982873 UOH982873 UEL982873 TUP982873 TKT982873 TAX982873 SRB982873 SHF982873 RXJ982873 RNN982873 RDR982873 QTV982873 QJZ982873 QAD982873 PQH982873 PGL982873 OWP982873 OMT982873 OCX982873 NTB982873 NJF982873 MZJ982873 MPN982873 MFR982873 LVV982873 LLZ982873 LCD982873 KSH982873 KIL982873 JYP982873 JOT982873 JEX982873 IVB982873 ILF982873 IBJ982873 HRN982873 HHR982873 GXV982873 GNZ982873 GED982873 FUH982873 FKL982873 FAP982873 EQT982873 EGX982873 DXB982873 DNF982873 DDJ982873 CTN982873 CJR982873 BZV982873 BPZ982873 BGD982873 AWH982873 AML982873 ACP982873 ST982873 IX982873 C982943 WVJ917337 WLN917337 WBR917337 VRV917337 VHZ917337 UYD917337 UOH917337 UEL917337 TUP917337 TKT917337 TAX917337 SRB917337 SHF917337 RXJ917337 RNN917337 RDR917337 QTV917337 QJZ917337 QAD917337 PQH917337 PGL917337 OWP917337 OMT917337 OCX917337 NTB917337 NJF917337 MZJ917337 MPN917337 MFR917337 LVV917337 LLZ917337 LCD917337 KSH917337 KIL917337 JYP917337 JOT917337 JEX917337 IVB917337 ILF917337 IBJ917337 HRN917337 HHR917337 GXV917337 GNZ917337 GED917337 FUH917337 FKL917337 FAP917337 EQT917337 EGX917337 DXB917337 DNF917337 DDJ917337 CTN917337 CJR917337 BZV917337 BPZ917337 BGD917337 AWH917337 AML917337 ACP917337 ST917337 IX917337 C917407 WVJ851801 WLN851801 WBR851801 VRV851801 VHZ851801 UYD851801 UOH851801 UEL851801 TUP851801 TKT851801 TAX851801 SRB851801 SHF851801 RXJ851801 RNN851801 RDR851801 QTV851801 QJZ851801 QAD851801 PQH851801 PGL851801 OWP851801 OMT851801 OCX851801 NTB851801 NJF851801 MZJ851801 MPN851801 MFR851801 LVV851801 LLZ851801 LCD851801 KSH851801 KIL851801 JYP851801 JOT851801 JEX851801 IVB851801 ILF851801 IBJ851801 HRN851801 HHR851801 GXV851801 GNZ851801 GED851801 FUH851801 FKL851801 FAP851801 EQT851801 EGX851801 DXB851801 DNF851801 DDJ851801 CTN851801 CJR851801 BZV851801 BPZ851801 BGD851801 AWH851801 AML851801 ACP851801 ST851801 IX851801 C851871 WVJ786265 WLN786265 WBR786265 VRV786265 VHZ786265 UYD786265 UOH786265 UEL786265 TUP786265 TKT786265 TAX786265 SRB786265 SHF786265 RXJ786265 RNN786265 RDR786265 QTV786265 QJZ786265 QAD786265 PQH786265 PGL786265 OWP786265 OMT786265 OCX786265 NTB786265 NJF786265 MZJ786265 MPN786265 MFR786265 LVV786265 LLZ786265 LCD786265 KSH786265 KIL786265 JYP786265 JOT786265 JEX786265 IVB786265 ILF786265 IBJ786265 HRN786265 HHR786265 GXV786265 GNZ786265 GED786265 FUH786265 FKL786265 FAP786265 EQT786265 EGX786265 DXB786265 DNF786265 DDJ786265 CTN786265 CJR786265 BZV786265 BPZ786265 BGD786265 AWH786265 AML786265 ACP786265 ST786265 IX786265 C786335 WVJ720729 WLN720729 WBR720729 VRV720729 VHZ720729 UYD720729 UOH720729 UEL720729 TUP720729 TKT720729 TAX720729 SRB720729 SHF720729 RXJ720729 RNN720729 RDR720729 QTV720729 QJZ720729 QAD720729 PQH720729 PGL720729 OWP720729 OMT720729 OCX720729 NTB720729 NJF720729 MZJ720729 MPN720729 MFR720729 LVV720729 LLZ720729 LCD720729 KSH720729 KIL720729 JYP720729 JOT720729 JEX720729 IVB720729 ILF720729 IBJ720729 HRN720729 HHR720729 GXV720729 GNZ720729 GED720729 FUH720729 FKL720729 FAP720729 EQT720729 EGX720729 DXB720729 DNF720729 DDJ720729 CTN720729 CJR720729 BZV720729 BPZ720729 BGD720729 AWH720729 AML720729 ACP720729 ST720729 IX720729 C720799 WVJ655193 WLN655193 WBR655193 VRV655193 VHZ655193 UYD655193 UOH655193 UEL655193 TUP655193 TKT655193 TAX655193 SRB655193 SHF655193 RXJ655193 RNN655193 RDR655193 QTV655193 QJZ655193 QAD655193 PQH655193 PGL655193 OWP655193 OMT655193 OCX655193 NTB655193 NJF655193 MZJ655193 MPN655193 MFR655193 LVV655193 LLZ655193 LCD655193 KSH655193 KIL655193 JYP655193 JOT655193 JEX655193 IVB655193 ILF655193 IBJ655193 HRN655193 HHR655193 GXV655193 GNZ655193 GED655193 FUH655193 FKL655193 FAP655193 EQT655193 EGX655193 DXB655193 DNF655193 DDJ655193 CTN655193 CJR655193 BZV655193 BPZ655193 BGD655193 AWH655193 AML655193 ACP655193 ST655193 IX655193 C655263 WVJ589657 WLN589657 WBR589657 VRV589657 VHZ589657 UYD589657 UOH589657 UEL589657 TUP589657 TKT589657 TAX589657 SRB589657 SHF589657 RXJ589657 RNN589657 RDR589657 QTV589657 QJZ589657 QAD589657 PQH589657 PGL589657 OWP589657 OMT589657 OCX589657 NTB589657 NJF589657 MZJ589657 MPN589657 MFR589657 LVV589657 LLZ589657 LCD589657 KSH589657 KIL589657 JYP589657 JOT589657 JEX589657 IVB589657 ILF589657 IBJ589657 HRN589657 HHR589657 GXV589657 GNZ589657 GED589657 FUH589657 FKL589657 FAP589657 EQT589657 EGX589657 DXB589657 DNF589657 DDJ589657 CTN589657 CJR589657 BZV589657 BPZ589657 BGD589657 AWH589657 AML589657 ACP589657 ST589657 IX589657 C589727 WVJ524121 WLN524121 WBR524121 VRV524121 VHZ524121 UYD524121 UOH524121 UEL524121 TUP524121 TKT524121 TAX524121 SRB524121 SHF524121 RXJ524121 RNN524121 RDR524121 QTV524121 QJZ524121 QAD524121 PQH524121 PGL524121 OWP524121 OMT524121 OCX524121 NTB524121 NJF524121 MZJ524121 MPN524121 MFR524121 LVV524121 LLZ524121 LCD524121 KSH524121 KIL524121 JYP524121 JOT524121 JEX524121 IVB524121 ILF524121 IBJ524121 HRN524121 HHR524121 GXV524121 GNZ524121 GED524121 FUH524121 FKL524121 FAP524121 EQT524121 EGX524121 DXB524121 DNF524121 DDJ524121 CTN524121 CJR524121 BZV524121 BPZ524121 BGD524121 AWH524121 AML524121 ACP524121 ST524121 IX524121 C524191 WVJ458585 WLN458585 WBR458585 VRV458585 VHZ458585 UYD458585 UOH458585 UEL458585 TUP458585 TKT458585 TAX458585 SRB458585 SHF458585 RXJ458585 RNN458585 RDR458585 QTV458585 QJZ458585 QAD458585 PQH458585 PGL458585 OWP458585 OMT458585 OCX458585 NTB458585 NJF458585 MZJ458585 MPN458585 MFR458585 LVV458585 LLZ458585 LCD458585 KSH458585 KIL458585 JYP458585 JOT458585 JEX458585 IVB458585 ILF458585 IBJ458585 HRN458585 HHR458585 GXV458585 GNZ458585 GED458585 FUH458585 FKL458585 FAP458585 EQT458585 EGX458585 DXB458585 DNF458585 DDJ458585 CTN458585 CJR458585 BZV458585 BPZ458585 BGD458585 AWH458585 AML458585 ACP458585 ST458585 IX458585 C458655 WVJ393049 WLN393049 WBR393049 VRV393049 VHZ393049 UYD393049 UOH393049 UEL393049 TUP393049 TKT393049 TAX393049 SRB393049 SHF393049 RXJ393049 RNN393049 RDR393049 QTV393049 QJZ393049 QAD393049 PQH393049 PGL393049 OWP393049 OMT393049 OCX393049 NTB393049 NJF393049 MZJ393049 MPN393049 MFR393049 LVV393049 LLZ393049 LCD393049 KSH393049 KIL393049 JYP393049 JOT393049 JEX393049 IVB393049 ILF393049 IBJ393049 HRN393049 HHR393049 GXV393049 GNZ393049 GED393049 FUH393049 FKL393049 FAP393049 EQT393049 EGX393049 DXB393049 DNF393049 DDJ393049 CTN393049 CJR393049 BZV393049 BPZ393049 BGD393049 AWH393049 AML393049 ACP393049 ST393049 IX393049 C393119 WVJ327513 WLN327513 WBR327513 VRV327513 VHZ327513 UYD327513 UOH327513 UEL327513 TUP327513 TKT327513 TAX327513 SRB327513 SHF327513 RXJ327513 RNN327513 RDR327513 QTV327513 QJZ327513 QAD327513 PQH327513 PGL327513 OWP327513 OMT327513 OCX327513 NTB327513 NJF327513 MZJ327513 MPN327513 MFR327513 LVV327513 LLZ327513 LCD327513 KSH327513 KIL327513 JYP327513 JOT327513 JEX327513 IVB327513 ILF327513 IBJ327513 HRN327513 HHR327513 GXV327513 GNZ327513 GED327513 FUH327513 FKL327513 FAP327513 EQT327513 EGX327513 DXB327513 DNF327513 DDJ327513 CTN327513 CJR327513 BZV327513 BPZ327513 BGD327513 AWH327513 AML327513 ACP327513 ST327513 IX327513 C327583 WVJ261977 WLN261977 WBR261977 VRV261977 VHZ261977 UYD261977 UOH261977 UEL261977 TUP261977 TKT261977 TAX261977 SRB261977 SHF261977 RXJ261977 RNN261977 RDR261977 QTV261977 QJZ261977 QAD261977 PQH261977 PGL261977 OWP261977 OMT261977 OCX261977 NTB261977 NJF261977 MZJ261977 MPN261977 MFR261977 LVV261977 LLZ261977 LCD261977 KSH261977 KIL261977 JYP261977 JOT261977 JEX261977 IVB261977 ILF261977 IBJ261977 HRN261977 HHR261977 GXV261977 GNZ261977 GED261977 FUH261977 FKL261977 FAP261977 EQT261977 EGX261977 DXB261977 DNF261977 DDJ261977 CTN261977 CJR261977 BZV261977 BPZ261977 BGD261977 AWH261977 AML261977 ACP261977 ST261977 IX261977 C262047 WVJ196441 WLN196441 WBR196441 VRV196441 VHZ196441 UYD196441 UOH196441 UEL196441 TUP196441 TKT196441 TAX196441 SRB196441 SHF196441 RXJ196441 RNN196441 RDR196441 QTV196441 QJZ196441 QAD196441 PQH196441 PGL196441 OWP196441 OMT196441 OCX196441 NTB196441 NJF196441 MZJ196441 MPN196441 MFR196441 LVV196441 LLZ196441 LCD196441 KSH196441 KIL196441 JYP196441 JOT196441 JEX196441 IVB196441 ILF196441 IBJ196441 HRN196441 HHR196441 GXV196441 GNZ196441 GED196441 FUH196441 FKL196441 FAP196441 EQT196441 EGX196441 DXB196441 DNF196441 DDJ196441 CTN196441 CJR196441 BZV196441 BPZ196441 BGD196441 AWH196441 AML196441 ACP196441 ST196441 IX196441 C196511 WVJ130905 WLN130905 WBR130905 VRV130905 VHZ130905 UYD130905 UOH130905 UEL130905 TUP130905 TKT130905 TAX130905 SRB130905 SHF130905 RXJ130905 RNN130905 RDR130905 QTV130905 QJZ130905 QAD130905 PQH130905 PGL130905 OWP130905 OMT130905 OCX130905 NTB130905 NJF130905 MZJ130905 MPN130905 MFR130905 LVV130905 LLZ130905 LCD130905 KSH130905 KIL130905 JYP130905 JOT130905 JEX130905 IVB130905 ILF130905 IBJ130905 HRN130905 HHR130905 GXV130905 GNZ130905 GED130905 FUH130905 FKL130905 FAP130905 EQT130905 EGX130905 DXB130905 DNF130905 DDJ130905 CTN130905 CJR130905 BZV130905 BPZ130905 BGD130905 AWH130905 AML130905 ACP130905 ST130905 IX130905 C130975 WVJ65369 WLN65369 WBR65369 VRV65369 VHZ65369 UYD65369 UOH65369 UEL65369 TUP65369 TKT65369 TAX65369 SRB65369 SHF65369 RXJ65369 RNN65369 RDR65369 QTV65369 QJZ65369 QAD65369 PQH65369 PGL65369 OWP65369 OMT65369 OCX65369 NTB65369 NJF65369 MZJ65369 MPN65369 MFR65369 LVV65369 LLZ65369 LCD65369 KSH65369 KIL65369 JYP65369 JOT65369 JEX65369 IVB65369 ILF65369 IBJ65369 HRN65369 HHR65369 GXV65369 GNZ65369 GED65369 FUH65369 FKL65369 FAP65369 EQT65369 EGX65369 DXB65369 DNF65369 DDJ65369 CTN65369 CJR65369 BZV65369 BPZ65369 BGD65369 AWH65369 AML65369 ACP65369 ST65369 IX65369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WVK982917:WVN982917 WLO982917:WLR982917 WBS982917:WBV982917 VRW982917:VRZ982917 VIA982917:VID982917 UYE982917:UYH982917 UOI982917:UOL982917 UEM982917:UEP982917 TUQ982917:TUT982917 TKU982917:TKX982917 TAY982917:TBB982917 SRC982917:SRF982917 SHG982917:SHJ982917 RXK982917:RXN982917 RNO982917:RNR982917 RDS982917:RDV982917 QTW982917:QTZ982917 QKA982917:QKD982917 QAE982917:QAH982917 PQI982917:PQL982917 PGM982917:PGP982917 OWQ982917:OWT982917 OMU982917:OMX982917 OCY982917:ODB982917 NTC982917:NTF982917 NJG982917:NJJ982917 MZK982917:MZN982917 MPO982917:MPR982917 MFS982917:MFV982917 LVW982917:LVZ982917 LMA982917:LMD982917 LCE982917:LCH982917 KSI982917:KSL982917 KIM982917:KIP982917 JYQ982917:JYT982917 JOU982917:JOX982917 JEY982917:JFB982917 IVC982917:IVF982917 ILG982917:ILJ982917 IBK982917:IBN982917 HRO982917:HRR982917 HHS982917:HHV982917 GXW982917:GXZ982917 GOA982917:GOD982917 GEE982917:GEH982917 FUI982917:FUL982917 FKM982917:FKP982917 FAQ982917:FAT982917 EQU982917:EQX982917 EGY982917:EHB982917 DXC982917:DXF982917 DNG982917:DNJ982917 DDK982917:DDN982917 CTO982917:CTR982917 CJS982917:CJV982917 BZW982917:BZZ982917 BQA982917:BQD982917 BGE982917:BGH982917 AWI982917:AWL982917 AMM982917:AMP982917 ACQ982917:ACT982917 SU982917:SX982917 IY982917:JB982917 D982987:G982987 WVK917381:WVN917381 WLO917381:WLR917381 WBS917381:WBV917381 VRW917381:VRZ917381 VIA917381:VID917381 UYE917381:UYH917381 UOI917381:UOL917381 UEM917381:UEP917381 TUQ917381:TUT917381 TKU917381:TKX917381 TAY917381:TBB917381 SRC917381:SRF917381 SHG917381:SHJ917381 RXK917381:RXN917381 RNO917381:RNR917381 RDS917381:RDV917381 QTW917381:QTZ917381 QKA917381:QKD917381 QAE917381:QAH917381 PQI917381:PQL917381 PGM917381:PGP917381 OWQ917381:OWT917381 OMU917381:OMX917381 OCY917381:ODB917381 NTC917381:NTF917381 NJG917381:NJJ917381 MZK917381:MZN917381 MPO917381:MPR917381 MFS917381:MFV917381 LVW917381:LVZ917381 LMA917381:LMD917381 LCE917381:LCH917381 KSI917381:KSL917381 KIM917381:KIP917381 JYQ917381:JYT917381 JOU917381:JOX917381 JEY917381:JFB917381 IVC917381:IVF917381 ILG917381:ILJ917381 IBK917381:IBN917381 HRO917381:HRR917381 HHS917381:HHV917381 GXW917381:GXZ917381 GOA917381:GOD917381 GEE917381:GEH917381 FUI917381:FUL917381 FKM917381:FKP917381 FAQ917381:FAT917381 EQU917381:EQX917381 EGY917381:EHB917381 DXC917381:DXF917381 DNG917381:DNJ917381 DDK917381:DDN917381 CTO917381:CTR917381 CJS917381:CJV917381 BZW917381:BZZ917381 BQA917381:BQD917381 BGE917381:BGH917381 AWI917381:AWL917381 AMM917381:AMP917381 ACQ917381:ACT917381 SU917381:SX917381 IY917381:JB917381 D917451:G917451 WVK851845:WVN851845 WLO851845:WLR851845 WBS851845:WBV851845 VRW851845:VRZ851845 VIA851845:VID851845 UYE851845:UYH851845 UOI851845:UOL851845 UEM851845:UEP851845 TUQ851845:TUT851845 TKU851845:TKX851845 TAY851845:TBB851845 SRC851845:SRF851845 SHG851845:SHJ851845 RXK851845:RXN851845 RNO851845:RNR851845 RDS851845:RDV851845 QTW851845:QTZ851845 QKA851845:QKD851845 QAE851845:QAH851845 PQI851845:PQL851845 PGM851845:PGP851845 OWQ851845:OWT851845 OMU851845:OMX851845 OCY851845:ODB851845 NTC851845:NTF851845 NJG851845:NJJ851845 MZK851845:MZN851845 MPO851845:MPR851845 MFS851845:MFV851845 LVW851845:LVZ851845 LMA851845:LMD851845 LCE851845:LCH851845 KSI851845:KSL851845 KIM851845:KIP851845 JYQ851845:JYT851845 JOU851845:JOX851845 JEY851845:JFB851845 IVC851845:IVF851845 ILG851845:ILJ851845 IBK851845:IBN851845 HRO851845:HRR851845 HHS851845:HHV851845 GXW851845:GXZ851845 GOA851845:GOD851845 GEE851845:GEH851845 FUI851845:FUL851845 FKM851845:FKP851845 FAQ851845:FAT851845 EQU851845:EQX851845 EGY851845:EHB851845 DXC851845:DXF851845 DNG851845:DNJ851845 DDK851845:DDN851845 CTO851845:CTR851845 CJS851845:CJV851845 BZW851845:BZZ851845 BQA851845:BQD851845 BGE851845:BGH851845 AWI851845:AWL851845 AMM851845:AMP851845 ACQ851845:ACT851845 SU851845:SX851845 IY851845:JB851845 D851915:G851915 WVK786309:WVN786309 WLO786309:WLR786309 WBS786309:WBV786309 VRW786309:VRZ786309 VIA786309:VID786309 UYE786309:UYH786309 UOI786309:UOL786309 UEM786309:UEP786309 TUQ786309:TUT786309 TKU786309:TKX786309 TAY786309:TBB786309 SRC786309:SRF786309 SHG786309:SHJ786309 RXK786309:RXN786309 RNO786309:RNR786309 RDS786309:RDV786309 QTW786309:QTZ786309 QKA786309:QKD786309 QAE786309:QAH786309 PQI786309:PQL786309 PGM786309:PGP786309 OWQ786309:OWT786309 OMU786309:OMX786309 OCY786309:ODB786309 NTC786309:NTF786309 NJG786309:NJJ786309 MZK786309:MZN786309 MPO786309:MPR786309 MFS786309:MFV786309 LVW786309:LVZ786309 LMA786309:LMD786309 LCE786309:LCH786309 KSI786309:KSL786309 KIM786309:KIP786309 JYQ786309:JYT786309 JOU786309:JOX786309 JEY786309:JFB786309 IVC786309:IVF786309 ILG786309:ILJ786309 IBK786309:IBN786309 HRO786309:HRR786309 HHS786309:HHV786309 GXW786309:GXZ786309 GOA786309:GOD786309 GEE786309:GEH786309 FUI786309:FUL786309 FKM786309:FKP786309 FAQ786309:FAT786309 EQU786309:EQX786309 EGY786309:EHB786309 DXC786309:DXF786309 DNG786309:DNJ786309 DDK786309:DDN786309 CTO786309:CTR786309 CJS786309:CJV786309 BZW786309:BZZ786309 BQA786309:BQD786309 BGE786309:BGH786309 AWI786309:AWL786309 AMM786309:AMP786309 ACQ786309:ACT786309 SU786309:SX786309 IY786309:JB786309 D786379:G786379 WVK720773:WVN720773 WLO720773:WLR720773 WBS720773:WBV720773 VRW720773:VRZ720773 VIA720773:VID720773 UYE720773:UYH720773 UOI720773:UOL720773 UEM720773:UEP720773 TUQ720773:TUT720773 TKU720773:TKX720773 TAY720773:TBB720773 SRC720773:SRF720773 SHG720773:SHJ720773 RXK720773:RXN720773 RNO720773:RNR720773 RDS720773:RDV720773 QTW720773:QTZ720773 QKA720773:QKD720773 QAE720773:QAH720773 PQI720773:PQL720773 PGM720773:PGP720773 OWQ720773:OWT720773 OMU720773:OMX720773 OCY720773:ODB720773 NTC720773:NTF720773 NJG720773:NJJ720773 MZK720773:MZN720773 MPO720773:MPR720773 MFS720773:MFV720773 LVW720773:LVZ720773 LMA720773:LMD720773 LCE720773:LCH720773 KSI720773:KSL720773 KIM720773:KIP720773 JYQ720773:JYT720773 JOU720773:JOX720773 JEY720773:JFB720773 IVC720773:IVF720773 ILG720773:ILJ720773 IBK720773:IBN720773 HRO720773:HRR720773 HHS720773:HHV720773 GXW720773:GXZ720773 GOA720773:GOD720773 GEE720773:GEH720773 FUI720773:FUL720773 FKM720773:FKP720773 FAQ720773:FAT720773 EQU720773:EQX720773 EGY720773:EHB720773 DXC720773:DXF720773 DNG720773:DNJ720773 DDK720773:DDN720773 CTO720773:CTR720773 CJS720773:CJV720773 BZW720773:BZZ720773 BQA720773:BQD720773 BGE720773:BGH720773 AWI720773:AWL720773 AMM720773:AMP720773 ACQ720773:ACT720773 SU720773:SX720773 IY720773:JB720773 D720843:G720843 WVK655237:WVN655237 WLO655237:WLR655237 WBS655237:WBV655237 VRW655237:VRZ655237 VIA655237:VID655237 UYE655237:UYH655237 UOI655237:UOL655237 UEM655237:UEP655237 TUQ655237:TUT655237 TKU655237:TKX655237 TAY655237:TBB655237 SRC655237:SRF655237 SHG655237:SHJ655237 RXK655237:RXN655237 RNO655237:RNR655237 RDS655237:RDV655237 QTW655237:QTZ655237 QKA655237:QKD655237 QAE655237:QAH655237 PQI655237:PQL655237 PGM655237:PGP655237 OWQ655237:OWT655237 OMU655237:OMX655237 OCY655237:ODB655237 NTC655237:NTF655237 NJG655237:NJJ655237 MZK655237:MZN655237 MPO655237:MPR655237 MFS655237:MFV655237 LVW655237:LVZ655237 LMA655237:LMD655237 LCE655237:LCH655237 KSI655237:KSL655237 KIM655237:KIP655237 JYQ655237:JYT655237 JOU655237:JOX655237 JEY655237:JFB655237 IVC655237:IVF655237 ILG655237:ILJ655237 IBK655237:IBN655237 HRO655237:HRR655237 HHS655237:HHV655237 GXW655237:GXZ655237 GOA655237:GOD655237 GEE655237:GEH655237 FUI655237:FUL655237 FKM655237:FKP655237 FAQ655237:FAT655237 EQU655237:EQX655237 EGY655237:EHB655237 DXC655237:DXF655237 DNG655237:DNJ655237 DDK655237:DDN655237 CTO655237:CTR655237 CJS655237:CJV655237 BZW655237:BZZ655237 BQA655237:BQD655237 BGE655237:BGH655237 AWI655237:AWL655237 AMM655237:AMP655237 ACQ655237:ACT655237 SU655237:SX655237 IY655237:JB655237 D655307:G655307 WVK589701:WVN589701 WLO589701:WLR589701 WBS589701:WBV589701 VRW589701:VRZ589701 VIA589701:VID589701 UYE589701:UYH589701 UOI589701:UOL589701 UEM589701:UEP589701 TUQ589701:TUT589701 TKU589701:TKX589701 TAY589701:TBB589701 SRC589701:SRF589701 SHG589701:SHJ589701 RXK589701:RXN589701 RNO589701:RNR589701 RDS589701:RDV589701 QTW589701:QTZ589701 QKA589701:QKD589701 QAE589701:QAH589701 PQI589701:PQL589701 PGM589701:PGP589701 OWQ589701:OWT589701 OMU589701:OMX589701 OCY589701:ODB589701 NTC589701:NTF589701 NJG589701:NJJ589701 MZK589701:MZN589701 MPO589701:MPR589701 MFS589701:MFV589701 LVW589701:LVZ589701 LMA589701:LMD589701 LCE589701:LCH589701 KSI589701:KSL589701 KIM589701:KIP589701 JYQ589701:JYT589701 JOU589701:JOX589701 JEY589701:JFB589701 IVC589701:IVF589701 ILG589701:ILJ589701 IBK589701:IBN589701 HRO589701:HRR589701 HHS589701:HHV589701 GXW589701:GXZ589701 GOA589701:GOD589701 GEE589701:GEH589701 FUI589701:FUL589701 FKM589701:FKP589701 FAQ589701:FAT589701 EQU589701:EQX589701 EGY589701:EHB589701 DXC589701:DXF589701 DNG589701:DNJ589701 DDK589701:DDN589701 CTO589701:CTR589701 CJS589701:CJV589701 BZW589701:BZZ589701 BQA589701:BQD589701 BGE589701:BGH589701 AWI589701:AWL589701 AMM589701:AMP589701 ACQ589701:ACT589701 SU589701:SX589701 IY589701:JB589701 D589771:G589771 WVK524165:WVN524165 WLO524165:WLR524165 WBS524165:WBV524165 VRW524165:VRZ524165 VIA524165:VID524165 UYE524165:UYH524165 UOI524165:UOL524165 UEM524165:UEP524165 TUQ524165:TUT524165 TKU524165:TKX524165 TAY524165:TBB524165 SRC524165:SRF524165 SHG524165:SHJ524165 RXK524165:RXN524165 RNO524165:RNR524165 RDS524165:RDV524165 QTW524165:QTZ524165 QKA524165:QKD524165 QAE524165:QAH524165 PQI524165:PQL524165 PGM524165:PGP524165 OWQ524165:OWT524165 OMU524165:OMX524165 OCY524165:ODB524165 NTC524165:NTF524165 NJG524165:NJJ524165 MZK524165:MZN524165 MPO524165:MPR524165 MFS524165:MFV524165 LVW524165:LVZ524165 LMA524165:LMD524165 LCE524165:LCH524165 KSI524165:KSL524165 KIM524165:KIP524165 JYQ524165:JYT524165 JOU524165:JOX524165 JEY524165:JFB524165 IVC524165:IVF524165 ILG524165:ILJ524165 IBK524165:IBN524165 HRO524165:HRR524165 HHS524165:HHV524165 GXW524165:GXZ524165 GOA524165:GOD524165 GEE524165:GEH524165 FUI524165:FUL524165 FKM524165:FKP524165 FAQ524165:FAT524165 EQU524165:EQX524165 EGY524165:EHB524165 DXC524165:DXF524165 DNG524165:DNJ524165 DDK524165:DDN524165 CTO524165:CTR524165 CJS524165:CJV524165 BZW524165:BZZ524165 BQA524165:BQD524165 BGE524165:BGH524165 AWI524165:AWL524165 AMM524165:AMP524165 ACQ524165:ACT524165 SU524165:SX524165 IY524165:JB524165 D524235:G524235 WVK458629:WVN458629 WLO458629:WLR458629 WBS458629:WBV458629 VRW458629:VRZ458629 VIA458629:VID458629 UYE458629:UYH458629 UOI458629:UOL458629 UEM458629:UEP458629 TUQ458629:TUT458629 TKU458629:TKX458629 TAY458629:TBB458629 SRC458629:SRF458629 SHG458629:SHJ458629 RXK458629:RXN458629 RNO458629:RNR458629 RDS458629:RDV458629 QTW458629:QTZ458629 QKA458629:QKD458629 QAE458629:QAH458629 PQI458629:PQL458629 PGM458629:PGP458629 OWQ458629:OWT458629 OMU458629:OMX458629 OCY458629:ODB458629 NTC458629:NTF458629 NJG458629:NJJ458629 MZK458629:MZN458629 MPO458629:MPR458629 MFS458629:MFV458629 LVW458629:LVZ458629 LMA458629:LMD458629 LCE458629:LCH458629 KSI458629:KSL458629 KIM458629:KIP458629 JYQ458629:JYT458629 JOU458629:JOX458629 JEY458629:JFB458629 IVC458629:IVF458629 ILG458629:ILJ458629 IBK458629:IBN458629 HRO458629:HRR458629 HHS458629:HHV458629 GXW458629:GXZ458629 GOA458629:GOD458629 GEE458629:GEH458629 FUI458629:FUL458629 FKM458629:FKP458629 FAQ458629:FAT458629 EQU458629:EQX458629 EGY458629:EHB458629 DXC458629:DXF458629 DNG458629:DNJ458629 DDK458629:DDN458629 CTO458629:CTR458629 CJS458629:CJV458629 BZW458629:BZZ458629 BQA458629:BQD458629 BGE458629:BGH458629 AWI458629:AWL458629 AMM458629:AMP458629 ACQ458629:ACT458629 SU458629:SX458629 IY458629:JB458629 D458699:G458699 WVK393093:WVN393093 WLO393093:WLR393093 WBS393093:WBV393093 VRW393093:VRZ393093 VIA393093:VID393093 UYE393093:UYH393093 UOI393093:UOL393093 UEM393093:UEP393093 TUQ393093:TUT393093 TKU393093:TKX393093 TAY393093:TBB393093 SRC393093:SRF393093 SHG393093:SHJ393093 RXK393093:RXN393093 RNO393093:RNR393093 RDS393093:RDV393093 QTW393093:QTZ393093 QKA393093:QKD393093 QAE393093:QAH393093 PQI393093:PQL393093 PGM393093:PGP393093 OWQ393093:OWT393093 OMU393093:OMX393093 OCY393093:ODB393093 NTC393093:NTF393093 NJG393093:NJJ393093 MZK393093:MZN393093 MPO393093:MPR393093 MFS393093:MFV393093 LVW393093:LVZ393093 LMA393093:LMD393093 LCE393093:LCH393093 KSI393093:KSL393093 KIM393093:KIP393093 JYQ393093:JYT393093 JOU393093:JOX393093 JEY393093:JFB393093 IVC393093:IVF393093 ILG393093:ILJ393093 IBK393093:IBN393093 HRO393093:HRR393093 HHS393093:HHV393093 GXW393093:GXZ393093 GOA393093:GOD393093 GEE393093:GEH393093 FUI393093:FUL393093 FKM393093:FKP393093 FAQ393093:FAT393093 EQU393093:EQX393093 EGY393093:EHB393093 DXC393093:DXF393093 DNG393093:DNJ393093 DDK393093:DDN393093 CTO393093:CTR393093 CJS393093:CJV393093 BZW393093:BZZ393093 BQA393093:BQD393093 BGE393093:BGH393093 AWI393093:AWL393093 AMM393093:AMP393093 ACQ393093:ACT393093 SU393093:SX393093 IY393093:JB393093 D393163:G393163 WVK327557:WVN327557 WLO327557:WLR327557 WBS327557:WBV327557 VRW327557:VRZ327557 VIA327557:VID327557 UYE327557:UYH327557 UOI327557:UOL327557 UEM327557:UEP327557 TUQ327557:TUT327557 TKU327557:TKX327557 TAY327557:TBB327557 SRC327557:SRF327557 SHG327557:SHJ327557 RXK327557:RXN327557 RNO327557:RNR327557 RDS327557:RDV327557 QTW327557:QTZ327557 QKA327557:QKD327557 QAE327557:QAH327557 PQI327557:PQL327557 PGM327557:PGP327557 OWQ327557:OWT327557 OMU327557:OMX327557 OCY327557:ODB327557 NTC327557:NTF327557 NJG327557:NJJ327557 MZK327557:MZN327557 MPO327557:MPR327557 MFS327557:MFV327557 LVW327557:LVZ327557 LMA327557:LMD327557 LCE327557:LCH327557 KSI327557:KSL327557 KIM327557:KIP327557 JYQ327557:JYT327557 JOU327557:JOX327557 JEY327557:JFB327557 IVC327557:IVF327557 ILG327557:ILJ327557 IBK327557:IBN327557 HRO327557:HRR327557 HHS327557:HHV327557 GXW327557:GXZ327557 GOA327557:GOD327557 GEE327557:GEH327557 FUI327557:FUL327557 FKM327557:FKP327557 FAQ327557:FAT327557 EQU327557:EQX327557 EGY327557:EHB327557 DXC327557:DXF327557 DNG327557:DNJ327557 DDK327557:DDN327557 CTO327557:CTR327557 CJS327557:CJV327557 BZW327557:BZZ327557 BQA327557:BQD327557 BGE327557:BGH327557 AWI327557:AWL327557 AMM327557:AMP327557 ACQ327557:ACT327557 SU327557:SX327557 IY327557:JB327557 D327627:G327627 WVK262021:WVN262021 WLO262021:WLR262021 WBS262021:WBV262021 VRW262021:VRZ262021 VIA262021:VID262021 UYE262021:UYH262021 UOI262021:UOL262021 UEM262021:UEP262021 TUQ262021:TUT262021 TKU262021:TKX262021 TAY262021:TBB262021 SRC262021:SRF262021 SHG262021:SHJ262021 RXK262021:RXN262021 RNO262021:RNR262021 RDS262021:RDV262021 QTW262021:QTZ262021 QKA262021:QKD262021 QAE262021:QAH262021 PQI262021:PQL262021 PGM262021:PGP262021 OWQ262021:OWT262021 OMU262021:OMX262021 OCY262021:ODB262021 NTC262021:NTF262021 NJG262021:NJJ262021 MZK262021:MZN262021 MPO262021:MPR262021 MFS262021:MFV262021 LVW262021:LVZ262021 LMA262021:LMD262021 LCE262021:LCH262021 KSI262021:KSL262021 KIM262021:KIP262021 JYQ262021:JYT262021 JOU262021:JOX262021 JEY262021:JFB262021 IVC262021:IVF262021 ILG262021:ILJ262021 IBK262021:IBN262021 HRO262021:HRR262021 HHS262021:HHV262021 GXW262021:GXZ262021 GOA262021:GOD262021 GEE262021:GEH262021 FUI262021:FUL262021 FKM262021:FKP262021 FAQ262021:FAT262021 EQU262021:EQX262021 EGY262021:EHB262021 DXC262021:DXF262021 DNG262021:DNJ262021 DDK262021:DDN262021 CTO262021:CTR262021 CJS262021:CJV262021 BZW262021:BZZ262021 BQA262021:BQD262021 BGE262021:BGH262021 AWI262021:AWL262021 AMM262021:AMP262021 ACQ262021:ACT262021 SU262021:SX262021 IY262021:JB262021 D262091:G262091 WVK196485:WVN196485 WLO196485:WLR196485 WBS196485:WBV196485 VRW196485:VRZ196485 VIA196485:VID196485 UYE196485:UYH196485 UOI196485:UOL196485 UEM196485:UEP196485 TUQ196485:TUT196485 TKU196485:TKX196485 TAY196485:TBB196485 SRC196485:SRF196485 SHG196485:SHJ196485 RXK196485:RXN196485 RNO196485:RNR196485 RDS196485:RDV196485 QTW196485:QTZ196485 QKA196485:QKD196485 QAE196485:QAH196485 PQI196485:PQL196485 PGM196485:PGP196485 OWQ196485:OWT196485 OMU196485:OMX196485 OCY196485:ODB196485 NTC196485:NTF196485 NJG196485:NJJ196485 MZK196485:MZN196485 MPO196485:MPR196485 MFS196485:MFV196485 LVW196485:LVZ196485 LMA196485:LMD196485 LCE196485:LCH196485 KSI196485:KSL196485 KIM196485:KIP196485 JYQ196485:JYT196485 JOU196485:JOX196485 JEY196485:JFB196485 IVC196485:IVF196485 ILG196485:ILJ196485 IBK196485:IBN196485 HRO196485:HRR196485 HHS196485:HHV196485 GXW196485:GXZ196485 GOA196485:GOD196485 GEE196485:GEH196485 FUI196485:FUL196485 FKM196485:FKP196485 FAQ196485:FAT196485 EQU196485:EQX196485 EGY196485:EHB196485 DXC196485:DXF196485 DNG196485:DNJ196485 DDK196485:DDN196485 CTO196485:CTR196485 CJS196485:CJV196485 BZW196485:BZZ196485 BQA196485:BQD196485 BGE196485:BGH196485 AWI196485:AWL196485 AMM196485:AMP196485 ACQ196485:ACT196485 SU196485:SX196485 IY196485:JB196485 D196555:G196555 WVK130949:WVN130949 WLO130949:WLR130949 WBS130949:WBV130949 VRW130949:VRZ130949 VIA130949:VID130949 UYE130949:UYH130949 UOI130949:UOL130949 UEM130949:UEP130949 TUQ130949:TUT130949 TKU130949:TKX130949 TAY130949:TBB130949 SRC130949:SRF130949 SHG130949:SHJ130949 RXK130949:RXN130949 RNO130949:RNR130949 RDS130949:RDV130949 QTW130949:QTZ130949 QKA130949:QKD130949 QAE130949:QAH130949 PQI130949:PQL130949 PGM130949:PGP130949 OWQ130949:OWT130949 OMU130949:OMX130949 OCY130949:ODB130949 NTC130949:NTF130949 NJG130949:NJJ130949 MZK130949:MZN130949 MPO130949:MPR130949 MFS130949:MFV130949 LVW130949:LVZ130949 LMA130949:LMD130949 LCE130949:LCH130949 KSI130949:KSL130949 KIM130949:KIP130949 JYQ130949:JYT130949 JOU130949:JOX130949 JEY130949:JFB130949 IVC130949:IVF130949 ILG130949:ILJ130949 IBK130949:IBN130949 HRO130949:HRR130949 HHS130949:HHV130949 GXW130949:GXZ130949 GOA130949:GOD130949 GEE130949:GEH130949 FUI130949:FUL130949 FKM130949:FKP130949 FAQ130949:FAT130949 EQU130949:EQX130949 EGY130949:EHB130949 DXC130949:DXF130949 DNG130949:DNJ130949 DDK130949:DDN130949 CTO130949:CTR130949 CJS130949:CJV130949 BZW130949:BZZ130949 BQA130949:BQD130949 BGE130949:BGH130949 AWI130949:AWL130949 AMM130949:AMP130949 ACQ130949:ACT130949 SU130949:SX130949 IY130949:JB130949 D131019:G131019 WVK65413:WVN65413 WLO65413:WLR65413 WBS65413:WBV65413 VRW65413:VRZ65413 VIA65413:VID65413 UYE65413:UYH65413 UOI65413:UOL65413 UEM65413:UEP65413 TUQ65413:TUT65413 TKU65413:TKX65413 TAY65413:TBB65413 SRC65413:SRF65413 SHG65413:SHJ65413 RXK65413:RXN65413 RNO65413:RNR65413 RDS65413:RDV65413 QTW65413:QTZ65413 QKA65413:QKD65413 QAE65413:QAH65413 PQI65413:PQL65413 PGM65413:PGP65413 OWQ65413:OWT65413 OMU65413:OMX65413 OCY65413:ODB65413 NTC65413:NTF65413 NJG65413:NJJ65413 MZK65413:MZN65413 MPO65413:MPR65413 MFS65413:MFV65413 LVW65413:LVZ65413 LMA65413:LMD65413 LCE65413:LCH65413 KSI65413:KSL65413 KIM65413:KIP65413 JYQ65413:JYT65413 JOU65413:JOX65413 JEY65413:JFB65413 IVC65413:IVF65413 ILG65413:ILJ65413 IBK65413:IBN65413 HRO65413:HRR65413 HHS65413:HHV65413 GXW65413:GXZ65413 GOA65413:GOD65413 GEE65413:GEH65413 FUI65413:FUL65413 FKM65413:FKP65413 FAQ65413:FAT65413 EQU65413:EQX65413 EGY65413:EHB65413 DXC65413:DXF65413 DNG65413:DNJ65413 DDK65413:DDN65413 CTO65413:CTR65413 CJS65413:CJV65413 BZW65413:BZZ65413 BQA65413:BQD65413 BGE65413:BGH65413 AWI65413:AWL65413 AMM65413:AMP65413 ACQ65413:ACT65413 SU65413:SX65413 IY65413:JB65413 D65483:G65483" xr:uid="{2AA1BA34-2C61-4368-A76E-CA37FED3FD30}">
      <formula1>#REF!</formula1>
    </dataValidation>
  </dataValidations>
  <pageMargins left="0.9055118110236221" right="0.15748031496062992" top="0.27559055118110237" bottom="0.19685039370078741" header="0.15748031496062992" footer="0.19685039370078741"/>
  <pageSetup paperSize="9" orientation="landscape" horizontalDpi="4294967294" r:id="rId1"/>
  <headerFooter alignWithMargins="0">
    <oddHeader xml:space="preserve">&amp;R&amp;8Pág.&amp;P/&amp;N&amp;10
</oddHead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77DDDFEE-C9CE-474A-8AF8-F233FD8F44EA}">
          <x14:formula1>
            <xm:f>Dados!$A$4:$A$7</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EFABC-4F68-4815-BD04-ADAD352BB117}">
  <sheetPr codeName="Folha72">
    <tabColor theme="9" tint="0.59999389629810485"/>
  </sheetPr>
  <dimension ref="A1:P67"/>
  <sheetViews>
    <sheetView showGridLines="0" showZeros="0" tabSelected="1" showWhiteSpace="0" topLeftCell="B4" zoomScaleNormal="100" zoomScaleSheetLayoutView="75" workbookViewId="0">
      <selection activeCell="C9" sqref="C9"/>
    </sheetView>
  </sheetViews>
  <sheetFormatPr defaultRowHeight="12.75" x14ac:dyDescent="0.2"/>
  <cols>
    <col min="1" max="1" width="4" hidden="1" customWidth="1"/>
    <col min="2" max="2" width="20.42578125" customWidth="1"/>
    <col min="3" max="3" width="62.28515625" customWidth="1"/>
    <col min="4" max="4" width="6.140625" customWidth="1"/>
    <col min="5" max="5" width="11.42578125" customWidth="1"/>
    <col min="6" max="6" width="13.7109375" customWidth="1"/>
    <col min="7" max="7" width="17.28515625" customWidth="1"/>
    <col min="257" max="257" width="7.42578125" bestFit="1" customWidth="1"/>
    <col min="258" max="258" width="54.42578125" customWidth="1"/>
    <col min="259" max="259" width="6" customWidth="1"/>
    <col min="260" max="260" width="7.28515625" customWidth="1"/>
    <col min="261" max="261" width="8.5703125" customWidth="1"/>
    <col min="262" max="262" width="12.28515625" customWidth="1"/>
    <col min="513" max="513" width="7.42578125" bestFit="1" customWidth="1"/>
    <col min="514" max="514" width="54.42578125" customWidth="1"/>
    <col min="515" max="515" width="6" customWidth="1"/>
    <col min="516" max="516" width="7.28515625" customWidth="1"/>
    <col min="517" max="517" width="8.5703125" customWidth="1"/>
    <col min="518" max="518" width="12.28515625" customWidth="1"/>
    <col min="769" max="769" width="7.42578125" bestFit="1" customWidth="1"/>
    <col min="770" max="770" width="54.42578125" customWidth="1"/>
    <col min="771" max="771" width="6" customWidth="1"/>
    <col min="772" max="772" width="7.28515625" customWidth="1"/>
    <col min="773" max="773" width="8.5703125" customWidth="1"/>
    <col min="774" max="774" width="12.28515625" customWidth="1"/>
    <col min="1025" max="1025" width="7.42578125" bestFit="1" customWidth="1"/>
    <col min="1026" max="1026" width="54.42578125" customWidth="1"/>
    <col min="1027" max="1027" width="6" customWidth="1"/>
    <col min="1028" max="1028" width="7.28515625" customWidth="1"/>
    <col min="1029" max="1029" width="8.5703125" customWidth="1"/>
    <col min="1030" max="1030" width="12.28515625" customWidth="1"/>
    <col min="1281" max="1281" width="7.42578125" bestFit="1" customWidth="1"/>
    <col min="1282" max="1282" width="54.42578125" customWidth="1"/>
    <col min="1283" max="1283" width="6" customWidth="1"/>
    <col min="1284" max="1284" width="7.28515625" customWidth="1"/>
    <col min="1285" max="1285" width="8.5703125" customWidth="1"/>
    <col min="1286" max="1286" width="12.28515625" customWidth="1"/>
    <col min="1537" max="1537" width="7.42578125" bestFit="1" customWidth="1"/>
    <col min="1538" max="1538" width="54.42578125" customWidth="1"/>
    <col min="1539" max="1539" width="6" customWidth="1"/>
    <col min="1540" max="1540" width="7.28515625" customWidth="1"/>
    <col min="1541" max="1541" width="8.5703125" customWidth="1"/>
    <col min="1542" max="1542" width="12.28515625" customWidth="1"/>
    <col min="1793" max="1793" width="7.42578125" bestFit="1" customWidth="1"/>
    <col min="1794" max="1794" width="54.42578125" customWidth="1"/>
    <col min="1795" max="1795" width="6" customWidth="1"/>
    <col min="1796" max="1796" width="7.28515625" customWidth="1"/>
    <col min="1797" max="1797" width="8.5703125" customWidth="1"/>
    <col min="1798" max="1798" width="12.28515625" customWidth="1"/>
    <col min="2049" max="2049" width="7.42578125" bestFit="1" customWidth="1"/>
    <col min="2050" max="2050" width="54.42578125" customWidth="1"/>
    <col min="2051" max="2051" width="6" customWidth="1"/>
    <col min="2052" max="2052" width="7.28515625" customWidth="1"/>
    <col min="2053" max="2053" width="8.5703125" customWidth="1"/>
    <col min="2054" max="2054" width="12.28515625" customWidth="1"/>
    <col min="2305" max="2305" width="7.42578125" bestFit="1" customWidth="1"/>
    <col min="2306" max="2306" width="54.42578125" customWidth="1"/>
    <col min="2307" max="2307" width="6" customWidth="1"/>
    <col min="2308" max="2308" width="7.28515625" customWidth="1"/>
    <col min="2309" max="2309" width="8.5703125" customWidth="1"/>
    <col min="2310" max="2310" width="12.28515625" customWidth="1"/>
    <col min="2561" max="2561" width="7.42578125" bestFit="1" customWidth="1"/>
    <col min="2562" max="2562" width="54.42578125" customWidth="1"/>
    <col min="2563" max="2563" width="6" customWidth="1"/>
    <col min="2564" max="2564" width="7.28515625" customWidth="1"/>
    <col min="2565" max="2565" width="8.5703125" customWidth="1"/>
    <col min="2566" max="2566" width="12.28515625" customWidth="1"/>
    <col min="2817" max="2817" width="7.42578125" bestFit="1" customWidth="1"/>
    <col min="2818" max="2818" width="54.42578125" customWidth="1"/>
    <col min="2819" max="2819" width="6" customWidth="1"/>
    <col min="2820" max="2820" width="7.28515625" customWidth="1"/>
    <col min="2821" max="2821" width="8.5703125" customWidth="1"/>
    <col min="2822" max="2822" width="12.28515625" customWidth="1"/>
    <col min="3073" max="3073" width="7.42578125" bestFit="1" customWidth="1"/>
    <col min="3074" max="3074" width="54.42578125" customWidth="1"/>
    <col min="3075" max="3075" width="6" customWidth="1"/>
    <col min="3076" max="3076" width="7.28515625" customWidth="1"/>
    <col min="3077" max="3077" width="8.5703125" customWidth="1"/>
    <col min="3078" max="3078" width="12.28515625" customWidth="1"/>
    <col min="3329" max="3329" width="7.42578125" bestFit="1" customWidth="1"/>
    <col min="3330" max="3330" width="54.42578125" customWidth="1"/>
    <col min="3331" max="3331" width="6" customWidth="1"/>
    <col min="3332" max="3332" width="7.28515625" customWidth="1"/>
    <col min="3333" max="3333" width="8.5703125" customWidth="1"/>
    <col min="3334" max="3334" width="12.28515625" customWidth="1"/>
    <col min="3585" max="3585" width="7.42578125" bestFit="1" customWidth="1"/>
    <col min="3586" max="3586" width="54.42578125" customWidth="1"/>
    <col min="3587" max="3587" width="6" customWidth="1"/>
    <col min="3588" max="3588" width="7.28515625" customWidth="1"/>
    <col min="3589" max="3589" width="8.5703125" customWidth="1"/>
    <col min="3590" max="3590" width="12.28515625" customWidth="1"/>
    <col min="3841" max="3841" width="7.42578125" bestFit="1" customWidth="1"/>
    <col min="3842" max="3842" width="54.42578125" customWidth="1"/>
    <col min="3843" max="3843" width="6" customWidth="1"/>
    <col min="3844" max="3844" width="7.28515625" customWidth="1"/>
    <col min="3845" max="3845" width="8.5703125" customWidth="1"/>
    <col min="3846" max="3846" width="12.28515625" customWidth="1"/>
    <col min="4097" max="4097" width="7.42578125" bestFit="1" customWidth="1"/>
    <col min="4098" max="4098" width="54.42578125" customWidth="1"/>
    <col min="4099" max="4099" width="6" customWidth="1"/>
    <col min="4100" max="4100" width="7.28515625" customWidth="1"/>
    <col min="4101" max="4101" width="8.5703125" customWidth="1"/>
    <col min="4102" max="4102" width="12.28515625" customWidth="1"/>
    <col min="4353" max="4353" width="7.42578125" bestFit="1" customWidth="1"/>
    <col min="4354" max="4354" width="54.42578125" customWidth="1"/>
    <col min="4355" max="4355" width="6" customWidth="1"/>
    <col min="4356" max="4356" width="7.28515625" customWidth="1"/>
    <col min="4357" max="4357" width="8.5703125" customWidth="1"/>
    <col min="4358" max="4358" width="12.28515625" customWidth="1"/>
    <col min="4609" max="4609" width="7.42578125" bestFit="1" customWidth="1"/>
    <col min="4610" max="4610" width="54.42578125" customWidth="1"/>
    <col min="4611" max="4611" width="6" customWidth="1"/>
    <col min="4612" max="4612" width="7.28515625" customWidth="1"/>
    <col min="4613" max="4613" width="8.5703125" customWidth="1"/>
    <col min="4614" max="4614" width="12.28515625" customWidth="1"/>
    <col min="4865" max="4865" width="7.42578125" bestFit="1" customWidth="1"/>
    <col min="4866" max="4866" width="54.42578125" customWidth="1"/>
    <col min="4867" max="4867" width="6" customWidth="1"/>
    <col min="4868" max="4868" width="7.28515625" customWidth="1"/>
    <col min="4869" max="4869" width="8.5703125" customWidth="1"/>
    <col min="4870" max="4870" width="12.28515625" customWidth="1"/>
    <col min="5121" max="5121" width="7.42578125" bestFit="1" customWidth="1"/>
    <col min="5122" max="5122" width="54.42578125" customWidth="1"/>
    <col min="5123" max="5123" width="6" customWidth="1"/>
    <col min="5124" max="5124" width="7.28515625" customWidth="1"/>
    <col min="5125" max="5125" width="8.5703125" customWidth="1"/>
    <col min="5126" max="5126" width="12.28515625" customWidth="1"/>
    <col min="5377" max="5377" width="7.42578125" bestFit="1" customWidth="1"/>
    <col min="5378" max="5378" width="54.42578125" customWidth="1"/>
    <col min="5379" max="5379" width="6" customWidth="1"/>
    <col min="5380" max="5380" width="7.28515625" customWidth="1"/>
    <col min="5381" max="5381" width="8.5703125" customWidth="1"/>
    <col min="5382" max="5382" width="12.28515625" customWidth="1"/>
    <col min="5633" max="5633" width="7.42578125" bestFit="1" customWidth="1"/>
    <col min="5634" max="5634" width="54.42578125" customWidth="1"/>
    <col min="5635" max="5635" width="6" customWidth="1"/>
    <col min="5636" max="5636" width="7.28515625" customWidth="1"/>
    <col min="5637" max="5637" width="8.5703125" customWidth="1"/>
    <col min="5638" max="5638" width="12.28515625" customWidth="1"/>
    <col min="5889" max="5889" width="7.42578125" bestFit="1" customWidth="1"/>
    <col min="5890" max="5890" width="54.42578125" customWidth="1"/>
    <col min="5891" max="5891" width="6" customWidth="1"/>
    <col min="5892" max="5892" width="7.28515625" customWidth="1"/>
    <col min="5893" max="5893" width="8.5703125" customWidth="1"/>
    <col min="5894" max="5894" width="12.28515625" customWidth="1"/>
    <col min="6145" max="6145" width="7.42578125" bestFit="1" customWidth="1"/>
    <col min="6146" max="6146" width="54.42578125" customWidth="1"/>
    <col min="6147" max="6147" width="6" customWidth="1"/>
    <col min="6148" max="6148" width="7.28515625" customWidth="1"/>
    <col min="6149" max="6149" width="8.5703125" customWidth="1"/>
    <col min="6150" max="6150" width="12.28515625" customWidth="1"/>
    <col min="6401" max="6401" width="7.42578125" bestFit="1" customWidth="1"/>
    <col min="6402" max="6402" width="54.42578125" customWidth="1"/>
    <col min="6403" max="6403" width="6" customWidth="1"/>
    <col min="6404" max="6404" width="7.28515625" customWidth="1"/>
    <col min="6405" max="6405" width="8.5703125" customWidth="1"/>
    <col min="6406" max="6406" width="12.28515625" customWidth="1"/>
    <col min="6657" max="6657" width="7.42578125" bestFit="1" customWidth="1"/>
    <col min="6658" max="6658" width="54.42578125" customWidth="1"/>
    <col min="6659" max="6659" width="6" customWidth="1"/>
    <col min="6660" max="6660" width="7.28515625" customWidth="1"/>
    <col min="6661" max="6661" width="8.5703125" customWidth="1"/>
    <col min="6662" max="6662" width="12.28515625" customWidth="1"/>
    <col min="6913" max="6913" width="7.42578125" bestFit="1" customWidth="1"/>
    <col min="6914" max="6914" width="54.42578125" customWidth="1"/>
    <col min="6915" max="6915" width="6" customWidth="1"/>
    <col min="6916" max="6916" width="7.28515625" customWidth="1"/>
    <col min="6917" max="6917" width="8.5703125" customWidth="1"/>
    <col min="6918" max="6918" width="12.28515625" customWidth="1"/>
    <col min="7169" max="7169" width="7.42578125" bestFit="1" customWidth="1"/>
    <col min="7170" max="7170" width="54.42578125" customWidth="1"/>
    <col min="7171" max="7171" width="6" customWidth="1"/>
    <col min="7172" max="7172" width="7.28515625" customWidth="1"/>
    <col min="7173" max="7173" width="8.5703125" customWidth="1"/>
    <col min="7174" max="7174" width="12.28515625" customWidth="1"/>
    <col min="7425" max="7425" width="7.42578125" bestFit="1" customWidth="1"/>
    <col min="7426" max="7426" width="54.42578125" customWidth="1"/>
    <col min="7427" max="7427" width="6" customWidth="1"/>
    <col min="7428" max="7428" width="7.28515625" customWidth="1"/>
    <col min="7429" max="7429" width="8.5703125" customWidth="1"/>
    <col min="7430" max="7430" width="12.28515625" customWidth="1"/>
    <col min="7681" max="7681" width="7.42578125" bestFit="1" customWidth="1"/>
    <col min="7682" max="7682" width="54.42578125" customWidth="1"/>
    <col min="7683" max="7683" width="6" customWidth="1"/>
    <col min="7684" max="7684" width="7.28515625" customWidth="1"/>
    <col min="7685" max="7685" width="8.5703125" customWidth="1"/>
    <col min="7686" max="7686" width="12.28515625" customWidth="1"/>
    <col min="7937" max="7937" width="7.42578125" bestFit="1" customWidth="1"/>
    <col min="7938" max="7938" width="54.42578125" customWidth="1"/>
    <col min="7939" max="7939" width="6" customWidth="1"/>
    <col min="7940" max="7940" width="7.28515625" customWidth="1"/>
    <col min="7941" max="7941" width="8.5703125" customWidth="1"/>
    <col min="7942" max="7942" width="12.28515625" customWidth="1"/>
    <col min="8193" max="8193" width="7.42578125" bestFit="1" customWidth="1"/>
    <col min="8194" max="8194" width="54.42578125" customWidth="1"/>
    <col min="8195" max="8195" width="6" customWidth="1"/>
    <col min="8196" max="8196" width="7.28515625" customWidth="1"/>
    <col min="8197" max="8197" width="8.5703125" customWidth="1"/>
    <col min="8198" max="8198" width="12.28515625" customWidth="1"/>
    <col min="8449" max="8449" width="7.42578125" bestFit="1" customWidth="1"/>
    <col min="8450" max="8450" width="54.42578125" customWidth="1"/>
    <col min="8451" max="8451" width="6" customWidth="1"/>
    <col min="8452" max="8452" width="7.28515625" customWidth="1"/>
    <col min="8453" max="8453" width="8.5703125" customWidth="1"/>
    <col min="8454" max="8454" width="12.28515625" customWidth="1"/>
    <col min="8705" max="8705" width="7.42578125" bestFit="1" customWidth="1"/>
    <col min="8706" max="8706" width="54.42578125" customWidth="1"/>
    <col min="8707" max="8707" width="6" customWidth="1"/>
    <col min="8708" max="8708" width="7.28515625" customWidth="1"/>
    <col min="8709" max="8709" width="8.5703125" customWidth="1"/>
    <col min="8710" max="8710" width="12.28515625" customWidth="1"/>
    <col min="8961" max="8961" width="7.42578125" bestFit="1" customWidth="1"/>
    <col min="8962" max="8962" width="54.42578125" customWidth="1"/>
    <col min="8963" max="8963" width="6" customWidth="1"/>
    <col min="8964" max="8964" width="7.28515625" customWidth="1"/>
    <col min="8965" max="8965" width="8.5703125" customWidth="1"/>
    <col min="8966" max="8966" width="12.28515625" customWidth="1"/>
    <col min="9217" max="9217" width="7.42578125" bestFit="1" customWidth="1"/>
    <col min="9218" max="9218" width="54.42578125" customWidth="1"/>
    <col min="9219" max="9219" width="6" customWidth="1"/>
    <col min="9220" max="9220" width="7.28515625" customWidth="1"/>
    <col min="9221" max="9221" width="8.5703125" customWidth="1"/>
    <col min="9222" max="9222" width="12.28515625" customWidth="1"/>
    <col min="9473" max="9473" width="7.42578125" bestFit="1" customWidth="1"/>
    <col min="9474" max="9474" width="54.42578125" customWidth="1"/>
    <col min="9475" max="9475" width="6" customWidth="1"/>
    <col min="9476" max="9476" width="7.28515625" customWidth="1"/>
    <col min="9477" max="9477" width="8.5703125" customWidth="1"/>
    <col min="9478" max="9478" width="12.28515625" customWidth="1"/>
    <col min="9729" max="9729" width="7.42578125" bestFit="1" customWidth="1"/>
    <col min="9730" max="9730" width="54.42578125" customWidth="1"/>
    <col min="9731" max="9731" width="6" customWidth="1"/>
    <col min="9732" max="9732" width="7.28515625" customWidth="1"/>
    <col min="9733" max="9733" width="8.5703125" customWidth="1"/>
    <col min="9734" max="9734" width="12.28515625" customWidth="1"/>
    <col min="9985" max="9985" width="7.42578125" bestFit="1" customWidth="1"/>
    <col min="9986" max="9986" width="54.42578125" customWidth="1"/>
    <col min="9987" max="9987" width="6" customWidth="1"/>
    <col min="9988" max="9988" width="7.28515625" customWidth="1"/>
    <col min="9989" max="9989" width="8.5703125" customWidth="1"/>
    <col min="9990" max="9990" width="12.28515625" customWidth="1"/>
    <col min="10241" max="10241" width="7.42578125" bestFit="1" customWidth="1"/>
    <col min="10242" max="10242" width="54.42578125" customWidth="1"/>
    <col min="10243" max="10243" width="6" customWidth="1"/>
    <col min="10244" max="10244" width="7.28515625" customWidth="1"/>
    <col min="10245" max="10245" width="8.5703125" customWidth="1"/>
    <col min="10246" max="10246" width="12.28515625" customWidth="1"/>
    <col min="10497" max="10497" width="7.42578125" bestFit="1" customWidth="1"/>
    <col min="10498" max="10498" width="54.42578125" customWidth="1"/>
    <col min="10499" max="10499" width="6" customWidth="1"/>
    <col min="10500" max="10500" width="7.28515625" customWidth="1"/>
    <col min="10501" max="10501" width="8.5703125" customWidth="1"/>
    <col min="10502" max="10502" width="12.28515625" customWidth="1"/>
    <col min="10753" max="10753" width="7.42578125" bestFit="1" customWidth="1"/>
    <col min="10754" max="10754" width="54.42578125" customWidth="1"/>
    <col min="10755" max="10755" width="6" customWidth="1"/>
    <col min="10756" max="10756" width="7.28515625" customWidth="1"/>
    <col min="10757" max="10757" width="8.5703125" customWidth="1"/>
    <col min="10758" max="10758" width="12.28515625" customWidth="1"/>
    <col min="11009" max="11009" width="7.42578125" bestFit="1" customWidth="1"/>
    <col min="11010" max="11010" width="54.42578125" customWidth="1"/>
    <col min="11011" max="11011" width="6" customWidth="1"/>
    <col min="11012" max="11012" width="7.28515625" customWidth="1"/>
    <col min="11013" max="11013" width="8.5703125" customWidth="1"/>
    <col min="11014" max="11014" width="12.28515625" customWidth="1"/>
    <col min="11265" max="11265" width="7.42578125" bestFit="1" customWidth="1"/>
    <col min="11266" max="11266" width="54.42578125" customWidth="1"/>
    <col min="11267" max="11267" width="6" customWidth="1"/>
    <col min="11268" max="11268" width="7.28515625" customWidth="1"/>
    <col min="11269" max="11269" width="8.5703125" customWidth="1"/>
    <col min="11270" max="11270" width="12.28515625" customWidth="1"/>
    <col min="11521" max="11521" width="7.42578125" bestFit="1" customWidth="1"/>
    <col min="11522" max="11522" width="54.42578125" customWidth="1"/>
    <col min="11523" max="11523" width="6" customWidth="1"/>
    <col min="11524" max="11524" width="7.28515625" customWidth="1"/>
    <col min="11525" max="11525" width="8.5703125" customWidth="1"/>
    <col min="11526" max="11526" width="12.28515625" customWidth="1"/>
    <col min="11777" max="11777" width="7.42578125" bestFit="1" customWidth="1"/>
    <col min="11778" max="11778" width="54.42578125" customWidth="1"/>
    <col min="11779" max="11779" width="6" customWidth="1"/>
    <col min="11780" max="11780" width="7.28515625" customWidth="1"/>
    <col min="11781" max="11781" width="8.5703125" customWidth="1"/>
    <col min="11782" max="11782" width="12.28515625" customWidth="1"/>
    <col min="12033" max="12033" width="7.42578125" bestFit="1" customWidth="1"/>
    <col min="12034" max="12034" width="54.42578125" customWidth="1"/>
    <col min="12035" max="12035" width="6" customWidth="1"/>
    <col min="12036" max="12036" width="7.28515625" customWidth="1"/>
    <col min="12037" max="12037" width="8.5703125" customWidth="1"/>
    <col min="12038" max="12038" width="12.28515625" customWidth="1"/>
    <col min="12289" max="12289" width="7.42578125" bestFit="1" customWidth="1"/>
    <col min="12290" max="12290" width="54.42578125" customWidth="1"/>
    <col min="12291" max="12291" width="6" customWidth="1"/>
    <col min="12292" max="12292" width="7.28515625" customWidth="1"/>
    <col min="12293" max="12293" width="8.5703125" customWidth="1"/>
    <col min="12294" max="12294" width="12.28515625" customWidth="1"/>
    <col min="12545" max="12545" width="7.42578125" bestFit="1" customWidth="1"/>
    <col min="12546" max="12546" width="54.42578125" customWidth="1"/>
    <col min="12547" max="12547" width="6" customWidth="1"/>
    <col min="12548" max="12548" width="7.28515625" customWidth="1"/>
    <col min="12549" max="12549" width="8.5703125" customWidth="1"/>
    <col min="12550" max="12550" width="12.28515625" customWidth="1"/>
    <col min="12801" max="12801" width="7.42578125" bestFit="1" customWidth="1"/>
    <col min="12802" max="12802" width="54.42578125" customWidth="1"/>
    <col min="12803" max="12803" width="6" customWidth="1"/>
    <col min="12804" max="12804" width="7.28515625" customWidth="1"/>
    <col min="12805" max="12805" width="8.5703125" customWidth="1"/>
    <col min="12806" max="12806" width="12.28515625" customWidth="1"/>
    <col min="13057" max="13057" width="7.42578125" bestFit="1" customWidth="1"/>
    <col min="13058" max="13058" width="54.42578125" customWidth="1"/>
    <col min="13059" max="13059" width="6" customWidth="1"/>
    <col min="13060" max="13060" width="7.28515625" customWidth="1"/>
    <col min="13061" max="13061" width="8.5703125" customWidth="1"/>
    <col min="13062" max="13062" width="12.28515625" customWidth="1"/>
    <col min="13313" max="13313" width="7.42578125" bestFit="1" customWidth="1"/>
    <col min="13314" max="13314" width="54.42578125" customWidth="1"/>
    <col min="13315" max="13315" width="6" customWidth="1"/>
    <col min="13316" max="13316" width="7.28515625" customWidth="1"/>
    <col min="13317" max="13317" width="8.5703125" customWidth="1"/>
    <col min="13318" max="13318" width="12.28515625" customWidth="1"/>
    <col min="13569" max="13569" width="7.42578125" bestFit="1" customWidth="1"/>
    <col min="13570" max="13570" width="54.42578125" customWidth="1"/>
    <col min="13571" max="13571" width="6" customWidth="1"/>
    <col min="13572" max="13572" width="7.28515625" customWidth="1"/>
    <col min="13573" max="13573" width="8.5703125" customWidth="1"/>
    <col min="13574" max="13574" width="12.28515625" customWidth="1"/>
    <col min="13825" max="13825" width="7.42578125" bestFit="1" customWidth="1"/>
    <col min="13826" max="13826" width="54.42578125" customWidth="1"/>
    <col min="13827" max="13827" width="6" customWidth="1"/>
    <col min="13828" max="13828" width="7.28515625" customWidth="1"/>
    <col min="13829" max="13829" width="8.5703125" customWidth="1"/>
    <col min="13830" max="13830" width="12.28515625" customWidth="1"/>
    <col min="14081" max="14081" width="7.42578125" bestFit="1" customWidth="1"/>
    <col min="14082" max="14082" width="54.42578125" customWidth="1"/>
    <col min="14083" max="14083" width="6" customWidth="1"/>
    <col min="14084" max="14084" width="7.28515625" customWidth="1"/>
    <col min="14085" max="14085" width="8.5703125" customWidth="1"/>
    <col min="14086" max="14086" width="12.28515625" customWidth="1"/>
    <col min="14337" max="14337" width="7.42578125" bestFit="1" customWidth="1"/>
    <col min="14338" max="14338" width="54.42578125" customWidth="1"/>
    <col min="14339" max="14339" width="6" customWidth="1"/>
    <col min="14340" max="14340" width="7.28515625" customWidth="1"/>
    <col min="14341" max="14341" width="8.5703125" customWidth="1"/>
    <col min="14342" max="14342" width="12.28515625" customWidth="1"/>
    <col min="14593" max="14593" width="7.42578125" bestFit="1" customWidth="1"/>
    <col min="14594" max="14594" width="54.42578125" customWidth="1"/>
    <col min="14595" max="14595" width="6" customWidth="1"/>
    <col min="14596" max="14596" width="7.28515625" customWidth="1"/>
    <col min="14597" max="14597" width="8.5703125" customWidth="1"/>
    <col min="14598" max="14598" width="12.28515625" customWidth="1"/>
    <col min="14849" max="14849" width="7.42578125" bestFit="1" customWidth="1"/>
    <col min="14850" max="14850" width="54.42578125" customWidth="1"/>
    <col min="14851" max="14851" width="6" customWidth="1"/>
    <col min="14852" max="14852" width="7.28515625" customWidth="1"/>
    <col min="14853" max="14853" width="8.5703125" customWidth="1"/>
    <col min="14854" max="14854" width="12.28515625" customWidth="1"/>
    <col min="15105" max="15105" width="7.42578125" bestFit="1" customWidth="1"/>
    <col min="15106" max="15106" width="54.42578125" customWidth="1"/>
    <col min="15107" max="15107" width="6" customWidth="1"/>
    <col min="15108" max="15108" width="7.28515625" customWidth="1"/>
    <col min="15109" max="15109" width="8.5703125" customWidth="1"/>
    <col min="15110" max="15110" width="12.28515625" customWidth="1"/>
    <col min="15361" max="15361" width="7.42578125" bestFit="1" customWidth="1"/>
    <col min="15362" max="15362" width="54.42578125" customWidth="1"/>
    <col min="15363" max="15363" width="6" customWidth="1"/>
    <col min="15364" max="15364" width="7.28515625" customWidth="1"/>
    <col min="15365" max="15365" width="8.5703125" customWidth="1"/>
    <col min="15366" max="15366" width="12.28515625" customWidth="1"/>
    <col min="15617" max="15617" width="7.42578125" bestFit="1" customWidth="1"/>
    <col min="15618" max="15618" width="54.42578125" customWidth="1"/>
    <col min="15619" max="15619" width="6" customWidth="1"/>
    <col min="15620" max="15620" width="7.28515625" customWidth="1"/>
    <col min="15621" max="15621" width="8.5703125" customWidth="1"/>
    <col min="15622" max="15622" width="12.28515625" customWidth="1"/>
    <col min="15873" max="15873" width="7.42578125" bestFit="1" customWidth="1"/>
    <col min="15874" max="15874" width="54.42578125" customWidth="1"/>
    <col min="15875" max="15875" width="6" customWidth="1"/>
    <col min="15876" max="15876" width="7.28515625" customWidth="1"/>
    <col min="15877" max="15877" width="8.5703125" customWidth="1"/>
    <col min="15878" max="15878" width="12.28515625" customWidth="1"/>
    <col min="16129" max="16129" width="7.42578125" bestFit="1" customWidth="1"/>
    <col min="16130" max="16130" width="54.42578125" customWidth="1"/>
    <col min="16131" max="16131" width="6" customWidth="1"/>
    <col min="16132" max="16132" width="7.28515625" customWidth="1"/>
    <col min="16133" max="16133" width="8.5703125" customWidth="1"/>
    <col min="16134" max="16134" width="12.28515625" customWidth="1"/>
  </cols>
  <sheetData>
    <row r="1" spans="1:16" hidden="1" x14ac:dyDescent="0.2"/>
    <row r="2" spans="1:16" s="30" customFormat="1" ht="14.25" hidden="1" x14ac:dyDescent="0.3">
      <c r="A2" s="47" t="s">
        <v>2721</v>
      </c>
      <c r="B2" s="48"/>
      <c r="C2" s="77" t="str">
        <f>IF(B2&lt;&gt;0,(VLOOKUP(B2,[0]!MQT,2,FALSE))," ")</f>
        <v xml:space="preserve"> </v>
      </c>
      <c r="D2" s="78" t="str">
        <f>IF(B2&lt;&gt;0,(VLOOKUP(B2,[0]!MQT,3,FALSE))," ")</f>
        <v xml:space="preserve"> </v>
      </c>
      <c r="E2" s="32"/>
      <c r="F2" s="79" t="str">
        <f>IF(B2&lt;&gt;0,(VLOOKUP(B2,[0]!MQT,5,FALSE))," ")</f>
        <v xml:space="preserve"> </v>
      </c>
      <c r="G2" s="31" t="str">
        <f>IF(E2&lt;&gt;0,(F2*E2)," ")</f>
        <v xml:space="preserve"> </v>
      </c>
      <c r="I2" s="49"/>
      <c r="J2" s="49"/>
      <c r="K2" s="49"/>
      <c r="L2" s="49"/>
      <c r="M2" s="49"/>
      <c r="O2" s="50"/>
      <c r="P2" s="51"/>
    </row>
    <row r="3" spans="1:16" hidden="1" x14ac:dyDescent="0.2"/>
    <row r="4" spans="1:16" s="33" customFormat="1" ht="34.5" customHeight="1" x14ac:dyDescent="0.25">
      <c r="B4" s="80"/>
      <c r="C4" s="81"/>
      <c r="D4" s="81"/>
      <c r="E4" s="81"/>
      <c r="F4" s="81"/>
      <c r="G4" s="81"/>
      <c r="H4" s="52"/>
    </row>
    <row r="5" spans="1:16" s="33" customFormat="1" ht="19.5" customHeight="1" x14ac:dyDescent="0.25">
      <c r="B5" s="80"/>
      <c r="C5" s="81"/>
      <c r="D5" s="81"/>
      <c r="E5" s="81"/>
      <c r="F5" s="81"/>
      <c r="G5" s="81"/>
      <c r="H5" s="52"/>
    </row>
    <row r="6" spans="1:16" s="33" customFormat="1" ht="39" customHeight="1" x14ac:dyDescent="0.25">
      <c r="B6" s="80"/>
      <c r="C6" s="81"/>
      <c r="D6" s="81"/>
      <c r="E6" s="81"/>
      <c r="F6" s="81"/>
      <c r="G6" s="81"/>
      <c r="H6" s="52"/>
    </row>
    <row r="7" spans="1:16" s="33" customFormat="1" ht="21" customHeight="1" x14ac:dyDescent="0.25">
      <c r="B7" s="92" t="s">
        <v>2731</v>
      </c>
      <c r="C7" s="92"/>
      <c r="D7" s="92"/>
      <c r="E7" s="92"/>
      <c r="F7" s="92"/>
      <c r="G7" s="92"/>
      <c r="H7" s="52"/>
    </row>
    <row r="8" spans="1:16" s="33" customFormat="1" ht="11.25" customHeight="1" thickBot="1" x14ac:dyDescent="0.3">
      <c r="B8" s="82"/>
      <c r="C8" s="93"/>
      <c r="D8" s="93"/>
      <c r="E8" s="93"/>
      <c r="F8" s="93"/>
      <c r="G8" s="93"/>
      <c r="H8" s="52"/>
    </row>
    <row r="9" spans="1:16" s="33" customFormat="1" ht="18.75" customHeight="1" x14ac:dyDescent="0.25">
      <c r="B9" s="46" t="s">
        <v>2720</v>
      </c>
      <c r="C9" s="45"/>
      <c r="D9" s="44" t="s">
        <v>2719</v>
      </c>
      <c r="E9" s="43"/>
      <c r="F9" s="118"/>
      <c r="G9" s="119"/>
      <c r="H9" s="52"/>
    </row>
    <row r="10" spans="1:16" s="33" customFormat="1" ht="17.25" customHeight="1" x14ac:dyDescent="0.25">
      <c r="B10" s="41" t="s">
        <v>2718</v>
      </c>
      <c r="C10" s="42"/>
      <c r="D10" s="94" t="s">
        <v>2728</v>
      </c>
      <c r="E10" s="94"/>
      <c r="F10" s="95"/>
      <c r="G10" s="96"/>
      <c r="H10" s="53"/>
      <c r="O10" s="54"/>
      <c r="P10" s="54"/>
    </row>
    <row r="11" spans="1:16" s="33" customFormat="1" ht="17.25" customHeight="1" thickBot="1" x14ac:dyDescent="0.3">
      <c r="B11" s="41" t="s">
        <v>2730</v>
      </c>
      <c r="C11" s="40"/>
      <c r="D11" s="89" t="s">
        <v>2717</v>
      </c>
      <c r="E11" s="89"/>
      <c r="F11" s="90"/>
      <c r="G11" s="91"/>
      <c r="H11" s="53"/>
      <c r="O11" s="54"/>
      <c r="P11" s="54"/>
    </row>
    <row r="12" spans="1:16" s="33" customFormat="1" ht="15.75" customHeight="1" x14ac:dyDescent="0.25">
      <c r="B12" s="39" t="s">
        <v>2716</v>
      </c>
      <c r="C12" s="38"/>
      <c r="D12" s="98"/>
      <c r="E12" s="99"/>
      <c r="F12" s="76" t="s">
        <v>2726</v>
      </c>
      <c r="G12" s="37"/>
      <c r="H12" s="53"/>
      <c r="J12" s="55"/>
      <c r="O12" s="54"/>
      <c r="P12" s="54"/>
    </row>
    <row r="13" spans="1:16" s="33" customFormat="1" ht="19.5" customHeight="1" thickBot="1" x14ac:dyDescent="0.35">
      <c r="B13" s="100"/>
      <c r="C13" s="101"/>
      <c r="D13" s="101"/>
      <c r="E13" s="102"/>
      <c r="F13" s="103">
        <f>SUM(G:G)</f>
        <v>0</v>
      </c>
      <c r="G13" s="104"/>
      <c r="H13" s="53"/>
      <c r="J13" s="56"/>
      <c r="O13" s="54"/>
      <c r="P13" s="54"/>
    </row>
    <row r="14" spans="1:16" s="33" customFormat="1" ht="14.25" x14ac:dyDescent="0.3">
      <c r="B14" s="36" t="s">
        <v>2715</v>
      </c>
      <c r="C14" s="35"/>
      <c r="D14" s="35"/>
      <c r="E14" s="75"/>
      <c r="F14" s="35"/>
      <c r="G14" s="34"/>
      <c r="H14" s="53"/>
      <c r="I14" s="57"/>
      <c r="J14" s="58"/>
      <c r="K14" s="57"/>
      <c r="O14" s="54"/>
      <c r="P14" s="54"/>
    </row>
    <row r="15" spans="1:16" s="33" customFormat="1" ht="14.25" hidden="1" customHeight="1" x14ac:dyDescent="0.3">
      <c r="B15" s="69"/>
      <c r="C15" s="70"/>
      <c r="D15" s="70"/>
      <c r="E15" s="70"/>
      <c r="F15" s="70"/>
      <c r="G15" s="71"/>
      <c r="H15" s="53"/>
      <c r="I15" s="57"/>
      <c r="J15" s="58"/>
      <c r="K15" s="57"/>
      <c r="O15" s="54"/>
      <c r="P15" s="54"/>
    </row>
    <row r="16" spans="1:16" s="33" customFormat="1" ht="14.25" hidden="1" customHeight="1" x14ac:dyDescent="0.3">
      <c r="B16" s="72"/>
      <c r="C16" s="73"/>
      <c r="D16" s="73"/>
      <c r="E16" s="73"/>
      <c r="F16" s="73"/>
      <c r="G16" s="74"/>
      <c r="H16" s="53"/>
      <c r="I16" s="57"/>
      <c r="J16" s="58"/>
      <c r="K16" s="57"/>
      <c r="O16" s="54"/>
      <c r="P16" s="54"/>
    </row>
    <row r="17" spans="1:16" s="33" customFormat="1" ht="14.25" hidden="1" customHeight="1" x14ac:dyDescent="0.3">
      <c r="B17" s="72"/>
      <c r="C17" s="73"/>
      <c r="D17" s="73"/>
      <c r="E17" s="73"/>
      <c r="F17" s="73"/>
      <c r="G17" s="74"/>
      <c r="H17" s="53"/>
      <c r="I17" s="57"/>
      <c r="J17" s="58"/>
      <c r="K17" s="57"/>
      <c r="O17" s="54"/>
      <c r="P17" s="54"/>
    </row>
    <row r="18" spans="1:16" s="33" customFormat="1" ht="50.25" customHeight="1" x14ac:dyDescent="0.3">
      <c r="B18" s="105"/>
      <c r="C18" s="106"/>
      <c r="D18" s="106"/>
      <c r="E18" s="106"/>
      <c r="F18" s="106"/>
      <c r="G18" s="107"/>
      <c r="H18" s="53"/>
      <c r="I18" s="57"/>
      <c r="J18" s="58"/>
      <c r="K18" s="57"/>
      <c r="O18" s="54"/>
      <c r="P18" s="54"/>
    </row>
    <row r="19" spans="1:16" s="33" customFormat="1" ht="16.5" customHeight="1" x14ac:dyDescent="0.3">
      <c r="B19" s="108" t="s">
        <v>2714</v>
      </c>
      <c r="C19" s="109"/>
      <c r="D19" s="109"/>
      <c r="E19" s="109"/>
      <c r="F19" s="109"/>
      <c r="G19" s="110"/>
      <c r="H19" s="53"/>
      <c r="J19" s="56"/>
      <c r="O19" s="54"/>
      <c r="P19" s="54"/>
    </row>
    <row r="20" spans="1:16" s="30" customFormat="1" ht="13.5" x14ac:dyDescent="0.25">
      <c r="A20"/>
      <c r="B20" s="111" t="s">
        <v>2727</v>
      </c>
      <c r="C20" s="113" t="s">
        <v>2713</v>
      </c>
      <c r="D20" s="113" t="s">
        <v>2712</v>
      </c>
      <c r="E20" s="113" t="s">
        <v>2711</v>
      </c>
      <c r="F20" s="59" t="s">
        <v>2710</v>
      </c>
      <c r="G20" s="116" t="s">
        <v>2709</v>
      </c>
      <c r="I20" s="49"/>
      <c r="J20" s="49"/>
      <c r="K20" s="49"/>
      <c r="L20" s="49"/>
      <c r="M20" s="49"/>
      <c r="O20" s="50"/>
      <c r="P20" s="50"/>
    </row>
    <row r="21" spans="1:16" s="30" customFormat="1" ht="15" customHeight="1" x14ac:dyDescent="0.25">
      <c r="A21"/>
      <c r="B21" s="112"/>
      <c r="C21" s="114"/>
      <c r="D21" s="114"/>
      <c r="E21" s="115"/>
      <c r="F21" s="60" t="s">
        <v>2708</v>
      </c>
      <c r="G21" s="117"/>
      <c r="I21" s="49"/>
      <c r="J21" s="49"/>
      <c r="K21" s="49"/>
      <c r="L21" s="49"/>
      <c r="M21" s="49"/>
      <c r="O21" s="50"/>
      <c r="P21" s="50"/>
    </row>
    <row r="22" spans="1:16" ht="14.25" x14ac:dyDescent="0.3">
      <c r="A22" s="47" t="s">
        <v>2721</v>
      </c>
      <c r="B22" s="48"/>
      <c r="C22" s="77" t="str">
        <f>IF(B22&lt;&gt;0,(VLOOKUP(B22,[0]!MQT,2,FALSE))," ")</f>
        <v xml:space="preserve"> </v>
      </c>
      <c r="D22" s="78" t="str">
        <f>IF(B22&lt;&gt;0,(VLOOKUP(B22,[0]!MQT,3,FALSE))," ")</f>
        <v xml:space="preserve"> </v>
      </c>
      <c r="E22" s="32"/>
      <c r="F22" s="79" t="str">
        <f>IF(B22&lt;&gt;0,(VLOOKUP(B22,[0]!MQT,5,FALSE))," ")</f>
        <v xml:space="preserve"> </v>
      </c>
      <c r="G22" s="31" t="str">
        <f t="shared" ref="G22:G29" si="0">IF(E22&lt;&gt;0,(F22*E22)," ")</f>
        <v xml:space="preserve"> </v>
      </c>
    </row>
    <row r="23" spans="1:16" ht="14.25" x14ac:dyDescent="0.3">
      <c r="A23" s="47" t="s">
        <v>2721</v>
      </c>
      <c r="B23" s="48"/>
      <c r="C23" s="77" t="str">
        <f>IF(B23&lt;&gt;0,(VLOOKUP(B23,[0]!MQT,2,FALSE))," ")</f>
        <v xml:space="preserve"> </v>
      </c>
      <c r="D23" s="78" t="str">
        <f>IF(B23&lt;&gt;0,(VLOOKUP(B23,[0]!MQT,3,FALSE))," ")</f>
        <v xml:space="preserve"> </v>
      </c>
      <c r="E23" s="32"/>
      <c r="F23" s="79" t="str">
        <f>IF(B23&lt;&gt;0,(VLOOKUP(B23,[0]!MQT,5,FALSE))," ")</f>
        <v xml:space="preserve"> </v>
      </c>
      <c r="G23" s="31" t="str">
        <f t="shared" si="0"/>
        <v xml:space="preserve"> </v>
      </c>
    </row>
    <row r="24" spans="1:16" ht="14.25" x14ac:dyDescent="0.3">
      <c r="A24" s="47" t="s">
        <v>2721</v>
      </c>
      <c r="B24" s="48"/>
      <c r="C24" s="77" t="str">
        <f>IF(B24&lt;&gt;0,(VLOOKUP(B24,[0]!MQT,2,FALSE))," ")</f>
        <v xml:space="preserve"> </v>
      </c>
      <c r="D24" s="78" t="str">
        <f>IF(B24&lt;&gt;0,(VLOOKUP(B24,[0]!MQT,3,FALSE))," ")</f>
        <v xml:space="preserve"> </v>
      </c>
      <c r="E24" s="32"/>
      <c r="F24" s="79" t="str">
        <f>IF(B24&lt;&gt;0,(VLOOKUP(B24,[0]!MQT,5,FALSE))," ")</f>
        <v xml:space="preserve"> </v>
      </c>
      <c r="G24" s="31" t="str">
        <f t="shared" si="0"/>
        <v xml:space="preserve"> </v>
      </c>
    </row>
    <row r="25" spans="1:16" ht="27" customHeight="1" x14ac:dyDescent="0.3">
      <c r="A25" s="47" t="s">
        <v>2721</v>
      </c>
      <c r="B25" s="48"/>
      <c r="C25" s="77" t="str">
        <f>IF(B25&lt;&gt;0,(VLOOKUP(B25,[0]!MQT,2,FALSE))," ")</f>
        <v xml:space="preserve"> </v>
      </c>
      <c r="D25" s="78" t="str">
        <f>IF(B25&lt;&gt;0,(VLOOKUP(B25,[0]!MQT,3,FALSE))," ")</f>
        <v xml:space="preserve"> </v>
      </c>
      <c r="E25" s="32"/>
      <c r="F25" s="79" t="str">
        <f>IF(B25&lt;&gt;0,(VLOOKUP(B25,[0]!MQT,5,FALSE))," ")</f>
        <v xml:space="preserve"> </v>
      </c>
      <c r="G25" s="31" t="str">
        <f t="shared" si="0"/>
        <v xml:space="preserve"> </v>
      </c>
    </row>
    <row r="26" spans="1:16" ht="14.25" x14ac:dyDescent="0.3">
      <c r="A26" s="47" t="s">
        <v>2721</v>
      </c>
      <c r="B26" s="48"/>
      <c r="C26" s="77" t="str">
        <f>IF(B26&lt;&gt;0,(VLOOKUP(B26,[0]!MQT,2,FALSE))," ")</f>
        <v xml:space="preserve"> </v>
      </c>
      <c r="D26" s="78" t="str">
        <f>IF(B26&lt;&gt;0,(VLOOKUP(B26,[0]!MQT,3,FALSE))," ")</f>
        <v xml:space="preserve"> </v>
      </c>
      <c r="E26" s="32"/>
      <c r="F26" s="79" t="str">
        <f>IF(B26&lt;&gt;0,(VLOOKUP(B26,[0]!MQT,5,FALSE))," ")</f>
        <v xml:space="preserve"> </v>
      </c>
      <c r="G26" s="31" t="str">
        <f t="shared" si="0"/>
        <v xml:space="preserve"> </v>
      </c>
    </row>
    <row r="27" spans="1:16" ht="14.25" x14ac:dyDescent="0.3">
      <c r="A27" s="47" t="s">
        <v>2721</v>
      </c>
      <c r="B27" s="48"/>
      <c r="C27" s="77" t="str">
        <f>IF(B27&lt;&gt;0,(VLOOKUP(B27,[0]!MQT,2,FALSE))," ")</f>
        <v xml:space="preserve"> </v>
      </c>
      <c r="D27" s="78" t="str">
        <f>IF(B27&lt;&gt;0,(VLOOKUP(B27,[0]!MQT,3,FALSE))," ")</f>
        <v xml:space="preserve"> </v>
      </c>
      <c r="E27" s="32"/>
      <c r="F27" s="79" t="str">
        <f>IF(B27&lt;&gt;0,(VLOOKUP(B27,[0]!MQT,5,FALSE))," ")</f>
        <v xml:space="preserve"> </v>
      </c>
      <c r="G27" s="31" t="str">
        <f t="shared" si="0"/>
        <v xml:space="preserve"> </v>
      </c>
    </row>
    <row r="28" spans="1:16" ht="14.25" x14ac:dyDescent="0.3">
      <c r="A28" s="47" t="s">
        <v>2721</v>
      </c>
      <c r="B28" s="48"/>
      <c r="C28" s="77" t="str">
        <f>IF(B28&lt;&gt;0,(VLOOKUP(B28,[0]!MQT,2,FALSE))," ")</f>
        <v xml:space="preserve"> </v>
      </c>
      <c r="D28" s="78" t="str">
        <f>IF(B28&lt;&gt;0,(VLOOKUP(B28,[0]!MQT,3,FALSE))," ")</f>
        <v xml:space="preserve"> </v>
      </c>
      <c r="E28" s="32"/>
      <c r="F28" s="79" t="str">
        <f>IF(B28&lt;&gt;0,(VLOOKUP(B28,[0]!MQT,5,FALSE))," ")</f>
        <v xml:space="preserve"> </v>
      </c>
      <c r="G28" s="31" t="str">
        <f t="shared" si="0"/>
        <v xml:space="preserve"> </v>
      </c>
    </row>
    <row r="29" spans="1:16" ht="14.25" x14ac:dyDescent="0.3">
      <c r="A29" s="47" t="s">
        <v>2721</v>
      </c>
      <c r="B29" s="48"/>
      <c r="C29" s="77" t="str">
        <f>IF(B29&lt;&gt;0,(VLOOKUP(B29,[0]!MQT,2,FALSE))," ")</f>
        <v xml:space="preserve"> </v>
      </c>
      <c r="D29" s="78" t="str">
        <f>IF(B29&lt;&gt;0,(VLOOKUP(B29,[0]!MQT,3,FALSE))," ")</f>
        <v xml:space="preserve"> </v>
      </c>
      <c r="E29" s="32"/>
      <c r="F29" s="79" t="str">
        <f>IF(B29&lt;&gt;0,(VLOOKUP(B29,[0]!MQT,5,FALSE))," ")</f>
        <v xml:space="preserve"> </v>
      </c>
      <c r="G29" s="31" t="str">
        <f t="shared" si="0"/>
        <v xml:space="preserve"> </v>
      </c>
    </row>
    <row r="30" spans="1:16" ht="14.25" x14ac:dyDescent="0.3">
      <c r="A30" s="47"/>
      <c r="B30" s="48"/>
      <c r="C30" s="77" t="str">
        <f>IF(B30&lt;&gt;0,(VLOOKUP(B30,[0]!MQT,2,FALSE))," ")</f>
        <v xml:space="preserve"> </v>
      </c>
      <c r="D30" s="78" t="str">
        <f>IF(B30&lt;&gt;0,(VLOOKUP(B30,[0]!MQT,3,FALSE))," ")</f>
        <v xml:space="preserve"> </v>
      </c>
      <c r="E30" s="32"/>
      <c r="F30" s="79" t="str">
        <f>IF(B30&lt;&gt;0,(VLOOKUP(B30,[0]!MQT,5,FALSE))," ")</f>
        <v xml:space="preserve"> </v>
      </c>
      <c r="G30" s="31" t="str">
        <f t="shared" ref="G30:G39" si="1">IF(E30&lt;&gt;0,(F30*E30)," ")</f>
        <v xml:space="preserve"> </v>
      </c>
    </row>
    <row r="31" spans="1:16" ht="14.25" x14ac:dyDescent="0.3">
      <c r="A31" s="47"/>
      <c r="B31" s="48"/>
      <c r="C31" s="77" t="str">
        <f>IF(B31&lt;&gt;0,(VLOOKUP(B31,[0]!MQT,2,FALSE))," ")</f>
        <v xml:space="preserve"> </v>
      </c>
      <c r="D31" s="78" t="str">
        <f>IF(B31&lt;&gt;0,(VLOOKUP(B31,[0]!MQT,3,FALSE))," ")</f>
        <v xml:space="preserve"> </v>
      </c>
      <c r="E31" s="32"/>
      <c r="F31" s="79" t="str">
        <f>IF(B31&lt;&gt;0,(VLOOKUP(B31,[0]!MQT,5,FALSE))," ")</f>
        <v xml:space="preserve"> </v>
      </c>
      <c r="G31" s="31" t="str">
        <f t="shared" si="1"/>
        <v xml:space="preserve"> </v>
      </c>
    </row>
    <row r="32" spans="1:16" ht="24.75" customHeight="1" x14ac:dyDescent="0.3">
      <c r="A32" s="47" t="s">
        <v>2721</v>
      </c>
      <c r="B32" s="48"/>
      <c r="C32" s="77" t="str">
        <f>IF(B32&lt;&gt;0,(VLOOKUP(B32,[0]!MQT,2,FALSE))," ")</f>
        <v xml:space="preserve"> </v>
      </c>
      <c r="D32" s="78" t="str">
        <f>IF(B32&lt;&gt;0,(VLOOKUP(B32,[0]!MQT,3,FALSE))," ")</f>
        <v xml:space="preserve"> </v>
      </c>
      <c r="E32" s="32"/>
      <c r="F32" s="79" t="str">
        <f>IF(B32&lt;&gt;0,(VLOOKUP(B32,[0]!MQT,5,FALSE))," ")</f>
        <v xml:space="preserve"> </v>
      </c>
      <c r="G32" s="31" t="str">
        <f t="shared" si="1"/>
        <v xml:space="preserve"> </v>
      </c>
    </row>
    <row r="33" spans="1:7" ht="27" customHeight="1" x14ac:dyDescent="0.3">
      <c r="A33" s="47" t="s">
        <v>2721</v>
      </c>
      <c r="B33" s="48"/>
      <c r="C33" s="77" t="str">
        <f>IF(B33&lt;&gt;0,(VLOOKUP(B33,[0]!MQT,2,FALSE))," ")</f>
        <v xml:space="preserve"> </v>
      </c>
      <c r="D33" s="78" t="str">
        <f>IF(B33&lt;&gt;0,(VLOOKUP(B33,[0]!MQT,3,FALSE))," ")</f>
        <v xml:space="preserve"> </v>
      </c>
      <c r="E33" s="32"/>
      <c r="F33" s="79" t="str">
        <f>IF(B33&lt;&gt;0,(VLOOKUP(B33,[0]!MQT,5,FALSE))," ")</f>
        <v xml:space="preserve"> </v>
      </c>
      <c r="G33" s="31" t="str">
        <f t="shared" si="1"/>
        <v xml:space="preserve"> </v>
      </c>
    </row>
    <row r="34" spans="1:7" ht="38.25" customHeight="1" x14ac:dyDescent="0.3">
      <c r="A34" s="47" t="s">
        <v>2721</v>
      </c>
      <c r="B34" s="48"/>
      <c r="C34" s="77" t="str">
        <f>IF(B34&lt;&gt;0,(VLOOKUP(B34,[0]!MQT,2,FALSE))," ")</f>
        <v xml:space="preserve"> </v>
      </c>
      <c r="D34" s="78" t="str">
        <f>IF(B34&lt;&gt;0,(VLOOKUP(B34,[0]!MQT,3,FALSE))," ")</f>
        <v xml:space="preserve"> </v>
      </c>
      <c r="E34" s="32"/>
      <c r="F34" s="79" t="str">
        <f>IF(B34&lt;&gt;0,(VLOOKUP(B34,[0]!MQT,5,FALSE))," ")</f>
        <v xml:space="preserve"> </v>
      </c>
      <c r="G34" s="31" t="str">
        <f t="shared" si="1"/>
        <v xml:space="preserve"> </v>
      </c>
    </row>
    <row r="35" spans="1:7" ht="14.25" x14ac:dyDescent="0.3">
      <c r="A35" s="47" t="s">
        <v>2721</v>
      </c>
      <c r="B35" s="48"/>
      <c r="C35" s="77" t="str">
        <f>IF(B35&lt;&gt;0,(VLOOKUP(B35,[0]!MQT,2,FALSE))," ")</f>
        <v xml:space="preserve"> </v>
      </c>
      <c r="D35" s="78" t="str">
        <f>IF(B35&lt;&gt;0,(VLOOKUP(B35,[0]!MQT,3,FALSE))," ")</f>
        <v xml:space="preserve"> </v>
      </c>
      <c r="E35" s="32"/>
      <c r="F35" s="79" t="str">
        <f>IF(B35&lt;&gt;0,(VLOOKUP(B35,[0]!MQT,5,FALSE))," ")</f>
        <v xml:space="preserve"> </v>
      </c>
      <c r="G35" s="31" t="str">
        <f t="shared" si="1"/>
        <v xml:space="preserve"> </v>
      </c>
    </row>
    <row r="36" spans="1:7" ht="14.25" x14ac:dyDescent="0.3">
      <c r="A36" s="47" t="s">
        <v>2721</v>
      </c>
      <c r="B36" s="48"/>
      <c r="C36" s="77" t="str">
        <f>IF(B36&lt;&gt;0,(VLOOKUP(B36,[0]!MQT,2,FALSE))," ")</f>
        <v xml:space="preserve"> </v>
      </c>
      <c r="D36" s="78" t="str">
        <f>IF(B36&lt;&gt;0,(VLOOKUP(B36,[0]!MQT,3,FALSE))," ")</f>
        <v xml:space="preserve"> </v>
      </c>
      <c r="E36" s="32"/>
      <c r="F36" s="79" t="str">
        <f>IF(B36&lt;&gt;0,(VLOOKUP(B36,[0]!MQT,5,FALSE))," ")</f>
        <v xml:space="preserve"> </v>
      </c>
      <c r="G36" s="31" t="str">
        <f t="shared" si="1"/>
        <v xml:space="preserve"> </v>
      </c>
    </row>
    <row r="37" spans="1:7" ht="14.25" x14ac:dyDescent="0.3">
      <c r="A37" s="47" t="s">
        <v>2721</v>
      </c>
      <c r="B37" s="48"/>
      <c r="C37" s="77" t="str">
        <f>IF(B37&lt;&gt;0,(VLOOKUP(B37,[0]!MQT,2,FALSE))," ")</f>
        <v xml:space="preserve"> </v>
      </c>
      <c r="D37" s="78" t="str">
        <f>IF(B37&lt;&gt;0,(VLOOKUP(B37,[0]!MQT,3,FALSE))," ")</f>
        <v xml:space="preserve"> </v>
      </c>
      <c r="E37" s="32"/>
      <c r="F37" s="79" t="str">
        <f>IF(B37&lt;&gt;0,(VLOOKUP(B37,[0]!MQT,5,FALSE))," ")</f>
        <v xml:space="preserve"> </v>
      </c>
      <c r="G37" s="31" t="str">
        <f t="shared" si="1"/>
        <v xml:space="preserve"> </v>
      </c>
    </row>
    <row r="38" spans="1:7" ht="14.25" x14ac:dyDescent="0.3">
      <c r="A38" s="47" t="s">
        <v>2721</v>
      </c>
      <c r="B38" s="48"/>
      <c r="C38" s="77" t="str">
        <f>IF(B38&lt;&gt;0,(VLOOKUP(B38,[0]!MQT,2,FALSE))," ")</f>
        <v xml:space="preserve"> </v>
      </c>
      <c r="D38" s="78" t="str">
        <f>IF(B38&lt;&gt;0,(VLOOKUP(B38,[0]!MQT,3,FALSE))," ")</f>
        <v xml:space="preserve"> </v>
      </c>
      <c r="E38" s="32"/>
      <c r="F38" s="79" t="str">
        <f>IF(B38&lt;&gt;0,(VLOOKUP(B38,[0]!MQT,5,FALSE))," ")</f>
        <v xml:space="preserve"> </v>
      </c>
      <c r="G38" s="31" t="str">
        <f t="shared" si="1"/>
        <v xml:space="preserve"> </v>
      </c>
    </row>
    <row r="39" spans="1:7" ht="27" customHeight="1" x14ac:dyDescent="0.3">
      <c r="A39" s="47" t="s">
        <v>2721</v>
      </c>
      <c r="B39" s="48"/>
      <c r="C39" s="77" t="str">
        <f>IF(B39&lt;&gt;0,(VLOOKUP(B39,[0]!MQT,2,FALSE))," ")</f>
        <v xml:space="preserve"> </v>
      </c>
      <c r="D39" s="78" t="str">
        <f>IF(B39&lt;&gt;0,(VLOOKUP(B39,[0]!MQT,3,FALSE))," ")</f>
        <v xml:space="preserve"> </v>
      </c>
      <c r="E39" s="32"/>
      <c r="F39" s="79" t="str">
        <f>IF(B39&lt;&gt;0,(VLOOKUP(B39,[0]!MQT,5,FALSE))," ")</f>
        <v xml:space="preserve"> </v>
      </c>
      <c r="G39" s="31" t="str">
        <f t="shared" si="1"/>
        <v xml:space="preserve"> </v>
      </c>
    </row>
    <row r="40" spans="1:7" ht="14.25" x14ac:dyDescent="0.3">
      <c r="A40" s="47" t="s">
        <v>2721</v>
      </c>
      <c r="B40" s="48"/>
      <c r="C40" s="77" t="str">
        <f>IF(B40&lt;&gt;0,(VLOOKUP(B40,[0]!MQT,2,FALSE))," ")</f>
        <v xml:space="preserve"> </v>
      </c>
      <c r="D40" s="78" t="str">
        <f>IF(B40&lt;&gt;0,(VLOOKUP(B40,[0]!MQT,3,FALSE))," ")</f>
        <v xml:space="preserve"> </v>
      </c>
      <c r="E40" s="32"/>
      <c r="F40" s="79" t="str">
        <f>IF(B40&lt;&gt;0,(VLOOKUP(B40,[0]!MQT,5,FALSE))," ")</f>
        <v xml:space="preserve"> </v>
      </c>
      <c r="G40" s="31" t="str">
        <f t="shared" ref="G40:G65" si="2">IF(E40&lt;&gt;0,(F40*E40)," ")</f>
        <v xml:space="preserve"> </v>
      </c>
    </row>
    <row r="41" spans="1:7" ht="14.25" x14ac:dyDescent="0.3">
      <c r="A41" s="47" t="s">
        <v>2721</v>
      </c>
      <c r="B41" s="48"/>
      <c r="C41" s="77" t="str">
        <f>IF(B41&lt;&gt;0,(VLOOKUP(B41,[0]!MQT,2,FALSE))," ")</f>
        <v xml:space="preserve"> </v>
      </c>
      <c r="D41" s="78" t="str">
        <f>IF(B41&lt;&gt;0,(VLOOKUP(B41,[0]!MQT,3,FALSE))," ")</f>
        <v xml:space="preserve"> </v>
      </c>
      <c r="E41" s="32"/>
      <c r="F41" s="79" t="str">
        <f>IF(B41&lt;&gt;0,(VLOOKUP(B41,[0]!MQT,5,FALSE))," ")</f>
        <v xml:space="preserve"> </v>
      </c>
      <c r="G41" s="31" t="str">
        <f t="shared" si="2"/>
        <v xml:space="preserve"> </v>
      </c>
    </row>
    <row r="42" spans="1:7" ht="14.25" x14ac:dyDescent="0.3">
      <c r="A42" s="47" t="s">
        <v>2721</v>
      </c>
      <c r="B42" s="48"/>
      <c r="C42" s="77" t="str">
        <f>IF(B42&lt;&gt;0,(VLOOKUP(B42,[0]!MQT,2,FALSE))," ")</f>
        <v xml:space="preserve"> </v>
      </c>
      <c r="D42" s="78" t="str">
        <f>IF(B42&lt;&gt;0,(VLOOKUP(B42,[0]!MQT,3,FALSE))," ")</f>
        <v xml:space="preserve"> </v>
      </c>
      <c r="E42" s="32"/>
      <c r="F42" s="79" t="str">
        <f>IF(B42&lt;&gt;0,(VLOOKUP(B42,[0]!MQT,5,FALSE))," ")</f>
        <v xml:space="preserve"> </v>
      </c>
      <c r="G42" s="31" t="str">
        <f t="shared" si="2"/>
        <v xml:space="preserve"> </v>
      </c>
    </row>
    <row r="43" spans="1:7" ht="14.25" x14ac:dyDescent="0.3">
      <c r="A43" s="47" t="s">
        <v>2721</v>
      </c>
      <c r="B43" s="48"/>
      <c r="C43" s="77" t="str">
        <f>IF(B43&lt;&gt;0,(VLOOKUP(B43,[0]!MQT,2,FALSE))," ")</f>
        <v xml:space="preserve"> </v>
      </c>
      <c r="D43" s="78" t="str">
        <f>IF(B43&lt;&gt;0,(VLOOKUP(B43,[0]!MQT,3,FALSE))," ")</f>
        <v xml:space="preserve"> </v>
      </c>
      <c r="E43" s="32"/>
      <c r="F43" s="79" t="str">
        <f>IF(B43&lt;&gt;0,(VLOOKUP(B43,[0]!MQT,5,FALSE))," ")</f>
        <v xml:space="preserve"> </v>
      </c>
      <c r="G43" s="31" t="str">
        <f t="shared" si="2"/>
        <v xml:space="preserve"> </v>
      </c>
    </row>
    <row r="44" spans="1:7" ht="14.25" x14ac:dyDescent="0.3">
      <c r="A44" s="47" t="s">
        <v>2721</v>
      </c>
      <c r="B44" s="48"/>
      <c r="C44" s="77" t="str">
        <f>IF(B44&lt;&gt;0,(VLOOKUP(B44,[0]!MQT,2,FALSE))," ")</f>
        <v xml:space="preserve"> </v>
      </c>
      <c r="D44" s="78" t="str">
        <f>IF(B44&lt;&gt;0,(VLOOKUP(B44,[0]!MQT,3,FALSE))," ")</f>
        <v xml:space="preserve"> </v>
      </c>
      <c r="E44" s="32"/>
      <c r="F44" s="79" t="str">
        <f>IF(B44&lt;&gt;0,(VLOOKUP(B44,[0]!MQT,5,FALSE))," ")</f>
        <v xml:space="preserve"> </v>
      </c>
      <c r="G44" s="31" t="str">
        <f t="shared" si="2"/>
        <v xml:space="preserve"> </v>
      </c>
    </row>
    <row r="45" spans="1:7" ht="14.25" x14ac:dyDescent="0.3">
      <c r="A45" s="47" t="s">
        <v>2721</v>
      </c>
      <c r="B45" s="48"/>
      <c r="C45" s="77" t="str">
        <f>IF(B45&lt;&gt;0,(VLOOKUP(B45,[0]!MQT,2,FALSE))," ")</f>
        <v xml:space="preserve"> </v>
      </c>
      <c r="D45" s="78" t="str">
        <f>IF(B45&lt;&gt;0,(VLOOKUP(B45,[0]!MQT,3,FALSE))," ")</f>
        <v xml:space="preserve"> </v>
      </c>
      <c r="E45" s="32"/>
      <c r="F45" s="79" t="str">
        <f>IF(B45&lt;&gt;0,(VLOOKUP(B45,[0]!MQT,5,FALSE))," ")</f>
        <v xml:space="preserve"> </v>
      </c>
      <c r="G45" s="31" t="str">
        <f t="shared" si="2"/>
        <v xml:space="preserve"> </v>
      </c>
    </row>
    <row r="46" spans="1:7" ht="14.25" x14ac:dyDescent="0.3">
      <c r="A46" s="47" t="s">
        <v>2721</v>
      </c>
      <c r="B46" s="48"/>
      <c r="C46" s="77" t="str">
        <f>IF(B46&lt;&gt;0,(VLOOKUP(B46,[0]!MQT,2,FALSE))," ")</f>
        <v xml:space="preserve"> </v>
      </c>
      <c r="D46" s="78" t="str">
        <f>IF(B46&lt;&gt;0,(VLOOKUP(B46,[0]!MQT,3,FALSE))," ")</f>
        <v xml:space="preserve"> </v>
      </c>
      <c r="E46" s="32"/>
      <c r="F46" s="79" t="str">
        <f>IF(B46&lt;&gt;0,(VLOOKUP(B46,[0]!MQT,5,FALSE))," ")</f>
        <v xml:space="preserve"> </v>
      </c>
      <c r="G46" s="31" t="str">
        <f t="shared" si="2"/>
        <v xml:space="preserve"> </v>
      </c>
    </row>
    <row r="47" spans="1:7" ht="24.75" customHeight="1" x14ac:dyDescent="0.3">
      <c r="A47" s="47" t="s">
        <v>2721</v>
      </c>
      <c r="B47" s="48"/>
      <c r="C47" s="77" t="str">
        <f>IF(B47&lt;&gt;0,(VLOOKUP(B47,[0]!MQT,2,FALSE))," ")</f>
        <v xml:space="preserve"> </v>
      </c>
      <c r="D47" s="78" t="str">
        <f>IF(B47&lt;&gt;0,(VLOOKUP(B47,[0]!MQT,3,FALSE))," ")</f>
        <v xml:space="preserve"> </v>
      </c>
      <c r="E47" s="32"/>
      <c r="F47" s="79" t="str">
        <f>IF(B47&lt;&gt;0,(VLOOKUP(B47,[0]!MQT,5,FALSE))," ")</f>
        <v xml:space="preserve"> </v>
      </c>
      <c r="G47" s="31" t="str">
        <f t="shared" si="2"/>
        <v xml:space="preserve"> </v>
      </c>
    </row>
    <row r="48" spans="1:7" ht="14.25" x14ac:dyDescent="0.3">
      <c r="A48" s="47" t="s">
        <v>2721</v>
      </c>
      <c r="B48" s="48"/>
      <c r="C48" s="77" t="str">
        <f>IF(B48&lt;&gt;0,(VLOOKUP(B48,[0]!MQT,2,FALSE))," ")</f>
        <v xml:space="preserve"> </v>
      </c>
      <c r="D48" s="78" t="str">
        <f>IF(B48&lt;&gt;0,(VLOOKUP(B48,[0]!MQT,3,FALSE))," ")</f>
        <v xml:space="preserve"> </v>
      </c>
      <c r="E48" s="32"/>
      <c r="F48" s="79" t="str">
        <f>IF(B48&lt;&gt;0,(VLOOKUP(B48,[0]!MQT,5,FALSE))," ")</f>
        <v xml:space="preserve"> </v>
      </c>
      <c r="G48" s="31" t="str">
        <f t="shared" si="2"/>
        <v xml:space="preserve"> </v>
      </c>
    </row>
    <row r="49" spans="1:7" ht="14.25" x14ac:dyDescent="0.3">
      <c r="A49" s="47" t="s">
        <v>2721</v>
      </c>
      <c r="B49" s="48"/>
      <c r="C49" s="77" t="str">
        <f>IF(B49&lt;&gt;0,(VLOOKUP(B49,[0]!MQT,2,FALSE))," ")</f>
        <v xml:space="preserve"> </v>
      </c>
      <c r="D49" s="78" t="str">
        <f>IF(B49&lt;&gt;0,(VLOOKUP(B49,[0]!MQT,3,FALSE))," ")</f>
        <v xml:space="preserve"> </v>
      </c>
      <c r="E49" s="32"/>
      <c r="F49" s="79" t="str">
        <f>IF(B49&lt;&gt;0,(VLOOKUP(B49,[0]!MQT,5,FALSE))," ")</f>
        <v xml:space="preserve"> </v>
      </c>
      <c r="G49" s="31" t="str">
        <f t="shared" si="2"/>
        <v xml:space="preserve"> </v>
      </c>
    </row>
    <row r="50" spans="1:7" ht="14.25" x14ac:dyDescent="0.3">
      <c r="A50" s="47" t="s">
        <v>2721</v>
      </c>
      <c r="B50" s="48"/>
      <c r="C50" s="77" t="str">
        <f>IF(B50&lt;&gt;0,(VLOOKUP(B50,[0]!MQT,2,FALSE))," ")</f>
        <v xml:space="preserve"> </v>
      </c>
      <c r="D50" s="78" t="str">
        <f>IF(B50&lt;&gt;0,(VLOOKUP(B50,[0]!MQT,3,FALSE))," ")</f>
        <v xml:space="preserve"> </v>
      </c>
      <c r="E50" s="32"/>
      <c r="F50" s="79" t="str">
        <f>IF(B50&lt;&gt;0,(VLOOKUP(B50,[0]!MQT,5,FALSE))," ")</f>
        <v xml:space="preserve"> </v>
      </c>
      <c r="G50" s="31" t="str">
        <f t="shared" si="2"/>
        <v xml:space="preserve"> </v>
      </c>
    </row>
    <row r="51" spans="1:7" ht="14.25" x14ac:dyDescent="0.3">
      <c r="A51" s="47" t="s">
        <v>2721</v>
      </c>
      <c r="B51" s="48"/>
      <c r="C51" s="77" t="str">
        <f>IF(B51&lt;&gt;0,(VLOOKUP(B51,[0]!MQT,2,FALSE))," ")</f>
        <v xml:space="preserve"> </v>
      </c>
      <c r="D51" s="78" t="str">
        <f>IF(B51&lt;&gt;0,(VLOOKUP(B51,[0]!MQT,3,FALSE))," ")</f>
        <v xml:space="preserve"> </v>
      </c>
      <c r="E51" s="32"/>
      <c r="F51" s="79" t="str">
        <f>IF(B51&lt;&gt;0,(VLOOKUP(B51,[0]!MQT,5,FALSE))," ")</f>
        <v xml:space="preserve"> </v>
      </c>
      <c r="G51" s="31" t="str">
        <f t="shared" si="2"/>
        <v xml:space="preserve"> </v>
      </c>
    </row>
    <row r="52" spans="1:7" ht="14.25" x14ac:dyDescent="0.3">
      <c r="A52" s="47" t="s">
        <v>2721</v>
      </c>
      <c r="B52" s="48"/>
      <c r="C52" s="77" t="str">
        <f>IF(B52&lt;&gt;0,(VLOOKUP(B52,[0]!MQT,2,FALSE))," ")</f>
        <v xml:space="preserve"> </v>
      </c>
      <c r="D52" s="78" t="str">
        <f>IF(B52&lt;&gt;0,(VLOOKUP(B52,[0]!MQT,3,FALSE))," ")</f>
        <v xml:space="preserve"> </v>
      </c>
      <c r="E52" s="32"/>
      <c r="F52" s="79" t="str">
        <f>IF(B52&lt;&gt;0,(VLOOKUP(B52,[0]!MQT,5,FALSE))," ")</f>
        <v xml:space="preserve"> </v>
      </c>
      <c r="G52" s="31" t="str">
        <f t="shared" si="2"/>
        <v xml:space="preserve"> </v>
      </c>
    </row>
    <row r="53" spans="1:7" ht="14.25" x14ac:dyDescent="0.3">
      <c r="A53" s="47" t="s">
        <v>2721</v>
      </c>
      <c r="B53" s="48"/>
      <c r="C53" s="77" t="str">
        <f>IF(B53&lt;&gt;0,(VLOOKUP(B53,[0]!MQT,2,FALSE))," ")</f>
        <v xml:space="preserve"> </v>
      </c>
      <c r="D53" s="78" t="str">
        <f>IF(B53&lt;&gt;0,(VLOOKUP(B53,[0]!MQT,3,FALSE))," ")</f>
        <v xml:space="preserve"> </v>
      </c>
      <c r="E53" s="32"/>
      <c r="F53" s="79" t="str">
        <f>IF(B53&lt;&gt;0,(VLOOKUP(B53,[0]!MQT,5,FALSE))," ")</f>
        <v xml:space="preserve"> </v>
      </c>
      <c r="G53" s="31" t="str">
        <f t="shared" si="2"/>
        <v xml:space="preserve"> </v>
      </c>
    </row>
    <row r="54" spans="1:7" ht="14.25" x14ac:dyDescent="0.3">
      <c r="A54" s="47" t="s">
        <v>2721</v>
      </c>
      <c r="B54" s="48"/>
      <c r="C54" s="77" t="str">
        <f>IF(B54&lt;&gt;0,(VLOOKUP(B54,[0]!MQT,2,FALSE))," ")</f>
        <v xml:space="preserve"> </v>
      </c>
      <c r="D54" s="78" t="str">
        <f>IF(B54&lt;&gt;0,(VLOOKUP(B54,[0]!MQT,3,FALSE))," ")</f>
        <v xml:space="preserve"> </v>
      </c>
      <c r="E54" s="32"/>
      <c r="F54" s="79" t="str">
        <f>IF(B54&lt;&gt;0,(VLOOKUP(B54,[0]!MQT,5,FALSE))," ")</f>
        <v xml:space="preserve"> </v>
      </c>
      <c r="G54" s="31" t="str">
        <f t="shared" si="2"/>
        <v xml:space="preserve"> </v>
      </c>
    </row>
    <row r="55" spans="1:7" ht="14.25" x14ac:dyDescent="0.3">
      <c r="A55" s="47" t="s">
        <v>2721</v>
      </c>
      <c r="B55" s="48"/>
      <c r="C55" s="77" t="str">
        <f>IF(B55&lt;&gt;0,(VLOOKUP(B55,[0]!MQT,2,FALSE))," ")</f>
        <v xml:space="preserve"> </v>
      </c>
      <c r="D55" s="78" t="str">
        <f>IF(B55&lt;&gt;0,(VLOOKUP(B55,[0]!MQT,3,FALSE))," ")</f>
        <v xml:space="preserve"> </v>
      </c>
      <c r="E55" s="32"/>
      <c r="F55" s="79" t="str">
        <f>IF(B55&lt;&gt;0,(VLOOKUP(B55,[0]!MQT,5,FALSE))," ")</f>
        <v xml:space="preserve"> </v>
      </c>
      <c r="G55" s="31" t="str">
        <f t="shared" si="2"/>
        <v xml:space="preserve"> </v>
      </c>
    </row>
    <row r="56" spans="1:7" ht="14.25" x14ac:dyDescent="0.3">
      <c r="A56" s="47" t="s">
        <v>2721</v>
      </c>
      <c r="B56" s="48"/>
      <c r="C56" s="77" t="str">
        <f>IF(B56&lt;&gt;0,(VLOOKUP(B56,[0]!MQT,2,FALSE))," ")</f>
        <v xml:space="preserve"> </v>
      </c>
      <c r="D56" s="78" t="str">
        <f>IF(B56&lt;&gt;0,(VLOOKUP(B56,[0]!MQT,3,FALSE))," ")</f>
        <v xml:space="preserve"> </v>
      </c>
      <c r="E56" s="32"/>
      <c r="F56" s="79" t="str">
        <f>IF(B56&lt;&gt;0,(VLOOKUP(B56,[0]!MQT,5,FALSE))," ")</f>
        <v xml:space="preserve"> </v>
      </c>
      <c r="G56" s="31" t="str">
        <f t="shared" si="2"/>
        <v xml:space="preserve"> </v>
      </c>
    </row>
    <row r="57" spans="1:7" ht="14.25" x14ac:dyDescent="0.3">
      <c r="A57" s="47" t="s">
        <v>2721</v>
      </c>
      <c r="B57" s="48"/>
      <c r="C57" s="77" t="str">
        <f>IF(B57&lt;&gt;0,(VLOOKUP(B57,[0]!MQT,2,FALSE))," ")</f>
        <v xml:space="preserve"> </v>
      </c>
      <c r="D57" s="78" t="str">
        <f>IF(B57&lt;&gt;0,(VLOOKUP(B57,[0]!MQT,3,FALSE))," ")</f>
        <v xml:space="preserve"> </v>
      </c>
      <c r="E57" s="32"/>
      <c r="F57" s="79" t="str">
        <f>IF(B57&lt;&gt;0,(VLOOKUP(B57,[0]!MQT,5,FALSE))," ")</f>
        <v xml:space="preserve"> </v>
      </c>
      <c r="G57" s="31" t="str">
        <f t="shared" si="2"/>
        <v xml:space="preserve"> </v>
      </c>
    </row>
    <row r="58" spans="1:7" ht="14.25" x14ac:dyDescent="0.3">
      <c r="A58" s="47" t="s">
        <v>2721</v>
      </c>
      <c r="B58" s="48"/>
      <c r="C58" s="77" t="str">
        <f>IF(B58&lt;&gt;0,(VLOOKUP(B58,[0]!MQT,2,FALSE))," ")</f>
        <v xml:space="preserve"> </v>
      </c>
      <c r="D58" s="78" t="str">
        <f>IF(B58&lt;&gt;0,(VLOOKUP(B58,[0]!MQT,3,FALSE))," ")</f>
        <v xml:space="preserve"> </v>
      </c>
      <c r="E58" s="32"/>
      <c r="F58" s="79" t="str">
        <f>IF(B58&lt;&gt;0,(VLOOKUP(B58,[0]!MQT,5,FALSE))," ")</f>
        <v xml:space="preserve"> </v>
      </c>
      <c r="G58" s="31" t="str">
        <f t="shared" si="2"/>
        <v xml:space="preserve"> </v>
      </c>
    </row>
    <row r="59" spans="1:7" ht="14.25" x14ac:dyDescent="0.3">
      <c r="A59" s="47" t="s">
        <v>2721</v>
      </c>
      <c r="B59" s="48"/>
      <c r="C59" s="77" t="str">
        <f>IF(B59&lt;&gt;0,(VLOOKUP(B59,[0]!MQT,2,FALSE))," ")</f>
        <v xml:space="preserve"> </v>
      </c>
      <c r="D59" s="78" t="str">
        <f>IF(B59&lt;&gt;0,(VLOOKUP(B59,[0]!MQT,3,FALSE))," ")</f>
        <v xml:space="preserve"> </v>
      </c>
      <c r="E59" s="32"/>
      <c r="F59" s="79" t="str">
        <f>IF(B59&lt;&gt;0,(VLOOKUP(B59,[0]!MQT,5,FALSE))," ")</f>
        <v xml:space="preserve"> </v>
      </c>
      <c r="G59" s="31" t="str">
        <f t="shared" si="2"/>
        <v xml:space="preserve"> </v>
      </c>
    </row>
    <row r="60" spans="1:7" ht="14.25" x14ac:dyDescent="0.3">
      <c r="A60" s="47" t="s">
        <v>2721</v>
      </c>
      <c r="B60" s="48"/>
      <c r="C60" s="77" t="str">
        <f>IF(B60&lt;&gt;0,(VLOOKUP(B60,[0]!MQT,2,FALSE))," ")</f>
        <v xml:space="preserve"> </v>
      </c>
      <c r="D60" s="78" t="str">
        <f>IF(B60&lt;&gt;0,(VLOOKUP(B60,[0]!MQT,3,FALSE))," ")</f>
        <v xml:space="preserve"> </v>
      </c>
      <c r="E60" s="32"/>
      <c r="F60" s="79" t="str">
        <f>IF(B60&lt;&gt;0,(VLOOKUP(B60,[0]!MQT,5,FALSE))," ")</f>
        <v xml:space="preserve"> </v>
      </c>
      <c r="G60" s="31" t="str">
        <f t="shared" si="2"/>
        <v xml:space="preserve"> </v>
      </c>
    </row>
    <row r="61" spans="1:7" ht="14.25" x14ac:dyDescent="0.3">
      <c r="A61" s="47" t="s">
        <v>2721</v>
      </c>
      <c r="B61" s="48"/>
      <c r="C61" s="77" t="str">
        <f>IF(B61&lt;&gt;0,(VLOOKUP(B61,[0]!MQT,2,FALSE))," ")</f>
        <v xml:space="preserve"> </v>
      </c>
      <c r="D61" s="78" t="str">
        <f>IF(B61&lt;&gt;0,(VLOOKUP(B61,[0]!MQT,3,FALSE))," ")</f>
        <v xml:space="preserve"> </v>
      </c>
      <c r="E61" s="32"/>
      <c r="F61" s="79" t="str">
        <f>IF(B61&lt;&gt;0,(VLOOKUP(B61,[0]!MQT,5,FALSE))," ")</f>
        <v xml:space="preserve"> </v>
      </c>
      <c r="G61" s="31" t="str">
        <f t="shared" si="2"/>
        <v xml:space="preserve"> </v>
      </c>
    </row>
    <row r="62" spans="1:7" ht="14.25" x14ac:dyDescent="0.3">
      <c r="A62" s="47" t="s">
        <v>2721</v>
      </c>
      <c r="B62" s="48"/>
      <c r="C62" s="77" t="str">
        <f>IF(B62&lt;&gt;0,(VLOOKUP(B62,[0]!MQT,2,FALSE))," ")</f>
        <v xml:space="preserve"> </v>
      </c>
      <c r="D62" s="78" t="str">
        <f>IF(B62&lt;&gt;0,(VLOOKUP(B62,[0]!MQT,3,FALSE))," ")</f>
        <v xml:space="preserve"> </v>
      </c>
      <c r="E62" s="32"/>
      <c r="F62" s="79" t="str">
        <f>IF(B62&lt;&gt;0,(VLOOKUP(B62,[0]!MQT,5,FALSE))," ")</f>
        <v xml:space="preserve"> </v>
      </c>
      <c r="G62" s="31" t="str">
        <f t="shared" si="2"/>
        <v xml:space="preserve"> </v>
      </c>
    </row>
    <row r="63" spans="1:7" ht="14.25" x14ac:dyDescent="0.3">
      <c r="A63" s="47" t="s">
        <v>2721</v>
      </c>
      <c r="B63" s="48"/>
      <c r="C63" s="77" t="str">
        <f>IF(B63&lt;&gt;0,(VLOOKUP(B63,[0]!MQT,2,FALSE))," ")</f>
        <v xml:space="preserve"> </v>
      </c>
      <c r="D63" s="78" t="str">
        <f>IF(B63&lt;&gt;0,(VLOOKUP(B63,[0]!MQT,3,FALSE))," ")</f>
        <v xml:space="preserve"> </v>
      </c>
      <c r="E63" s="32"/>
      <c r="F63" s="79" t="str">
        <f>IF(B63&lt;&gt;0,(VLOOKUP(B63,[0]!MQT,5,FALSE))," ")</f>
        <v xml:space="preserve"> </v>
      </c>
      <c r="G63" s="31" t="str">
        <f t="shared" si="2"/>
        <v xml:space="preserve"> </v>
      </c>
    </row>
    <row r="64" spans="1:7" ht="14.25" x14ac:dyDescent="0.3">
      <c r="A64" s="47" t="s">
        <v>2721</v>
      </c>
      <c r="B64" s="48"/>
      <c r="C64" s="77" t="str">
        <f>IF(B64&lt;&gt;0,(VLOOKUP(B64,[0]!MQT,2,FALSE))," ")</f>
        <v xml:space="preserve"> </v>
      </c>
      <c r="D64" s="78" t="str">
        <f>IF(B64&lt;&gt;0,(VLOOKUP(B64,[0]!MQT,3,FALSE))," ")</f>
        <v xml:space="preserve"> </v>
      </c>
      <c r="E64" s="32"/>
      <c r="F64" s="79" t="str">
        <f>IF(B64&lt;&gt;0,(VLOOKUP(B64,[0]!MQT,5,FALSE))," ")</f>
        <v xml:space="preserve"> </v>
      </c>
      <c r="G64" s="31" t="str">
        <f t="shared" si="2"/>
        <v xml:space="preserve"> </v>
      </c>
    </row>
    <row r="65" spans="1:7" ht="14.25" x14ac:dyDescent="0.3">
      <c r="A65" s="47" t="s">
        <v>2721</v>
      </c>
      <c r="B65" s="48"/>
      <c r="C65" s="77" t="str">
        <f>IF(B65&lt;&gt;0,(VLOOKUP(B65,[0]!MQT,2,FALSE))," ")</f>
        <v xml:space="preserve"> </v>
      </c>
      <c r="D65" s="78" t="str">
        <f>IF(B65&lt;&gt;0,(VLOOKUP(B65,[0]!MQT,3,FALSE))," ")</f>
        <v xml:space="preserve"> </v>
      </c>
      <c r="E65" s="32"/>
      <c r="F65" s="79" t="str">
        <f>IF(B65&lt;&gt;0,(VLOOKUP(B65,[0]!MQT,5,FALSE))," ")</f>
        <v xml:space="preserve"> </v>
      </c>
      <c r="G65" s="31" t="str">
        <f t="shared" si="2"/>
        <v xml:space="preserve"> </v>
      </c>
    </row>
    <row r="66" spans="1:7" ht="14.25" x14ac:dyDescent="0.3">
      <c r="B66" s="83"/>
      <c r="C66" s="84"/>
      <c r="D66" s="85"/>
      <c r="E66" s="86"/>
      <c r="F66" s="87"/>
      <c r="G66" s="88"/>
    </row>
    <row r="67" spans="1:7" x14ac:dyDescent="0.2">
      <c r="B67" s="97">
        <f>F9</f>
        <v>0</v>
      </c>
      <c r="C67" s="97"/>
      <c r="D67" s="97"/>
      <c r="E67" s="97"/>
      <c r="F67" s="97"/>
      <c r="G67" s="97"/>
    </row>
  </sheetData>
  <mergeCells count="18">
    <mergeCell ref="B7:G7"/>
    <mergeCell ref="C8:G8"/>
    <mergeCell ref="F9:G9"/>
    <mergeCell ref="D10:E10"/>
    <mergeCell ref="F10:G10"/>
    <mergeCell ref="D12:E12"/>
    <mergeCell ref="B19:G19"/>
    <mergeCell ref="D11:E11"/>
    <mergeCell ref="F11:G11"/>
    <mergeCell ref="B13:E13"/>
    <mergeCell ref="F13:G13"/>
    <mergeCell ref="B18:G18"/>
    <mergeCell ref="B67:G67"/>
    <mergeCell ref="B20:B21"/>
    <mergeCell ref="C20:C21"/>
    <mergeCell ref="D20:D21"/>
    <mergeCell ref="E20:E21"/>
    <mergeCell ref="G20:G21"/>
  </mergeCells>
  <conditionalFormatting sqref="F9:G11 B13 B15:G17 C9 C11 B18">
    <cfRule type="cellIs" dxfId="1" priority="5" stopIfTrue="1" operator="equal">
      <formula>0</formula>
    </cfRule>
  </conditionalFormatting>
  <dataValidations count="2">
    <dataValidation type="list" allowBlank="1" showInputMessage="1" showErrorMessage="1" sqref="C65439 WVJ982873 WLN982873 WBR982873 VRV982873 VHZ982873 UYD982873 UOH982873 UEL982873 TUP982873 TKT982873 TAX982873 SRB982873 SHF982873 RXJ982873 RNN982873 RDR982873 QTV982873 QJZ982873 QAD982873 PQH982873 PGL982873 OWP982873 OMT982873 OCX982873 NTB982873 NJF982873 MZJ982873 MPN982873 MFR982873 LVV982873 LLZ982873 LCD982873 KSH982873 KIL982873 JYP982873 JOT982873 JEX982873 IVB982873 ILF982873 IBJ982873 HRN982873 HHR982873 GXV982873 GNZ982873 GED982873 FUH982873 FKL982873 FAP982873 EQT982873 EGX982873 DXB982873 DNF982873 DDJ982873 CTN982873 CJR982873 BZV982873 BPZ982873 BGD982873 AWH982873 AML982873 ACP982873 ST982873 IX982873 C982943 WVJ917337 WLN917337 WBR917337 VRV917337 VHZ917337 UYD917337 UOH917337 UEL917337 TUP917337 TKT917337 TAX917337 SRB917337 SHF917337 RXJ917337 RNN917337 RDR917337 QTV917337 QJZ917337 QAD917337 PQH917337 PGL917337 OWP917337 OMT917337 OCX917337 NTB917337 NJF917337 MZJ917337 MPN917337 MFR917337 LVV917337 LLZ917337 LCD917337 KSH917337 KIL917337 JYP917337 JOT917337 JEX917337 IVB917337 ILF917337 IBJ917337 HRN917337 HHR917337 GXV917337 GNZ917337 GED917337 FUH917337 FKL917337 FAP917337 EQT917337 EGX917337 DXB917337 DNF917337 DDJ917337 CTN917337 CJR917337 BZV917337 BPZ917337 BGD917337 AWH917337 AML917337 ACP917337 ST917337 IX917337 C917407 WVJ851801 WLN851801 WBR851801 VRV851801 VHZ851801 UYD851801 UOH851801 UEL851801 TUP851801 TKT851801 TAX851801 SRB851801 SHF851801 RXJ851801 RNN851801 RDR851801 QTV851801 QJZ851801 QAD851801 PQH851801 PGL851801 OWP851801 OMT851801 OCX851801 NTB851801 NJF851801 MZJ851801 MPN851801 MFR851801 LVV851801 LLZ851801 LCD851801 KSH851801 KIL851801 JYP851801 JOT851801 JEX851801 IVB851801 ILF851801 IBJ851801 HRN851801 HHR851801 GXV851801 GNZ851801 GED851801 FUH851801 FKL851801 FAP851801 EQT851801 EGX851801 DXB851801 DNF851801 DDJ851801 CTN851801 CJR851801 BZV851801 BPZ851801 BGD851801 AWH851801 AML851801 ACP851801 ST851801 IX851801 C851871 WVJ786265 WLN786265 WBR786265 VRV786265 VHZ786265 UYD786265 UOH786265 UEL786265 TUP786265 TKT786265 TAX786265 SRB786265 SHF786265 RXJ786265 RNN786265 RDR786265 QTV786265 QJZ786265 QAD786265 PQH786265 PGL786265 OWP786265 OMT786265 OCX786265 NTB786265 NJF786265 MZJ786265 MPN786265 MFR786265 LVV786265 LLZ786265 LCD786265 KSH786265 KIL786265 JYP786265 JOT786265 JEX786265 IVB786265 ILF786265 IBJ786265 HRN786265 HHR786265 GXV786265 GNZ786265 GED786265 FUH786265 FKL786265 FAP786265 EQT786265 EGX786265 DXB786265 DNF786265 DDJ786265 CTN786265 CJR786265 BZV786265 BPZ786265 BGD786265 AWH786265 AML786265 ACP786265 ST786265 IX786265 C786335 WVJ720729 WLN720729 WBR720729 VRV720729 VHZ720729 UYD720729 UOH720729 UEL720729 TUP720729 TKT720729 TAX720729 SRB720729 SHF720729 RXJ720729 RNN720729 RDR720729 QTV720729 QJZ720729 QAD720729 PQH720729 PGL720729 OWP720729 OMT720729 OCX720729 NTB720729 NJF720729 MZJ720729 MPN720729 MFR720729 LVV720729 LLZ720729 LCD720729 KSH720729 KIL720729 JYP720729 JOT720729 JEX720729 IVB720729 ILF720729 IBJ720729 HRN720729 HHR720729 GXV720729 GNZ720729 GED720729 FUH720729 FKL720729 FAP720729 EQT720729 EGX720729 DXB720729 DNF720729 DDJ720729 CTN720729 CJR720729 BZV720729 BPZ720729 BGD720729 AWH720729 AML720729 ACP720729 ST720729 IX720729 C720799 WVJ655193 WLN655193 WBR655193 VRV655193 VHZ655193 UYD655193 UOH655193 UEL655193 TUP655193 TKT655193 TAX655193 SRB655193 SHF655193 RXJ655193 RNN655193 RDR655193 QTV655193 QJZ655193 QAD655193 PQH655193 PGL655193 OWP655193 OMT655193 OCX655193 NTB655193 NJF655193 MZJ655193 MPN655193 MFR655193 LVV655193 LLZ655193 LCD655193 KSH655193 KIL655193 JYP655193 JOT655193 JEX655193 IVB655193 ILF655193 IBJ655193 HRN655193 HHR655193 GXV655193 GNZ655193 GED655193 FUH655193 FKL655193 FAP655193 EQT655193 EGX655193 DXB655193 DNF655193 DDJ655193 CTN655193 CJR655193 BZV655193 BPZ655193 BGD655193 AWH655193 AML655193 ACP655193 ST655193 IX655193 C655263 WVJ589657 WLN589657 WBR589657 VRV589657 VHZ589657 UYD589657 UOH589657 UEL589657 TUP589657 TKT589657 TAX589657 SRB589657 SHF589657 RXJ589657 RNN589657 RDR589657 QTV589657 QJZ589657 QAD589657 PQH589657 PGL589657 OWP589657 OMT589657 OCX589657 NTB589657 NJF589657 MZJ589657 MPN589657 MFR589657 LVV589657 LLZ589657 LCD589657 KSH589657 KIL589657 JYP589657 JOT589657 JEX589657 IVB589657 ILF589657 IBJ589657 HRN589657 HHR589657 GXV589657 GNZ589657 GED589657 FUH589657 FKL589657 FAP589657 EQT589657 EGX589657 DXB589657 DNF589657 DDJ589657 CTN589657 CJR589657 BZV589657 BPZ589657 BGD589657 AWH589657 AML589657 ACP589657 ST589657 IX589657 C589727 WVJ524121 WLN524121 WBR524121 VRV524121 VHZ524121 UYD524121 UOH524121 UEL524121 TUP524121 TKT524121 TAX524121 SRB524121 SHF524121 RXJ524121 RNN524121 RDR524121 QTV524121 QJZ524121 QAD524121 PQH524121 PGL524121 OWP524121 OMT524121 OCX524121 NTB524121 NJF524121 MZJ524121 MPN524121 MFR524121 LVV524121 LLZ524121 LCD524121 KSH524121 KIL524121 JYP524121 JOT524121 JEX524121 IVB524121 ILF524121 IBJ524121 HRN524121 HHR524121 GXV524121 GNZ524121 GED524121 FUH524121 FKL524121 FAP524121 EQT524121 EGX524121 DXB524121 DNF524121 DDJ524121 CTN524121 CJR524121 BZV524121 BPZ524121 BGD524121 AWH524121 AML524121 ACP524121 ST524121 IX524121 C524191 WVJ458585 WLN458585 WBR458585 VRV458585 VHZ458585 UYD458585 UOH458585 UEL458585 TUP458585 TKT458585 TAX458585 SRB458585 SHF458585 RXJ458585 RNN458585 RDR458585 QTV458585 QJZ458585 QAD458585 PQH458585 PGL458585 OWP458585 OMT458585 OCX458585 NTB458585 NJF458585 MZJ458585 MPN458585 MFR458585 LVV458585 LLZ458585 LCD458585 KSH458585 KIL458585 JYP458585 JOT458585 JEX458585 IVB458585 ILF458585 IBJ458585 HRN458585 HHR458585 GXV458585 GNZ458585 GED458585 FUH458585 FKL458585 FAP458585 EQT458585 EGX458585 DXB458585 DNF458585 DDJ458585 CTN458585 CJR458585 BZV458585 BPZ458585 BGD458585 AWH458585 AML458585 ACP458585 ST458585 IX458585 C458655 WVJ393049 WLN393049 WBR393049 VRV393049 VHZ393049 UYD393049 UOH393049 UEL393049 TUP393049 TKT393049 TAX393049 SRB393049 SHF393049 RXJ393049 RNN393049 RDR393049 QTV393049 QJZ393049 QAD393049 PQH393049 PGL393049 OWP393049 OMT393049 OCX393049 NTB393049 NJF393049 MZJ393049 MPN393049 MFR393049 LVV393049 LLZ393049 LCD393049 KSH393049 KIL393049 JYP393049 JOT393049 JEX393049 IVB393049 ILF393049 IBJ393049 HRN393049 HHR393049 GXV393049 GNZ393049 GED393049 FUH393049 FKL393049 FAP393049 EQT393049 EGX393049 DXB393049 DNF393049 DDJ393049 CTN393049 CJR393049 BZV393049 BPZ393049 BGD393049 AWH393049 AML393049 ACP393049 ST393049 IX393049 C393119 WVJ327513 WLN327513 WBR327513 VRV327513 VHZ327513 UYD327513 UOH327513 UEL327513 TUP327513 TKT327513 TAX327513 SRB327513 SHF327513 RXJ327513 RNN327513 RDR327513 QTV327513 QJZ327513 QAD327513 PQH327513 PGL327513 OWP327513 OMT327513 OCX327513 NTB327513 NJF327513 MZJ327513 MPN327513 MFR327513 LVV327513 LLZ327513 LCD327513 KSH327513 KIL327513 JYP327513 JOT327513 JEX327513 IVB327513 ILF327513 IBJ327513 HRN327513 HHR327513 GXV327513 GNZ327513 GED327513 FUH327513 FKL327513 FAP327513 EQT327513 EGX327513 DXB327513 DNF327513 DDJ327513 CTN327513 CJR327513 BZV327513 BPZ327513 BGD327513 AWH327513 AML327513 ACP327513 ST327513 IX327513 C327583 WVJ261977 WLN261977 WBR261977 VRV261977 VHZ261977 UYD261977 UOH261977 UEL261977 TUP261977 TKT261977 TAX261977 SRB261977 SHF261977 RXJ261977 RNN261977 RDR261977 QTV261977 QJZ261977 QAD261977 PQH261977 PGL261977 OWP261977 OMT261977 OCX261977 NTB261977 NJF261977 MZJ261977 MPN261977 MFR261977 LVV261977 LLZ261977 LCD261977 KSH261977 KIL261977 JYP261977 JOT261977 JEX261977 IVB261977 ILF261977 IBJ261977 HRN261977 HHR261977 GXV261977 GNZ261977 GED261977 FUH261977 FKL261977 FAP261977 EQT261977 EGX261977 DXB261977 DNF261977 DDJ261977 CTN261977 CJR261977 BZV261977 BPZ261977 BGD261977 AWH261977 AML261977 ACP261977 ST261977 IX261977 C262047 WVJ196441 WLN196441 WBR196441 VRV196441 VHZ196441 UYD196441 UOH196441 UEL196441 TUP196441 TKT196441 TAX196441 SRB196441 SHF196441 RXJ196441 RNN196441 RDR196441 QTV196441 QJZ196441 QAD196441 PQH196441 PGL196441 OWP196441 OMT196441 OCX196441 NTB196441 NJF196441 MZJ196441 MPN196441 MFR196441 LVV196441 LLZ196441 LCD196441 KSH196441 KIL196441 JYP196441 JOT196441 JEX196441 IVB196441 ILF196441 IBJ196441 HRN196441 HHR196441 GXV196441 GNZ196441 GED196441 FUH196441 FKL196441 FAP196441 EQT196441 EGX196441 DXB196441 DNF196441 DDJ196441 CTN196441 CJR196441 BZV196441 BPZ196441 BGD196441 AWH196441 AML196441 ACP196441 ST196441 IX196441 C196511 WVJ130905 WLN130905 WBR130905 VRV130905 VHZ130905 UYD130905 UOH130905 UEL130905 TUP130905 TKT130905 TAX130905 SRB130905 SHF130905 RXJ130905 RNN130905 RDR130905 QTV130905 QJZ130905 QAD130905 PQH130905 PGL130905 OWP130905 OMT130905 OCX130905 NTB130905 NJF130905 MZJ130905 MPN130905 MFR130905 LVV130905 LLZ130905 LCD130905 KSH130905 KIL130905 JYP130905 JOT130905 JEX130905 IVB130905 ILF130905 IBJ130905 HRN130905 HHR130905 GXV130905 GNZ130905 GED130905 FUH130905 FKL130905 FAP130905 EQT130905 EGX130905 DXB130905 DNF130905 DDJ130905 CTN130905 CJR130905 BZV130905 BPZ130905 BGD130905 AWH130905 AML130905 ACP130905 ST130905 IX130905 C130975 WVJ65369 WLN65369 WBR65369 VRV65369 VHZ65369 UYD65369 UOH65369 UEL65369 TUP65369 TKT65369 TAX65369 SRB65369 SHF65369 RXJ65369 RNN65369 RDR65369 QTV65369 QJZ65369 QAD65369 PQH65369 PGL65369 OWP65369 OMT65369 OCX65369 NTB65369 NJF65369 MZJ65369 MPN65369 MFR65369 LVV65369 LLZ65369 LCD65369 KSH65369 KIL65369 JYP65369 JOT65369 JEX65369 IVB65369 ILF65369 IBJ65369 HRN65369 HHR65369 GXV65369 GNZ65369 GED65369 FUH65369 FKL65369 FAP65369 EQT65369 EGX65369 DXB65369 DNF65369 DDJ65369 CTN65369 CJR65369 BZV65369 BPZ65369 BGD65369 AWH65369 AML65369 ACP65369 ST65369 IX65369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WVK982917:WVN982917 WLO982917:WLR982917 WBS982917:WBV982917 VRW982917:VRZ982917 VIA982917:VID982917 UYE982917:UYH982917 UOI982917:UOL982917 UEM982917:UEP982917 TUQ982917:TUT982917 TKU982917:TKX982917 TAY982917:TBB982917 SRC982917:SRF982917 SHG982917:SHJ982917 RXK982917:RXN982917 RNO982917:RNR982917 RDS982917:RDV982917 QTW982917:QTZ982917 QKA982917:QKD982917 QAE982917:QAH982917 PQI982917:PQL982917 PGM982917:PGP982917 OWQ982917:OWT982917 OMU982917:OMX982917 OCY982917:ODB982917 NTC982917:NTF982917 NJG982917:NJJ982917 MZK982917:MZN982917 MPO982917:MPR982917 MFS982917:MFV982917 LVW982917:LVZ982917 LMA982917:LMD982917 LCE982917:LCH982917 KSI982917:KSL982917 KIM982917:KIP982917 JYQ982917:JYT982917 JOU982917:JOX982917 JEY982917:JFB982917 IVC982917:IVF982917 ILG982917:ILJ982917 IBK982917:IBN982917 HRO982917:HRR982917 HHS982917:HHV982917 GXW982917:GXZ982917 GOA982917:GOD982917 GEE982917:GEH982917 FUI982917:FUL982917 FKM982917:FKP982917 FAQ982917:FAT982917 EQU982917:EQX982917 EGY982917:EHB982917 DXC982917:DXF982917 DNG982917:DNJ982917 DDK982917:DDN982917 CTO982917:CTR982917 CJS982917:CJV982917 BZW982917:BZZ982917 BQA982917:BQD982917 BGE982917:BGH982917 AWI982917:AWL982917 AMM982917:AMP982917 ACQ982917:ACT982917 SU982917:SX982917 IY982917:JB982917 D982987:G982987 WVK917381:WVN917381 WLO917381:WLR917381 WBS917381:WBV917381 VRW917381:VRZ917381 VIA917381:VID917381 UYE917381:UYH917381 UOI917381:UOL917381 UEM917381:UEP917381 TUQ917381:TUT917381 TKU917381:TKX917381 TAY917381:TBB917381 SRC917381:SRF917381 SHG917381:SHJ917381 RXK917381:RXN917381 RNO917381:RNR917381 RDS917381:RDV917381 QTW917381:QTZ917381 QKA917381:QKD917381 QAE917381:QAH917381 PQI917381:PQL917381 PGM917381:PGP917381 OWQ917381:OWT917381 OMU917381:OMX917381 OCY917381:ODB917381 NTC917381:NTF917381 NJG917381:NJJ917381 MZK917381:MZN917381 MPO917381:MPR917381 MFS917381:MFV917381 LVW917381:LVZ917381 LMA917381:LMD917381 LCE917381:LCH917381 KSI917381:KSL917381 KIM917381:KIP917381 JYQ917381:JYT917381 JOU917381:JOX917381 JEY917381:JFB917381 IVC917381:IVF917381 ILG917381:ILJ917381 IBK917381:IBN917381 HRO917381:HRR917381 HHS917381:HHV917381 GXW917381:GXZ917381 GOA917381:GOD917381 GEE917381:GEH917381 FUI917381:FUL917381 FKM917381:FKP917381 FAQ917381:FAT917381 EQU917381:EQX917381 EGY917381:EHB917381 DXC917381:DXF917381 DNG917381:DNJ917381 DDK917381:DDN917381 CTO917381:CTR917381 CJS917381:CJV917381 BZW917381:BZZ917381 BQA917381:BQD917381 BGE917381:BGH917381 AWI917381:AWL917381 AMM917381:AMP917381 ACQ917381:ACT917381 SU917381:SX917381 IY917381:JB917381 D917451:G917451 WVK851845:WVN851845 WLO851845:WLR851845 WBS851845:WBV851845 VRW851845:VRZ851845 VIA851845:VID851845 UYE851845:UYH851845 UOI851845:UOL851845 UEM851845:UEP851845 TUQ851845:TUT851845 TKU851845:TKX851845 TAY851845:TBB851845 SRC851845:SRF851845 SHG851845:SHJ851845 RXK851845:RXN851845 RNO851845:RNR851845 RDS851845:RDV851845 QTW851845:QTZ851845 QKA851845:QKD851845 QAE851845:QAH851845 PQI851845:PQL851845 PGM851845:PGP851845 OWQ851845:OWT851845 OMU851845:OMX851845 OCY851845:ODB851845 NTC851845:NTF851845 NJG851845:NJJ851845 MZK851845:MZN851845 MPO851845:MPR851845 MFS851845:MFV851845 LVW851845:LVZ851845 LMA851845:LMD851845 LCE851845:LCH851845 KSI851845:KSL851845 KIM851845:KIP851845 JYQ851845:JYT851845 JOU851845:JOX851845 JEY851845:JFB851845 IVC851845:IVF851845 ILG851845:ILJ851845 IBK851845:IBN851845 HRO851845:HRR851845 HHS851845:HHV851845 GXW851845:GXZ851845 GOA851845:GOD851845 GEE851845:GEH851845 FUI851845:FUL851845 FKM851845:FKP851845 FAQ851845:FAT851845 EQU851845:EQX851845 EGY851845:EHB851845 DXC851845:DXF851845 DNG851845:DNJ851845 DDK851845:DDN851845 CTO851845:CTR851845 CJS851845:CJV851845 BZW851845:BZZ851845 BQA851845:BQD851845 BGE851845:BGH851845 AWI851845:AWL851845 AMM851845:AMP851845 ACQ851845:ACT851845 SU851845:SX851845 IY851845:JB851845 D851915:G851915 WVK786309:WVN786309 WLO786309:WLR786309 WBS786309:WBV786309 VRW786309:VRZ786309 VIA786309:VID786309 UYE786309:UYH786309 UOI786309:UOL786309 UEM786309:UEP786309 TUQ786309:TUT786309 TKU786309:TKX786309 TAY786309:TBB786309 SRC786309:SRF786309 SHG786309:SHJ786309 RXK786309:RXN786309 RNO786309:RNR786309 RDS786309:RDV786309 QTW786309:QTZ786309 QKA786309:QKD786309 QAE786309:QAH786309 PQI786309:PQL786309 PGM786309:PGP786309 OWQ786309:OWT786309 OMU786309:OMX786309 OCY786309:ODB786309 NTC786309:NTF786309 NJG786309:NJJ786309 MZK786309:MZN786309 MPO786309:MPR786309 MFS786309:MFV786309 LVW786309:LVZ786309 LMA786309:LMD786309 LCE786309:LCH786309 KSI786309:KSL786309 KIM786309:KIP786309 JYQ786309:JYT786309 JOU786309:JOX786309 JEY786309:JFB786309 IVC786309:IVF786309 ILG786309:ILJ786309 IBK786309:IBN786309 HRO786309:HRR786309 HHS786309:HHV786309 GXW786309:GXZ786309 GOA786309:GOD786309 GEE786309:GEH786309 FUI786309:FUL786309 FKM786309:FKP786309 FAQ786309:FAT786309 EQU786309:EQX786309 EGY786309:EHB786309 DXC786309:DXF786309 DNG786309:DNJ786309 DDK786309:DDN786309 CTO786309:CTR786309 CJS786309:CJV786309 BZW786309:BZZ786309 BQA786309:BQD786309 BGE786309:BGH786309 AWI786309:AWL786309 AMM786309:AMP786309 ACQ786309:ACT786309 SU786309:SX786309 IY786309:JB786309 D786379:G786379 WVK720773:WVN720773 WLO720773:WLR720773 WBS720773:WBV720773 VRW720773:VRZ720773 VIA720773:VID720773 UYE720773:UYH720773 UOI720773:UOL720773 UEM720773:UEP720773 TUQ720773:TUT720773 TKU720773:TKX720773 TAY720773:TBB720773 SRC720773:SRF720773 SHG720773:SHJ720773 RXK720773:RXN720773 RNO720773:RNR720773 RDS720773:RDV720773 QTW720773:QTZ720773 QKA720773:QKD720773 QAE720773:QAH720773 PQI720773:PQL720773 PGM720773:PGP720773 OWQ720773:OWT720773 OMU720773:OMX720773 OCY720773:ODB720773 NTC720773:NTF720773 NJG720773:NJJ720773 MZK720773:MZN720773 MPO720773:MPR720773 MFS720773:MFV720773 LVW720773:LVZ720773 LMA720773:LMD720773 LCE720773:LCH720773 KSI720773:KSL720773 KIM720773:KIP720773 JYQ720773:JYT720773 JOU720773:JOX720773 JEY720773:JFB720773 IVC720773:IVF720773 ILG720773:ILJ720773 IBK720773:IBN720773 HRO720773:HRR720773 HHS720773:HHV720773 GXW720773:GXZ720773 GOA720773:GOD720773 GEE720773:GEH720773 FUI720773:FUL720773 FKM720773:FKP720773 FAQ720773:FAT720773 EQU720773:EQX720773 EGY720773:EHB720773 DXC720773:DXF720773 DNG720773:DNJ720773 DDK720773:DDN720773 CTO720773:CTR720773 CJS720773:CJV720773 BZW720773:BZZ720773 BQA720773:BQD720773 BGE720773:BGH720773 AWI720773:AWL720773 AMM720773:AMP720773 ACQ720773:ACT720773 SU720773:SX720773 IY720773:JB720773 D720843:G720843 WVK655237:WVN655237 WLO655237:WLR655237 WBS655237:WBV655237 VRW655237:VRZ655237 VIA655237:VID655237 UYE655237:UYH655237 UOI655237:UOL655237 UEM655237:UEP655237 TUQ655237:TUT655237 TKU655237:TKX655237 TAY655237:TBB655237 SRC655237:SRF655237 SHG655237:SHJ655237 RXK655237:RXN655237 RNO655237:RNR655237 RDS655237:RDV655237 QTW655237:QTZ655237 QKA655237:QKD655237 QAE655237:QAH655237 PQI655237:PQL655237 PGM655237:PGP655237 OWQ655237:OWT655237 OMU655237:OMX655237 OCY655237:ODB655237 NTC655237:NTF655237 NJG655237:NJJ655237 MZK655237:MZN655237 MPO655237:MPR655237 MFS655237:MFV655237 LVW655237:LVZ655237 LMA655237:LMD655237 LCE655237:LCH655237 KSI655237:KSL655237 KIM655237:KIP655237 JYQ655237:JYT655237 JOU655237:JOX655237 JEY655237:JFB655237 IVC655237:IVF655237 ILG655237:ILJ655237 IBK655237:IBN655237 HRO655237:HRR655237 HHS655237:HHV655237 GXW655237:GXZ655237 GOA655237:GOD655237 GEE655237:GEH655237 FUI655237:FUL655237 FKM655237:FKP655237 FAQ655237:FAT655237 EQU655237:EQX655237 EGY655237:EHB655237 DXC655237:DXF655237 DNG655237:DNJ655237 DDK655237:DDN655237 CTO655237:CTR655237 CJS655237:CJV655237 BZW655237:BZZ655237 BQA655237:BQD655237 BGE655237:BGH655237 AWI655237:AWL655237 AMM655237:AMP655237 ACQ655237:ACT655237 SU655237:SX655237 IY655237:JB655237 D655307:G655307 WVK589701:WVN589701 WLO589701:WLR589701 WBS589701:WBV589701 VRW589701:VRZ589701 VIA589701:VID589701 UYE589701:UYH589701 UOI589701:UOL589701 UEM589701:UEP589701 TUQ589701:TUT589701 TKU589701:TKX589701 TAY589701:TBB589701 SRC589701:SRF589701 SHG589701:SHJ589701 RXK589701:RXN589701 RNO589701:RNR589701 RDS589701:RDV589701 QTW589701:QTZ589701 QKA589701:QKD589701 QAE589701:QAH589701 PQI589701:PQL589701 PGM589701:PGP589701 OWQ589701:OWT589701 OMU589701:OMX589701 OCY589701:ODB589701 NTC589701:NTF589701 NJG589701:NJJ589701 MZK589701:MZN589701 MPO589701:MPR589701 MFS589701:MFV589701 LVW589701:LVZ589701 LMA589701:LMD589701 LCE589701:LCH589701 KSI589701:KSL589701 KIM589701:KIP589701 JYQ589701:JYT589701 JOU589701:JOX589701 JEY589701:JFB589701 IVC589701:IVF589701 ILG589701:ILJ589701 IBK589701:IBN589701 HRO589701:HRR589701 HHS589701:HHV589701 GXW589701:GXZ589701 GOA589701:GOD589701 GEE589701:GEH589701 FUI589701:FUL589701 FKM589701:FKP589701 FAQ589701:FAT589701 EQU589701:EQX589701 EGY589701:EHB589701 DXC589701:DXF589701 DNG589701:DNJ589701 DDK589701:DDN589701 CTO589701:CTR589701 CJS589701:CJV589701 BZW589701:BZZ589701 BQA589701:BQD589701 BGE589701:BGH589701 AWI589701:AWL589701 AMM589701:AMP589701 ACQ589701:ACT589701 SU589701:SX589701 IY589701:JB589701 D589771:G589771 WVK524165:WVN524165 WLO524165:WLR524165 WBS524165:WBV524165 VRW524165:VRZ524165 VIA524165:VID524165 UYE524165:UYH524165 UOI524165:UOL524165 UEM524165:UEP524165 TUQ524165:TUT524165 TKU524165:TKX524165 TAY524165:TBB524165 SRC524165:SRF524165 SHG524165:SHJ524165 RXK524165:RXN524165 RNO524165:RNR524165 RDS524165:RDV524165 QTW524165:QTZ524165 QKA524165:QKD524165 QAE524165:QAH524165 PQI524165:PQL524165 PGM524165:PGP524165 OWQ524165:OWT524165 OMU524165:OMX524165 OCY524165:ODB524165 NTC524165:NTF524165 NJG524165:NJJ524165 MZK524165:MZN524165 MPO524165:MPR524165 MFS524165:MFV524165 LVW524165:LVZ524165 LMA524165:LMD524165 LCE524165:LCH524165 KSI524165:KSL524165 KIM524165:KIP524165 JYQ524165:JYT524165 JOU524165:JOX524165 JEY524165:JFB524165 IVC524165:IVF524165 ILG524165:ILJ524165 IBK524165:IBN524165 HRO524165:HRR524165 HHS524165:HHV524165 GXW524165:GXZ524165 GOA524165:GOD524165 GEE524165:GEH524165 FUI524165:FUL524165 FKM524165:FKP524165 FAQ524165:FAT524165 EQU524165:EQX524165 EGY524165:EHB524165 DXC524165:DXF524165 DNG524165:DNJ524165 DDK524165:DDN524165 CTO524165:CTR524165 CJS524165:CJV524165 BZW524165:BZZ524165 BQA524165:BQD524165 BGE524165:BGH524165 AWI524165:AWL524165 AMM524165:AMP524165 ACQ524165:ACT524165 SU524165:SX524165 IY524165:JB524165 D524235:G524235 WVK458629:WVN458629 WLO458629:WLR458629 WBS458629:WBV458629 VRW458629:VRZ458629 VIA458629:VID458629 UYE458629:UYH458629 UOI458629:UOL458629 UEM458629:UEP458629 TUQ458629:TUT458629 TKU458629:TKX458629 TAY458629:TBB458629 SRC458629:SRF458629 SHG458629:SHJ458629 RXK458629:RXN458629 RNO458629:RNR458629 RDS458629:RDV458629 QTW458629:QTZ458629 QKA458629:QKD458629 QAE458629:QAH458629 PQI458629:PQL458629 PGM458629:PGP458629 OWQ458629:OWT458629 OMU458629:OMX458629 OCY458629:ODB458629 NTC458629:NTF458629 NJG458629:NJJ458629 MZK458629:MZN458629 MPO458629:MPR458629 MFS458629:MFV458629 LVW458629:LVZ458629 LMA458629:LMD458629 LCE458629:LCH458629 KSI458629:KSL458629 KIM458629:KIP458629 JYQ458629:JYT458629 JOU458629:JOX458629 JEY458629:JFB458629 IVC458629:IVF458629 ILG458629:ILJ458629 IBK458629:IBN458629 HRO458629:HRR458629 HHS458629:HHV458629 GXW458629:GXZ458629 GOA458629:GOD458629 GEE458629:GEH458629 FUI458629:FUL458629 FKM458629:FKP458629 FAQ458629:FAT458629 EQU458629:EQX458629 EGY458629:EHB458629 DXC458629:DXF458629 DNG458629:DNJ458629 DDK458629:DDN458629 CTO458629:CTR458629 CJS458629:CJV458629 BZW458629:BZZ458629 BQA458629:BQD458629 BGE458629:BGH458629 AWI458629:AWL458629 AMM458629:AMP458629 ACQ458629:ACT458629 SU458629:SX458629 IY458629:JB458629 D458699:G458699 WVK393093:WVN393093 WLO393093:WLR393093 WBS393093:WBV393093 VRW393093:VRZ393093 VIA393093:VID393093 UYE393093:UYH393093 UOI393093:UOL393093 UEM393093:UEP393093 TUQ393093:TUT393093 TKU393093:TKX393093 TAY393093:TBB393093 SRC393093:SRF393093 SHG393093:SHJ393093 RXK393093:RXN393093 RNO393093:RNR393093 RDS393093:RDV393093 QTW393093:QTZ393093 QKA393093:QKD393093 QAE393093:QAH393093 PQI393093:PQL393093 PGM393093:PGP393093 OWQ393093:OWT393093 OMU393093:OMX393093 OCY393093:ODB393093 NTC393093:NTF393093 NJG393093:NJJ393093 MZK393093:MZN393093 MPO393093:MPR393093 MFS393093:MFV393093 LVW393093:LVZ393093 LMA393093:LMD393093 LCE393093:LCH393093 KSI393093:KSL393093 KIM393093:KIP393093 JYQ393093:JYT393093 JOU393093:JOX393093 JEY393093:JFB393093 IVC393093:IVF393093 ILG393093:ILJ393093 IBK393093:IBN393093 HRO393093:HRR393093 HHS393093:HHV393093 GXW393093:GXZ393093 GOA393093:GOD393093 GEE393093:GEH393093 FUI393093:FUL393093 FKM393093:FKP393093 FAQ393093:FAT393093 EQU393093:EQX393093 EGY393093:EHB393093 DXC393093:DXF393093 DNG393093:DNJ393093 DDK393093:DDN393093 CTO393093:CTR393093 CJS393093:CJV393093 BZW393093:BZZ393093 BQA393093:BQD393093 BGE393093:BGH393093 AWI393093:AWL393093 AMM393093:AMP393093 ACQ393093:ACT393093 SU393093:SX393093 IY393093:JB393093 D393163:G393163 WVK327557:WVN327557 WLO327557:WLR327557 WBS327557:WBV327557 VRW327557:VRZ327557 VIA327557:VID327557 UYE327557:UYH327557 UOI327557:UOL327557 UEM327557:UEP327557 TUQ327557:TUT327557 TKU327557:TKX327557 TAY327557:TBB327557 SRC327557:SRF327557 SHG327557:SHJ327557 RXK327557:RXN327557 RNO327557:RNR327557 RDS327557:RDV327557 QTW327557:QTZ327557 QKA327557:QKD327557 QAE327557:QAH327557 PQI327557:PQL327557 PGM327557:PGP327557 OWQ327557:OWT327557 OMU327557:OMX327557 OCY327557:ODB327557 NTC327557:NTF327557 NJG327557:NJJ327557 MZK327557:MZN327557 MPO327557:MPR327557 MFS327557:MFV327557 LVW327557:LVZ327557 LMA327557:LMD327557 LCE327557:LCH327557 KSI327557:KSL327557 KIM327557:KIP327557 JYQ327557:JYT327557 JOU327557:JOX327557 JEY327557:JFB327557 IVC327557:IVF327557 ILG327557:ILJ327557 IBK327557:IBN327557 HRO327557:HRR327557 HHS327557:HHV327557 GXW327557:GXZ327557 GOA327557:GOD327557 GEE327557:GEH327557 FUI327557:FUL327557 FKM327557:FKP327557 FAQ327557:FAT327557 EQU327557:EQX327557 EGY327557:EHB327557 DXC327557:DXF327557 DNG327557:DNJ327557 DDK327557:DDN327557 CTO327557:CTR327557 CJS327557:CJV327557 BZW327557:BZZ327557 BQA327557:BQD327557 BGE327557:BGH327557 AWI327557:AWL327557 AMM327557:AMP327557 ACQ327557:ACT327557 SU327557:SX327557 IY327557:JB327557 D327627:G327627 WVK262021:WVN262021 WLO262021:WLR262021 WBS262021:WBV262021 VRW262021:VRZ262021 VIA262021:VID262021 UYE262021:UYH262021 UOI262021:UOL262021 UEM262021:UEP262021 TUQ262021:TUT262021 TKU262021:TKX262021 TAY262021:TBB262021 SRC262021:SRF262021 SHG262021:SHJ262021 RXK262021:RXN262021 RNO262021:RNR262021 RDS262021:RDV262021 QTW262021:QTZ262021 QKA262021:QKD262021 QAE262021:QAH262021 PQI262021:PQL262021 PGM262021:PGP262021 OWQ262021:OWT262021 OMU262021:OMX262021 OCY262021:ODB262021 NTC262021:NTF262021 NJG262021:NJJ262021 MZK262021:MZN262021 MPO262021:MPR262021 MFS262021:MFV262021 LVW262021:LVZ262021 LMA262021:LMD262021 LCE262021:LCH262021 KSI262021:KSL262021 KIM262021:KIP262021 JYQ262021:JYT262021 JOU262021:JOX262021 JEY262021:JFB262021 IVC262021:IVF262021 ILG262021:ILJ262021 IBK262021:IBN262021 HRO262021:HRR262021 HHS262021:HHV262021 GXW262021:GXZ262021 GOA262021:GOD262021 GEE262021:GEH262021 FUI262021:FUL262021 FKM262021:FKP262021 FAQ262021:FAT262021 EQU262021:EQX262021 EGY262021:EHB262021 DXC262021:DXF262021 DNG262021:DNJ262021 DDK262021:DDN262021 CTO262021:CTR262021 CJS262021:CJV262021 BZW262021:BZZ262021 BQA262021:BQD262021 BGE262021:BGH262021 AWI262021:AWL262021 AMM262021:AMP262021 ACQ262021:ACT262021 SU262021:SX262021 IY262021:JB262021 D262091:G262091 WVK196485:WVN196485 WLO196485:WLR196485 WBS196485:WBV196485 VRW196485:VRZ196485 VIA196485:VID196485 UYE196485:UYH196485 UOI196485:UOL196485 UEM196485:UEP196485 TUQ196485:TUT196485 TKU196485:TKX196485 TAY196485:TBB196485 SRC196485:SRF196485 SHG196485:SHJ196485 RXK196485:RXN196485 RNO196485:RNR196485 RDS196485:RDV196485 QTW196485:QTZ196485 QKA196485:QKD196485 QAE196485:QAH196485 PQI196485:PQL196485 PGM196485:PGP196485 OWQ196485:OWT196485 OMU196485:OMX196485 OCY196485:ODB196485 NTC196485:NTF196485 NJG196485:NJJ196485 MZK196485:MZN196485 MPO196485:MPR196485 MFS196485:MFV196485 LVW196485:LVZ196485 LMA196485:LMD196485 LCE196485:LCH196485 KSI196485:KSL196485 KIM196485:KIP196485 JYQ196485:JYT196485 JOU196485:JOX196485 JEY196485:JFB196485 IVC196485:IVF196485 ILG196485:ILJ196485 IBK196485:IBN196485 HRO196485:HRR196485 HHS196485:HHV196485 GXW196485:GXZ196485 GOA196485:GOD196485 GEE196485:GEH196485 FUI196485:FUL196485 FKM196485:FKP196485 FAQ196485:FAT196485 EQU196485:EQX196485 EGY196485:EHB196485 DXC196485:DXF196485 DNG196485:DNJ196485 DDK196485:DDN196485 CTO196485:CTR196485 CJS196485:CJV196485 BZW196485:BZZ196485 BQA196485:BQD196485 BGE196485:BGH196485 AWI196485:AWL196485 AMM196485:AMP196485 ACQ196485:ACT196485 SU196485:SX196485 IY196485:JB196485 D196555:G196555 WVK130949:WVN130949 WLO130949:WLR130949 WBS130949:WBV130949 VRW130949:VRZ130949 VIA130949:VID130949 UYE130949:UYH130949 UOI130949:UOL130949 UEM130949:UEP130949 TUQ130949:TUT130949 TKU130949:TKX130949 TAY130949:TBB130949 SRC130949:SRF130949 SHG130949:SHJ130949 RXK130949:RXN130949 RNO130949:RNR130949 RDS130949:RDV130949 QTW130949:QTZ130949 QKA130949:QKD130949 QAE130949:QAH130949 PQI130949:PQL130949 PGM130949:PGP130949 OWQ130949:OWT130949 OMU130949:OMX130949 OCY130949:ODB130949 NTC130949:NTF130949 NJG130949:NJJ130949 MZK130949:MZN130949 MPO130949:MPR130949 MFS130949:MFV130949 LVW130949:LVZ130949 LMA130949:LMD130949 LCE130949:LCH130949 KSI130949:KSL130949 KIM130949:KIP130949 JYQ130949:JYT130949 JOU130949:JOX130949 JEY130949:JFB130949 IVC130949:IVF130949 ILG130949:ILJ130949 IBK130949:IBN130949 HRO130949:HRR130949 HHS130949:HHV130949 GXW130949:GXZ130949 GOA130949:GOD130949 GEE130949:GEH130949 FUI130949:FUL130949 FKM130949:FKP130949 FAQ130949:FAT130949 EQU130949:EQX130949 EGY130949:EHB130949 DXC130949:DXF130949 DNG130949:DNJ130949 DDK130949:DDN130949 CTO130949:CTR130949 CJS130949:CJV130949 BZW130949:BZZ130949 BQA130949:BQD130949 BGE130949:BGH130949 AWI130949:AWL130949 AMM130949:AMP130949 ACQ130949:ACT130949 SU130949:SX130949 IY130949:JB130949 D131019:G131019 WVK65413:WVN65413 WLO65413:WLR65413 WBS65413:WBV65413 VRW65413:VRZ65413 VIA65413:VID65413 UYE65413:UYH65413 UOI65413:UOL65413 UEM65413:UEP65413 TUQ65413:TUT65413 TKU65413:TKX65413 TAY65413:TBB65413 SRC65413:SRF65413 SHG65413:SHJ65413 RXK65413:RXN65413 RNO65413:RNR65413 RDS65413:RDV65413 QTW65413:QTZ65413 QKA65413:QKD65413 QAE65413:QAH65413 PQI65413:PQL65413 PGM65413:PGP65413 OWQ65413:OWT65413 OMU65413:OMX65413 OCY65413:ODB65413 NTC65413:NTF65413 NJG65413:NJJ65413 MZK65413:MZN65413 MPO65413:MPR65413 MFS65413:MFV65413 LVW65413:LVZ65413 LMA65413:LMD65413 LCE65413:LCH65413 KSI65413:KSL65413 KIM65413:KIP65413 JYQ65413:JYT65413 JOU65413:JOX65413 JEY65413:JFB65413 IVC65413:IVF65413 ILG65413:ILJ65413 IBK65413:IBN65413 HRO65413:HRR65413 HHS65413:HHV65413 GXW65413:GXZ65413 GOA65413:GOD65413 GEE65413:GEH65413 FUI65413:FUL65413 FKM65413:FKP65413 FAQ65413:FAT65413 EQU65413:EQX65413 EGY65413:EHB65413 DXC65413:DXF65413 DNG65413:DNJ65413 DDK65413:DDN65413 CTO65413:CTR65413 CJS65413:CJV65413 BZW65413:BZZ65413 BQA65413:BQD65413 BGE65413:BGH65413 AWI65413:AWL65413 AMM65413:AMP65413 ACQ65413:ACT65413 SU65413:SX65413 IY65413:JB65413 D65483:G65483" xr:uid="{F66D1BDC-8A13-40C8-A490-9A1EDD0DF890}">
      <formula1>#REF!</formula1>
    </dataValidation>
    <dataValidation type="list" allowBlank="1" showInputMessage="1" showErrorMessage="1" sqref="WVJ982915 C65481 IX65411 ST65411 ACP65411 AML65411 AWH65411 BGD65411 BPZ65411 BZV65411 CJR65411 CTN65411 DDJ65411 DNF65411 DXB65411 EGX65411 EQT65411 FAP65411 FKL65411 FUH65411 GED65411 GNZ65411 GXV65411 HHR65411 HRN65411 IBJ65411 ILF65411 IVB65411 JEX65411 JOT65411 JYP65411 KIL65411 KSH65411 LCD65411 LLZ65411 LVV65411 MFR65411 MPN65411 MZJ65411 NJF65411 NTB65411 OCX65411 OMT65411 OWP65411 PGL65411 PQH65411 QAD65411 QJZ65411 QTV65411 RDR65411 RNN65411 RXJ65411 SHF65411 SRB65411 TAX65411 TKT65411 TUP65411 UEL65411 UOH65411 UYD65411 VHZ65411 VRV65411 WBR65411 WLN65411 WVJ65411 C131017 IX130947 ST130947 ACP130947 AML130947 AWH130947 BGD130947 BPZ130947 BZV130947 CJR130947 CTN130947 DDJ130947 DNF130947 DXB130947 EGX130947 EQT130947 FAP130947 FKL130947 FUH130947 GED130947 GNZ130947 GXV130947 HHR130947 HRN130947 IBJ130947 ILF130947 IVB130947 JEX130947 JOT130947 JYP130947 KIL130947 KSH130947 LCD130947 LLZ130947 LVV130947 MFR130947 MPN130947 MZJ130947 NJF130947 NTB130947 OCX130947 OMT130947 OWP130947 PGL130947 PQH130947 QAD130947 QJZ130947 QTV130947 RDR130947 RNN130947 RXJ130947 SHF130947 SRB130947 TAX130947 TKT130947 TUP130947 UEL130947 UOH130947 UYD130947 VHZ130947 VRV130947 WBR130947 WLN130947 WVJ130947 C196553 IX196483 ST196483 ACP196483 AML196483 AWH196483 BGD196483 BPZ196483 BZV196483 CJR196483 CTN196483 DDJ196483 DNF196483 DXB196483 EGX196483 EQT196483 FAP196483 FKL196483 FUH196483 GED196483 GNZ196483 GXV196483 HHR196483 HRN196483 IBJ196483 ILF196483 IVB196483 JEX196483 JOT196483 JYP196483 KIL196483 KSH196483 LCD196483 LLZ196483 LVV196483 MFR196483 MPN196483 MZJ196483 NJF196483 NTB196483 OCX196483 OMT196483 OWP196483 PGL196483 PQH196483 QAD196483 QJZ196483 QTV196483 RDR196483 RNN196483 RXJ196483 SHF196483 SRB196483 TAX196483 TKT196483 TUP196483 UEL196483 UOH196483 UYD196483 VHZ196483 VRV196483 WBR196483 WLN196483 WVJ196483 C262089 IX262019 ST262019 ACP262019 AML262019 AWH262019 BGD262019 BPZ262019 BZV262019 CJR262019 CTN262019 DDJ262019 DNF262019 DXB262019 EGX262019 EQT262019 FAP262019 FKL262019 FUH262019 GED262019 GNZ262019 GXV262019 HHR262019 HRN262019 IBJ262019 ILF262019 IVB262019 JEX262019 JOT262019 JYP262019 KIL262019 KSH262019 LCD262019 LLZ262019 LVV262019 MFR262019 MPN262019 MZJ262019 NJF262019 NTB262019 OCX262019 OMT262019 OWP262019 PGL262019 PQH262019 QAD262019 QJZ262019 QTV262019 RDR262019 RNN262019 RXJ262019 SHF262019 SRB262019 TAX262019 TKT262019 TUP262019 UEL262019 UOH262019 UYD262019 VHZ262019 VRV262019 WBR262019 WLN262019 WVJ262019 C327625 IX327555 ST327555 ACP327555 AML327555 AWH327555 BGD327555 BPZ327555 BZV327555 CJR327555 CTN327555 DDJ327555 DNF327555 DXB327555 EGX327555 EQT327555 FAP327555 FKL327555 FUH327555 GED327555 GNZ327555 GXV327555 HHR327555 HRN327555 IBJ327555 ILF327555 IVB327555 JEX327555 JOT327555 JYP327555 KIL327555 KSH327555 LCD327555 LLZ327555 LVV327555 MFR327555 MPN327555 MZJ327555 NJF327555 NTB327555 OCX327555 OMT327555 OWP327555 PGL327555 PQH327555 QAD327555 QJZ327555 QTV327555 RDR327555 RNN327555 RXJ327555 SHF327555 SRB327555 TAX327555 TKT327555 TUP327555 UEL327555 UOH327555 UYD327555 VHZ327555 VRV327555 WBR327555 WLN327555 WVJ327555 C393161 IX393091 ST393091 ACP393091 AML393091 AWH393091 BGD393091 BPZ393091 BZV393091 CJR393091 CTN393091 DDJ393091 DNF393091 DXB393091 EGX393091 EQT393091 FAP393091 FKL393091 FUH393091 GED393091 GNZ393091 GXV393091 HHR393091 HRN393091 IBJ393091 ILF393091 IVB393091 JEX393091 JOT393091 JYP393091 KIL393091 KSH393091 LCD393091 LLZ393091 LVV393091 MFR393091 MPN393091 MZJ393091 NJF393091 NTB393091 OCX393091 OMT393091 OWP393091 PGL393091 PQH393091 QAD393091 QJZ393091 QTV393091 RDR393091 RNN393091 RXJ393091 SHF393091 SRB393091 TAX393091 TKT393091 TUP393091 UEL393091 UOH393091 UYD393091 VHZ393091 VRV393091 WBR393091 WLN393091 WVJ393091 C458697 IX458627 ST458627 ACP458627 AML458627 AWH458627 BGD458627 BPZ458627 BZV458627 CJR458627 CTN458627 DDJ458627 DNF458627 DXB458627 EGX458627 EQT458627 FAP458627 FKL458627 FUH458627 GED458627 GNZ458627 GXV458627 HHR458627 HRN458627 IBJ458627 ILF458627 IVB458627 JEX458627 JOT458627 JYP458627 KIL458627 KSH458627 LCD458627 LLZ458627 LVV458627 MFR458627 MPN458627 MZJ458627 NJF458627 NTB458627 OCX458627 OMT458627 OWP458627 PGL458627 PQH458627 QAD458627 QJZ458627 QTV458627 RDR458627 RNN458627 RXJ458627 SHF458627 SRB458627 TAX458627 TKT458627 TUP458627 UEL458627 UOH458627 UYD458627 VHZ458627 VRV458627 WBR458627 WLN458627 WVJ458627 C524233 IX524163 ST524163 ACP524163 AML524163 AWH524163 BGD524163 BPZ524163 BZV524163 CJR524163 CTN524163 DDJ524163 DNF524163 DXB524163 EGX524163 EQT524163 FAP524163 FKL524163 FUH524163 GED524163 GNZ524163 GXV524163 HHR524163 HRN524163 IBJ524163 ILF524163 IVB524163 JEX524163 JOT524163 JYP524163 KIL524163 KSH524163 LCD524163 LLZ524163 LVV524163 MFR524163 MPN524163 MZJ524163 NJF524163 NTB524163 OCX524163 OMT524163 OWP524163 PGL524163 PQH524163 QAD524163 QJZ524163 QTV524163 RDR524163 RNN524163 RXJ524163 SHF524163 SRB524163 TAX524163 TKT524163 TUP524163 UEL524163 UOH524163 UYD524163 VHZ524163 VRV524163 WBR524163 WLN524163 WVJ524163 C589769 IX589699 ST589699 ACP589699 AML589699 AWH589699 BGD589699 BPZ589699 BZV589699 CJR589699 CTN589699 DDJ589699 DNF589699 DXB589699 EGX589699 EQT589699 FAP589699 FKL589699 FUH589699 GED589699 GNZ589699 GXV589699 HHR589699 HRN589699 IBJ589699 ILF589699 IVB589699 JEX589699 JOT589699 JYP589699 KIL589699 KSH589699 LCD589699 LLZ589699 LVV589699 MFR589699 MPN589699 MZJ589699 NJF589699 NTB589699 OCX589699 OMT589699 OWP589699 PGL589699 PQH589699 QAD589699 QJZ589699 QTV589699 RDR589699 RNN589699 RXJ589699 SHF589699 SRB589699 TAX589699 TKT589699 TUP589699 UEL589699 UOH589699 UYD589699 VHZ589699 VRV589699 WBR589699 WLN589699 WVJ589699 C655305 IX655235 ST655235 ACP655235 AML655235 AWH655235 BGD655235 BPZ655235 BZV655235 CJR655235 CTN655235 DDJ655235 DNF655235 DXB655235 EGX655235 EQT655235 FAP655235 FKL655235 FUH655235 GED655235 GNZ655235 GXV655235 HHR655235 HRN655235 IBJ655235 ILF655235 IVB655235 JEX655235 JOT655235 JYP655235 KIL655235 KSH655235 LCD655235 LLZ655235 LVV655235 MFR655235 MPN655235 MZJ655235 NJF655235 NTB655235 OCX655235 OMT655235 OWP655235 PGL655235 PQH655235 QAD655235 QJZ655235 QTV655235 RDR655235 RNN655235 RXJ655235 SHF655235 SRB655235 TAX655235 TKT655235 TUP655235 UEL655235 UOH655235 UYD655235 VHZ655235 VRV655235 WBR655235 WLN655235 WVJ655235 C720841 IX720771 ST720771 ACP720771 AML720771 AWH720771 BGD720771 BPZ720771 BZV720771 CJR720771 CTN720771 DDJ720771 DNF720771 DXB720771 EGX720771 EQT720771 FAP720771 FKL720771 FUH720771 GED720771 GNZ720771 GXV720771 HHR720771 HRN720771 IBJ720771 ILF720771 IVB720771 JEX720771 JOT720771 JYP720771 KIL720771 KSH720771 LCD720771 LLZ720771 LVV720771 MFR720771 MPN720771 MZJ720771 NJF720771 NTB720771 OCX720771 OMT720771 OWP720771 PGL720771 PQH720771 QAD720771 QJZ720771 QTV720771 RDR720771 RNN720771 RXJ720771 SHF720771 SRB720771 TAX720771 TKT720771 TUP720771 UEL720771 UOH720771 UYD720771 VHZ720771 VRV720771 WBR720771 WLN720771 WVJ720771 C786377 IX786307 ST786307 ACP786307 AML786307 AWH786307 BGD786307 BPZ786307 BZV786307 CJR786307 CTN786307 DDJ786307 DNF786307 DXB786307 EGX786307 EQT786307 FAP786307 FKL786307 FUH786307 GED786307 GNZ786307 GXV786307 HHR786307 HRN786307 IBJ786307 ILF786307 IVB786307 JEX786307 JOT786307 JYP786307 KIL786307 KSH786307 LCD786307 LLZ786307 LVV786307 MFR786307 MPN786307 MZJ786307 NJF786307 NTB786307 OCX786307 OMT786307 OWP786307 PGL786307 PQH786307 QAD786307 QJZ786307 QTV786307 RDR786307 RNN786307 RXJ786307 SHF786307 SRB786307 TAX786307 TKT786307 TUP786307 UEL786307 UOH786307 UYD786307 VHZ786307 VRV786307 WBR786307 WLN786307 WVJ786307 C851913 IX851843 ST851843 ACP851843 AML851843 AWH851843 BGD851843 BPZ851843 BZV851843 CJR851843 CTN851843 DDJ851843 DNF851843 DXB851843 EGX851843 EQT851843 FAP851843 FKL851843 FUH851843 GED851843 GNZ851843 GXV851843 HHR851843 HRN851843 IBJ851843 ILF851843 IVB851843 JEX851843 JOT851843 JYP851843 KIL851843 KSH851843 LCD851843 LLZ851843 LVV851843 MFR851843 MPN851843 MZJ851843 NJF851843 NTB851843 OCX851843 OMT851843 OWP851843 PGL851843 PQH851843 QAD851843 QJZ851843 QTV851843 RDR851843 RNN851843 RXJ851843 SHF851843 SRB851843 TAX851843 TKT851843 TUP851843 UEL851843 UOH851843 UYD851843 VHZ851843 VRV851843 WBR851843 WLN851843 WVJ851843 C917449 IX917379 ST917379 ACP917379 AML917379 AWH917379 BGD917379 BPZ917379 BZV917379 CJR917379 CTN917379 DDJ917379 DNF917379 DXB917379 EGX917379 EQT917379 FAP917379 FKL917379 FUH917379 GED917379 GNZ917379 GXV917379 HHR917379 HRN917379 IBJ917379 ILF917379 IVB917379 JEX917379 JOT917379 JYP917379 KIL917379 KSH917379 LCD917379 LLZ917379 LVV917379 MFR917379 MPN917379 MZJ917379 NJF917379 NTB917379 OCX917379 OMT917379 OWP917379 PGL917379 PQH917379 QAD917379 QJZ917379 QTV917379 RDR917379 RNN917379 RXJ917379 SHF917379 SRB917379 TAX917379 TKT917379 TUP917379 UEL917379 UOH917379 UYD917379 VHZ917379 VRV917379 WBR917379 WLN917379 WVJ917379 C982985 IX982915 ST982915 ACP982915 AML982915 AWH982915 BGD982915 BPZ982915 BZV982915 CJR982915 CTN982915 DDJ982915 DNF982915 DXB982915 EGX982915 EQT982915 FAP982915 FKL982915 FUH982915 GED982915 GNZ982915 GXV982915 HHR982915 HRN982915 IBJ982915 ILF982915 IVB982915 JEX982915 JOT982915 JYP982915 KIL982915 KSH982915 LCD982915 LLZ982915 LVV982915 MFR982915 MPN982915 MZJ982915 NJF982915 NTB982915 OCX982915 OMT982915 OWP982915 PGL982915 PQH982915 QAD982915 QJZ982915 QTV982915 RDR982915 RNN982915 RXJ982915 SHF982915 SRB982915 TAX982915 TKT982915 TUP982915 UEL982915 UOH982915 UYD982915 VHZ982915 VRV982915 WBR982915 WLN982915" xr:uid="{CE912EA9-43A6-4959-A621-1A5D0C4D30B4}">
      <formula1>Requerentes</formula1>
    </dataValidation>
  </dataValidations>
  <pageMargins left="0.9055118110236221" right="0.15748031496062992" top="0.27559055118110237" bottom="0.19685039370078741" header="0.15748031496062992" footer="0.19685039370078741"/>
  <pageSetup paperSize="9" orientation="landscape" horizontalDpi="4294967294" r:id="rId1"/>
  <headerFooter alignWithMargins="0">
    <oddHeader xml:space="preserve">&amp;R&amp;8Pág.&amp;P/&amp;N&amp;10
</oddHead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9C067B8-6626-47AD-A0A1-EE4374F8B38D}">
          <x14:formula1>
            <xm:f>Dados!$A$4:$A$7</xm:f>
          </x14:formula1>
          <xm:sqref>C9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441EB-7469-4BD5-A6B6-AE5A153FFDC8}">
  <sheetPr codeName="Folha3"/>
  <dimension ref="A2:E1458"/>
  <sheetViews>
    <sheetView topLeftCell="A432" workbookViewId="0">
      <selection activeCell="A433" sqref="A433"/>
    </sheetView>
  </sheetViews>
  <sheetFormatPr defaultColWidth="9.140625" defaultRowHeight="12.75" x14ac:dyDescent="0.2"/>
  <cols>
    <col min="1" max="1" width="27" bestFit="1" customWidth="1"/>
    <col min="2" max="2" width="57.5703125" style="68" customWidth="1"/>
    <col min="3" max="4" width="10.5703125" customWidth="1"/>
    <col min="5" max="5" width="17.28515625" customWidth="1"/>
  </cols>
  <sheetData>
    <row r="2" spans="1:5" ht="15.75" x14ac:dyDescent="0.25">
      <c r="A2" s="29" t="s">
        <v>2706</v>
      </c>
      <c r="B2" s="28"/>
      <c r="C2" s="27"/>
      <c r="D2" s="27"/>
    </row>
    <row r="3" spans="1:5" ht="16.5" thickBot="1" x14ac:dyDescent="0.3">
      <c r="A3" s="29"/>
      <c r="B3" s="28"/>
      <c r="C3" s="27"/>
      <c r="D3" s="27"/>
      <c r="E3" s="27"/>
    </row>
    <row r="4" spans="1:5" ht="16.5" customHeight="1" x14ac:dyDescent="0.2">
      <c r="A4" s="26"/>
      <c r="B4" s="25"/>
      <c r="C4" s="24"/>
      <c r="D4" s="24"/>
      <c r="E4" s="23"/>
    </row>
    <row r="5" spans="1:5" ht="25.5" x14ac:dyDescent="0.2">
      <c r="A5" s="22" t="s">
        <v>2705</v>
      </c>
      <c r="B5" s="21" t="s">
        <v>2704</v>
      </c>
      <c r="C5" s="20" t="s">
        <v>2703</v>
      </c>
      <c r="D5" s="20" t="s">
        <v>2702</v>
      </c>
      <c r="E5" s="19" t="s">
        <v>2701</v>
      </c>
    </row>
    <row r="6" spans="1:5" x14ac:dyDescent="0.2">
      <c r="A6" s="18" t="s">
        <v>2729</v>
      </c>
      <c r="B6" s="17" t="s">
        <v>2700</v>
      </c>
      <c r="C6" s="61"/>
      <c r="D6" s="16"/>
      <c r="E6" s="62"/>
    </row>
    <row r="7" spans="1:5" x14ac:dyDescent="0.2">
      <c r="A7" s="15" t="s">
        <v>2699</v>
      </c>
      <c r="B7" s="6" t="s">
        <v>2698</v>
      </c>
      <c r="C7" s="5"/>
      <c r="D7" s="5"/>
      <c r="E7" s="62"/>
    </row>
    <row r="8" spans="1:5" ht="28.5" customHeight="1" x14ac:dyDescent="0.2">
      <c r="A8" s="7" t="s">
        <v>2697</v>
      </c>
      <c r="B8" s="14" t="s">
        <v>2696</v>
      </c>
      <c r="C8" s="5"/>
      <c r="D8" s="5"/>
      <c r="E8" s="62"/>
    </row>
    <row r="9" spans="1:5" x14ac:dyDescent="0.2">
      <c r="A9" s="7" t="s">
        <v>2695</v>
      </c>
      <c r="B9" s="6" t="s">
        <v>2694</v>
      </c>
      <c r="C9" s="13"/>
      <c r="D9" s="13"/>
      <c r="E9" s="62"/>
    </row>
    <row r="10" spans="1:5" x14ac:dyDescent="0.2">
      <c r="A10" s="7" t="s">
        <v>2693</v>
      </c>
      <c r="B10" s="6" t="s">
        <v>2692</v>
      </c>
      <c r="C10" s="5"/>
      <c r="D10" s="5"/>
      <c r="E10" s="4"/>
    </row>
    <row r="11" spans="1:5" x14ac:dyDescent="0.2">
      <c r="A11" s="7" t="s">
        <v>2691</v>
      </c>
      <c r="B11" s="6" t="s">
        <v>2690</v>
      </c>
      <c r="C11" s="5"/>
      <c r="D11" s="5"/>
      <c r="E11" s="4"/>
    </row>
    <row r="12" spans="1:5" ht="36.75" customHeight="1" x14ac:dyDescent="0.2">
      <c r="A12" s="63" t="s">
        <v>2689</v>
      </c>
      <c r="B12" s="64" t="s">
        <v>2688</v>
      </c>
      <c r="C12" s="8" t="s">
        <v>70</v>
      </c>
      <c r="D12" s="8" t="s">
        <v>3</v>
      </c>
      <c r="E12" s="4">
        <v>14.41</v>
      </c>
    </row>
    <row r="13" spans="1:5" x14ac:dyDescent="0.2">
      <c r="A13" s="63" t="s">
        <v>2687</v>
      </c>
      <c r="B13" s="64" t="s">
        <v>2686</v>
      </c>
      <c r="C13" s="8" t="s">
        <v>70</v>
      </c>
      <c r="D13" s="8" t="s">
        <v>3</v>
      </c>
      <c r="E13" s="4">
        <v>16.8</v>
      </c>
    </row>
    <row r="14" spans="1:5" x14ac:dyDescent="0.2">
      <c r="A14" s="63" t="s">
        <v>2685</v>
      </c>
      <c r="B14" s="64" t="s">
        <v>2684</v>
      </c>
      <c r="C14" s="8" t="s">
        <v>70</v>
      </c>
      <c r="D14" s="8" t="s">
        <v>3</v>
      </c>
      <c r="E14" s="4">
        <v>19.2</v>
      </c>
    </row>
    <row r="15" spans="1:5" x14ac:dyDescent="0.2">
      <c r="A15" s="63" t="s">
        <v>2683</v>
      </c>
      <c r="B15" s="64" t="s">
        <v>2679</v>
      </c>
      <c r="C15" s="8" t="s">
        <v>70</v>
      </c>
      <c r="D15" s="8" t="s">
        <v>3</v>
      </c>
      <c r="E15" s="4">
        <v>25.21</v>
      </c>
    </row>
    <row r="16" spans="1:5" ht="25.5" x14ac:dyDescent="0.2">
      <c r="A16" s="63" t="s">
        <v>2682</v>
      </c>
      <c r="B16" s="64" t="s">
        <v>2681</v>
      </c>
      <c r="C16" s="8" t="s">
        <v>70</v>
      </c>
      <c r="D16" s="8" t="s">
        <v>3</v>
      </c>
      <c r="E16" s="4">
        <v>22.27</v>
      </c>
    </row>
    <row r="17" spans="1:5" x14ac:dyDescent="0.2">
      <c r="A17" s="63" t="s">
        <v>2680</v>
      </c>
      <c r="B17" s="64" t="s">
        <v>2679</v>
      </c>
      <c r="C17" s="8" t="s">
        <v>70</v>
      </c>
      <c r="D17" s="8" t="s">
        <v>3</v>
      </c>
      <c r="E17" s="4">
        <v>33.409999999999997</v>
      </c>
    </row>
    <row r="18" spans="1:5" ht="25.5" x14ac:dyDescent="0.2">
      <c r="A18" s="63" t="s">
        <v>2678</v>
      </c>
      <c r="B18" s="64" t="s">
        <v>2677</v>
      </c>
      <c r="C18" s="8" t="s">
        <v>143</v>
      </c>
      <c r="D18" s="8" t="s">
        <v>160</v>
      </c>
      <c r="E18" s="4">
        <v>236.47</v>
      </c>
    </row>
    <row r="19" spans="1:5" x14ac:dyDescent="0.2">
      <c r="A19" s="63" t="s">
        <v>2676</v>
      </c>
      <c r="B19" s="64" t="s">
        <v>2675</v>
      </c>
      <c r="C19" s="8" t="s">
        <v>143</v>
      </c>
      <c r="D19" s="8" t="s">
        <v>160</v>
      </c>
      <c r="E19" s="4">
        <v>244.99</v>
      </c>
    </row>
    <row r="20" spans="1:5" x14ac:dyDescent="0.2">
      <c r="A20" s="63" t="s">
        <v>2674</v>
      </c>
      <c r="B20" s="64" t="s">
        <v>2673</v>
      </c>
      <c r="C20" s="8" t="s">
        <v>70</v>
      </c>
      <c r="D20" s="8" t="s">
        <v>3</v>
      </c>
      <c r="E20" s="4">
        <v>15.87</v>
      </c>
    </row>
    <row r="21" spans="1:5" x14ac:dyDescent="0.2">
      <c r="A21" s="63" t="s">
        <v>2672</v>
      </c>
      <c r="B21" s="64" t="s">
        <v>2671</v>
      </c>
      <c r="C21" s="8" t="s">
        <v>70</v>
      </c>
      <c r="D21" s="8" t="s">
        <v>3</v>
      </c>
      <c r="E21" s="4">
        <v>33.409999999999997</v>
      </c>
    </row>
    <row r="22" spans="1:5" ht="25.5" x14ac:dyDescent="0.2">
      <c r="A22" s="63" t="s">
        <v>2670</v>
      </c>
      <c r="B22" s="64" t="s">
        <v>2669</v>
      </c>
      <c r="C22" s="8" t="s">
        <v>136</v>
      </c>
      <c r="D22" s="8" t="s">
        <v>3</v>
      </c>
      <c r="E22" s="4">
        <v>2.38</v>
      </c>
    </row>
    <row r="23" spans="1:5" ht="25.5" x14ac:dyDescent="0.2">
      <c r="A23" s="63" t="s">
        <v>2668</v>
      </c>
      <c r="B23" s="64" t="s">
        <v>2667</v>
      </c>
      <c r="C23" s="8" t="s">
        <v>70</v>
      </c>
      <c r="D23" s="8" t="s">
        <v>3</v>
      </c>
      <c r="E23" s="4">
        <v>7.94</v>
      </c>
    </row>
    <row r="24" spans="1:5" x14ac:dyDescent="0.2">
      <c r="A24" s="63" t="s">
        <v>2666</v>
      </c>
      <c r="B24" s="64" t="s">
        <v>2665</v>
      </c>
      <c r="C24" s="8" t="s">
        <v>70</v>
      </c>
      <c r="D24" s="8" t="s">
        <v>3</v>
      </c>
      <c r="E24" s="4">
        <v>10.84</v>
      </c>
    </row>
    <row r="25" spans="1:5" x14ac:dyDescent="0.2">
      <c r="A25" s="7" t="s">
        <v>2664</v>
      </c>
      <c r="B25" s="6" t="s">
        <v>2663</v>
      </c>
      <c r="C25" s="65"/>
      <c r="D25" s="5"/>
      <c r="E25" s="4">
        <v>0</v>
      </c>
    </row>
    <row r="26" spans="1:5" ht="25.5" x14ac:dyDescent="0.2">
      <c r="A26" s="63" t="s">
        <v>2662</v>
      </c>
      <c r="B26" s="64" t="s">
        <v>2661</v>
      </c>
      <c r="C26" s="8" t="s">
        <v>136</v>
      </c>
      <c r="D26" s="8" t="s">
        <v>3</v>
      </c>
      <c r="E26" s="4">
        <v>0.79</v>
      </c>
    </row>
    <row r="27" spans="1:5" x14ac:dyDescent="0.2">
      <c r="A27" s="63" t="s">
        <v>2660</v>
      </c>
      <c r="B27" s="64" t="s">
        <v>2659</v>
      </c>
      <c r="C27" s="8" t="s">
        <v>143</v>
      </c>
      <c r="D27" s="8" t="s">
        <v>3</v>
      </c>
      <c r="E27" s="4">
        <v>3.17</v>
      </c>
    </row>
    <row r="28" spans="1:5" x14ac:dyDescent="0.2">
      <c r="A28" s="63" t="s">
        <v>2658</v>
      </c>
      <c r="B28" s="64" t="s">
        <v>2657</v>
      </c>
      <c r="C28" s="8" t="s">
        <v>143</v>
      </c>
      <c r="D28" s="8" t="s">
        <v>3</v>
      </c>
      <c r="E28" s="4">
        <v>3.17</v>
      </c>
    </row>
    <row r="29" spans="1:5" ht="25.5" x14ac:dyDescent="0.2">
      <c r="A29" s="63" t="s">
        <v>2656</v>
      </c>
      <c r="B29" s="64" t="s">
        <v>2655</v>
      </c>
      <c r="C29" s="8" t="s">
        <v>143</v>
      </c>
      <c r="D29" s="8" t="s">
        <v>3</v>
      </c>
      <c r="E29" s="4">
        <v>3.17</v>
      </c>
    </row>
    <row r="30" spans="1:5" x14ac:dyDescent="0.2">
      <c r="A30" s="63" t="s">
        <v>2654</v>
      </c>
      <c r="B30" s="64" t="s">
        <v>2653</v>
      </c>
      <c r="C30" s="8" t="s">
        <v>143</v>
      </c>
      <c r="D30" s="8" t="s">
        <v>3</v>
      </c>
      <c r="E30" s="4">
        <v>48.02</v>
      </c>
    </row>
    <row r="31" spans="1:5" x14ac:dyDescent="0.2">
      <c r="A31" s="63" t="s">
        <v>2652</v>
      </c>
      <c r="B31" s="64" t="s">
        <v>2651</v>
      </c>
      <c r="C31" s="8" t="s">
        <v>143</v>
      </c>
      <c r="D31" s="8" t="s">
        <v>3</v>
      </c>
      <c r="E31" s="4">
        <v>55.68</v>
      </c>
    </row>
    <row r="32" spans="1:5" x14ac:dyDescent="0.2">
      <c r="A32" s="63" t="s">
        <v>2650</v>
      </c>
      <c r="B32" s="64" t="s">
        <v>2649</v>
      </c>
      <c r="C32" s="8" t="s">
        <v>143</v>
      </c>
      <c r="D32" s="8" t="s">
        <v>3</v>
      </c>
      <c r="E32" s="4">
        <v>7.94</v>
      </c>
    </row>
    <row r="33" spans="1:5" ht="51" x14ac:dyDescent="0.2">
      <c r="A33" s="63" t="s">
        <v>2648</v>
      </c>
      <c r="B33" s="64" t="s">
        <v>2647</v>
      </c>
      <c r="C33" s="8" t="s">
        <v>136</v>
      </c>
      <c r="D33" s="8" t="s">
        <v>3</v>
      </c>
      <c r="E33" s="4">
        <v>1.1100000000000001</v>
      </c>
    </row>
    <row r="34" spans="1:5" ht="63.75" x14ac:dyDescent="0.2">
      <c r="A34" s="63" t="s">
        <v>2646</v>
      </c>
      <c r="B34" s="64" t="s">
        <v>2645</v>
      </c>
      <c r="C34" s="8" t="s">
        <v>136</v>
      </c>
      <c r="D34" s="8" t="s">
        <v>3</v>
      </c>
      <c r="E34" s="4">
        <v>1.9</v>
      </c>
    </row>
    <row r="35" spans="1:5" ht="25.5" x14ac:dyDescent="0.2">
      <c r="A35" s="63" t="s">
        <v>2644</v>
      </c>
      <c r="B35" s="64" t="s">
        <v>2643</v>
      </c>
      <c r="C35" s="8" t="s">
        <v>136</v>
      </c>
      <c r="D35" s="8" t="s">
        <v>3</v>
      </c>
      <c r="E35" s="4">
        <v>1.59</v>
      </c>
    </row>
    <row r="36" spans="1:5" ht="38.25" x14ac:dyDescent="0.2">
      <c r="A36" s="63" t="s">
        <v>2642</v>
      </c>
      <c r="B36" s="64" t="s">
        <v>2641</v>
      </c>
      <c r="C36" s="8" t="s">
        <v>4</v>
      </c>
      <c r="D36" s="8" t="s">
        <v>3</v>
      </c>
      <c r="E36" s="4">
        <v>158.75</v>
      </c>
    </row>
    <row r="37" spans="1:5" ht="38.25" x14ac:dyDescent="0.2">
      <c r="A37" s="63" t="s">
        <v>2640</v>
      </c>
      <c r="B37" s="64" t="s">
        <v>2639</v>
      </c>
      <c r="C37" s="8" t="s">
        <v>4</v>
      </c>
      <c r="D37" s="8" t="s">
        <v>3</v>
      </c>
      <c r="E37" s="4">
        <v>277.35000000000002</v>
      </c>
    </row>
    <row r="38" spans="1:5" ht="38.25" x14ac:dyDescent="0.2">
      <c r="A38" s="63" t="s">
        <v>2638</v>
      </c>
      <c r="B38" s="64" t="s">
        <v>2637</v>
      </c>
      <c r="C38" s="8" t="s">
        <v>4</v>
      </c>
      <c r="D38" s="8" t="s">
        <v>3</v>
      </c>
      <c r="E38" s="4">
        <v>66</v>
      </c>
    </row>
    <row r="39" spans="1:5" x14ac:dyDescent="0.2">
      <c r="A39" s="63" t="s">
        <v>2636</v>
      </c>
      <c r="B39" s="64" t="s">
        <v>2635</v>
      </c>
      <c r="C39" s="8" t="s">
        <v>4</v>
      </c>
      <c r="D39" s="8" t="s">
        <v>3</v>
      </c>
      <c r="E39" s="4">
        <v>99</v>
      </c>
    </row>
    <row r="40" spans="1:5" x14ac:dyDescent="0.2">
      <c r="A40" s="63" t="s">
        <v>2634</v>
      </c>
      <c r="B40" s="64" t="s">
        <v>2633</v>
      </c>
      <c r="C40" s="8" t="s">
        <v>4</v>
      </c>
      <c r="D40" s="8" t="s">
        <v>3</v>
      </c>
      <c r="E40" s="4">
        <v>198</v>
      </c>
    </row>
    <row r="41" spans="1:5" ht="25.5" x14ac:dyDescent="0.2">
      <c r="A41" s="63" t="s">
        <v>2632</v>
      </c>
      <c r="B41" s="64" t="s">
        <v>2631</v>
      </c>
      <c r="C41" s="8" t="s">
        <v>4</v>
      </c>
      <c r="D41" s="8" t="s">
        <v>3</v>
      </c>
      <c r="E41" s="4">
        <v>90.2</v>
      </c>
    </row>
    <row r="42" spans="1:5" x14ac:dyDescent="0.2">
      <c r="A42" s="63" t="s">
        <v>2630</v>
      </c>
      <c r="B42" s="64" t="s">
        <v>2629</v>
      </c>
      <c r="C42" s="8" t="s">
        <v>4</v>
      </c>
      <c r="D42" s="8" t="s">
        <v>3</v>
      </c>
      <c r="E42" s="4">
        <v>33</v>
      </c>
    </row>
    <row r="43" spans="1:5" ht="25.5" x14ac:dyDescent="0.2">
      <c r="A43" s="63" t="s">
        <v>2628</v>
      </c>
      <c r="B43" s="64" t="s">
        <v>2627</v>
      </c>
      <c r="C43" s="8" t="s">
        <v>4</v>
      </c>
      <c r="D43" s="8" t="s">
        <v>3</v>
      </c>
      <c r="E43" s="4">
        <v>7.94</v>
      </c>
    </row>
    <row r="44" spans="1:5" ht="25.5" x14ac:dyDescent="0.2">
      <c r="A44" s="63" t="s">
        <v>2626</v>
      </c>
      <c r="B44" s="64" t="s">
        <v>2625</v>
      </c>
      <c r="C44" s="8" t="s">
        <v>136</v>
      </c>
      <c r="D44" s="8" t="s">
        <v>3</v>
      </c>
      <c r="E44" s="4">
        <v>1.59</v>
      </c>
    </row>
    <row r="45" spans="1:5" x14ac:dyDescent="0.2">
      <c r="A45" s="7" t="s">
        <v>2624</v>
      </c>
      <c r="B45" s="6" t="s">
        <v>2623</v>
      </c>
      <c r="C45" s="65"/>
      <c r="D45" s="5"/>
      <c r="E45" s="4">
        <v>0</v>
      </c>
    </row>
    <row r="46" spans="1:5" x14ac:dyDescent="0.2">
      <c r="A46" s="7" t="s">
        <v>2622</v>
      </c>
      <c r="B46" s="6" t="s">
        <v>2621</v>
      </c>
      <c r="C46" s="65"/>
      <c r="D46" s="5"/>
      <c r="E46" s="4">
        <v>0</v>
      </c>
    </row>
    <row r="47" spans="1:5" ht="38.25" x14ac:dyDescent="0.2">
      <c r="A47" s="63" t="s">
        <v>2620</v>
      </c>
      <c r="B47" s="64" t="s">
        <v>2619</v>
      </c>
      <c r="C47" s="8" t="s">
        <v>136</v>
      </c>
      <c r="D47" s="8" t="s">
        <v>3</v>
      </c>
      <c r="E47" s="4">
        <v>9.6</v>
      </c>
    </row>
    <row r="48" spans="1:5" x14ac:dyDescent="0.2">
      <c r="A48" s="63" t="s">
        <v>2618</v>
      </c>
      <c r="B48" s="64" t="s">
        <v>2605</v>
      </c>
      <c r="C48" s="8" t="s">
        <v>136</v>
      </c>
      <c r="D48" s="8" t="s">
        <v>3</v>
      </c>
      <c r="E48" s="4">
        <v>11.41</v>
      </c>
    </row>
    <row r="49" spans="1:5" x14ac:dyDescent="0.2">
      <c r="A49" s="63" t="s">
        <v>2617</v>
      </c>
      <c r="B49" s="64" t="s">
        <v>2611</v>
      </c>
      <c r="C49" s="8" t="s">
        <v>136</v>
      </c>
      <c r="D49" s="8" t="s">
        <v>3</v>
      </c>
      <c r="E49" s="4">
        <v>12.24</v>
      </c>
    </row>
    <row r="50" spans="1:5" x14ac:dyDescent="0.2">
      <c r="A50" s="63" t="s">
        <v>2616</v>
      </c>
      <c r="B50" s="64" t="s">
        <v>2609</v>
      </c>
      <c r="C50" s="8" t="s">
        <v>136</v>
      </c>
      <c r="D50" s="8" t="s">
        <v>3</v>
      </c>
      <c r="E50" s="4">
        <v>13.36</v>
      </c>
    </row>
    <row r="51" spans="1:5" ht="25.5" x14ac:dyDescent="0.2">
      <c r="A51" s="63" t="s">
        <v>2615</v>
      </c>
      <c r="B51" s="64" t="s">
        <v>2614</v>
      </c>
      <c r="C51" s="8" t="s">
        <v>136</v>
      </c>
      <c r="D51" s="8" t="s">
        <v>3</v>
      </c>
      <c r="E51" s="4">
        <v>8.4</v>
      </c>
    </row>
    <row r="52" spans="1:5" x14ac:dyDescent="0.2">
      <c r="A52" s="63" t="s">
        <v>2613</v>
      </c>
      <c r="B52" s="64" t="s">
        <v>2605</v>
      </c>
      <c r="C52" s="8" t="s">
        <v>136</v>
      </c>
      <c r="D52" s="8" t="s">
        <v>3</v>
      </c>
      <c r="E52" s="4">
        <v>9</v>
      </c>
    </row>
    <row r="53" spans="1:5" x14ac:dyDescent="0.2">
      <c r="A53" s="63" t="s">
        <v>2612</v>
      </c>
      <c r="B53" s="64" t="s">
        <v>2611</v>
      </c>
      <c r="C53" s="8" t="s">
        <v>136</v>
      </c>
      <c r="D53" s="8" t="s">
        <v>3</v>
      </c>
      <c r="E53" s="4">
        <v>8.91</v>
      </c>
    </row>
    <row r="54" spans="1:5" x14ac:dyDescent="0.2">
      <c r="A54" s="63" t="s">
        <v>2610</v>
      </c>
      <c r="B54" s="64" t="s">
        <v>2609</v>
      </c>
      <c r="C54" s="8" t="s">
        <v>136</v>
      </c>
      <c r="D54" s="8" t="s">
        <v>3</v>
      </c>
      <c r="E54" s="4">
        <v>11.4</v>
      </c>
    </row>
    <row r="55" spans="1:5" ht="25.5" x14ac:dyDescent="0.2">
      <c r="A55" s="63" t="s">
        <v>2608</v>
      </c>
      <c r="B55" s="64" t="s">
        <v>2607</v>
      </c>
      <c r="C55" s="8" t="s">
        <v>136</v>
      </c>
      <c r="D55" s="8" t="s">
        <v>3</v>
      </c>
      <c r="E55" s="4">
        <v>15</v>
      </c>
    </row>
    <row r="56" spans="1:5" x14ac:dyDescent="0.2">
      <c r="A56" s="63" t="s">
        <v>2606</v>
      </c>
      <c r="B56" s="64" t="s">
        <v>2605</v>
      </c>
      <c r="C56" s="8" t="s">
        <v>136</v>
      </c>
      <c r="D56" s="8" t="s">
        <v>3</v>
      </c>
      <c r="E56" s="4">
        <v>16.8</v>
      </c>
    </row>
    <row r="57" spans="1:5" x14ac:dyDescent="0.2">
      <c r="A57" s="63" t="s">
        <v>2604</v>
      </c>
      <c r="B57" s="64" t="s">
        <v>2603</v>
      </c>
      <c r="C57" s="8" t="s">
        <v>136</v>
      </c>
      <c r="D57" s="8" t="s">
        <v>3</v>
      </c>
      <c r="E57" s="4">
        <v>19.2</v>
      </c>
    </row>
    <row r="58" spans="1:5" x14ac:dyDescent="0.2">
      <c r="A58" s="63" t="s">
        <v>2602</v>
      </c>
      <c r="B58" s="64" t="s">
        <v>2601</v>
      </c>
      <c r="C58" s="8" t="s">
        <v>136</v>
      </c>
      <c r="D58" s="8" t="s">
        <v>3</v>
      </c>
      <c r="E58" s="4">
        <v>21.61</v>
      </c>
    </row>
    <row r="59" spans="1:5" x14ac:dyDescent="0.2">
      <c r="A59" s="63" t="s">
        <v>2600</v>
      </c>
      <c r="B59" s="64" t="s">
        <v>2599</v>
      </c>
      <c r="C59" s="8" t="s">
        <v>70</v>
      </c>
      <c r="D59" s="8" t="s">
        <v>3</v>
      </c>
      <c r="E59" s="4">
        <v>60.03</v>
      </c>
    </row>
    <row r="60" spans="1:5" x14ac:dyDescent="0.2">
      <c r="A60" s="63" t="s">
        <v>2598</v>
      </c>
      <c r="B60" s="64" t="s">
        <v>2597</v>
      </c>
      <c r="C60" s="8" t="s">
        <v>136</v>
      </c>
      <c r="D60" s="8" t="s">
        <v>3</v>
      </c>
      <c r="E60" s="4">
        <v>11.14</v>
      </c>
    </row>
    <row r="61" spans="1:5" x14ac:dyDescent="0.2">
      <c r="A61" s="63" t="s">
        <v>2596</v>
      </c>
      <c r="B61" s="64" t="s">
        <v>2595</v>
      </c>
      <c r="C61" s="8" t="s">
        <v>136</v>
      </c>
      <c r="D61" s="8" t="s">
        <v>3</v>
      </c>
      <c r="E61" s="4">
        <v>6.35</v>
      </c>
    </row>
    <row r="62" spans="1:5" x14ac:dyDescent="0.2">
      <c r="A62" s="63" t="s">
        <v>2594</v>
      </c>
      <c r="B62" s="64" t="s">
        <v>2593</v>
      </c>
      <c r="C62" s="8" t="s">
        <v>136</v>
      </c>
      <c r="D62" s="8" t="s">
        <v>3</v>
      </c>
      <c r="E62" s="4">
        <v>4.76</v>
      </c>
    </row>
    <row r="63" spans="1:5" x14ac:dyDescent="0.2">
      <c r="A63" s="63" t="s">
        <v>2592</v>
      </c>
      <c r="B63" s="64" t="s">
        <v>2591</v>
      </c>
      <c r="C63" s="8" t="s">
        <v>143</v>
      </c>
      <c r="D63" s="8" t="s">
        <v>3</v>
      </c>
      <c r="E63" s="4">
        <v>7.94</v>
      </c>
    </row>
    <row r="64" spans="1:5" x14ac:dyDescent="0.2">
      <c r="A64" s="63" t="s">
        <v>2590</v>
      </c>
      <c r="B64" s="64" t="s">
        <v>2589</v>
      </c>
      <c r="C64" s="8" t="s">
        <v>136</v>
      </c>
      <c r="D64" s="8" t="s">
        <v>3</v>
      </c>
      <c r="E64" s="4">
        <v>8.4</v>
      </c>
    </row>
    <row r="65" spans="1:5" ht="25.5" x14ac:dyDescent="0.2">
      <c r="A65" s="63" t="s">
        <v>2588</v>
      </c>
      <c r="B65" s="64" t="s">
        <v>2587</v>
      </c>
      <c r="C65" s="8" t="s">
        <v>136</v>
      </c>
      <c r="D65" s="8" t="s">
        <v>3</v>
      </c>
      <c r="E65" s="4">
        <v>7.94</v>
      </c>
    </row>
    <row r="66" spans="1:5" x14ac:dyDescent="0.2">
      <c r="A66" s="63" t="s">
        <v>2586</v>
      </c>
      <c r="B66" s="64" t="s">
        <v>2585</v>
      </c>
      <c r="C66" s="8" t="s">
        <v>136</v>
      </c>
      <c r="D66" s="8" t="s">
        <v>3</v>
      </c>
      <c r="E66" s="4">
        <v>24.01</v>
      </c>
    </row>
    <row r="67" spans="1:5" x14ac:dyDescent="0.2">
      <c r="A67" s="63" t="s">
        <v>2584</v>
      </c>
      <c r="B67" s="64" t="s">
        <v>2583</v>
      </c>
      <c r="C67" s="8" t="s">
        <v>136</v>
      </c>
      <c r="D67" s="8" t="s">
        <v>3</v>
      </c>
      <c r="E67" s="4">
        <v>15.87</v>
      </c>
    </row>
    <row r="68" spans="1:5" x14ac:dyDescent="0.2">
      <c r="A68" s="7" t="s">
        <v>2582</v>
      </c>
      <c r="B68" s="6" t="s">
        <v>2581</v>
      </c>
      <c r="C68" s="5"/>
      <c r="D68" s="5"/>
      <c r="E68" s="4">
        <v>0</v>
      </c>
    </row>
    <row r="69" spans="1:5" ht="25.5" x14ac:dyDescent="0.2">
      <c r="A69" s="63" t="s">
        <v>2580</v>
      </c>
      <c r="B69" s="64" t="s">
        <v>2579</v>
      </c>
      <c r="C69" s="8" t="s">
        <v>136</v>
      </c>
      <c r="D69" s="8" t="s">
        <v>3</v>
      </c>
      <c r="E69" s="4">
        <v>6.35</v>
      </c>
    </row>
    <row r="70" spans="1:5" x14ac:dyDescent="0.2">
      <c r="A70" s="63" t="s">
        <v>2578</v>
      </c>
      <c r="B70" s="64" t="s">
        <v>2577</v>
      </c>
      <c r="C70" s="8" t="s">
        <v>136</v>
      </c>
      <c r="D70" s="8" t="s">
        <v>3</v>
      </c>
      <c r="E70" s="4">
        <v>6.35</v>
      </c>
    </row>
    <row r="71" spans="1:5" x14ac:dyDescent="0.2">
      <c r="A71" s="63" t="s">
        <v>2576</v>
      </c>
      <c r="B71" s="64" t="s">
        <v>2575</v>
      </c>
      <c r="C71" s="8" t="s">
        <v>136</v>
      </c>
      <c r="D71" s="8" t="s">
        <v>3</v>
      </c>
      <c r="E71" s="4">
        <v>4.76</v>
      </c>
    </row>
    <row r="72" spans="1:5" ht="25.5" x14ac:dyDescent="0.2">
      <c r="A72" s="63" t="s">
        <v>2574</v>
      </c>
      <c r="B72" s="64" t="s">
        <v>2573</v>
      </c>
      <c r="C72" s="8" t="s">
        <v>136</v>
      </c>
      <c r="D72" s="8" t="s">
        <v>3</v>
      </c>
      <c r="E72" s="4">
        <v>7.94</v>
      </c>
    </row>
    <row r="73" spans="1:5" x14ac:dyDescent="0.2">
      <c r="A73" s="63" t="s">
        <v>2572</v>
      </c>
      <c r="B73" s="64" t="s">
        <v>2571</v>
      </c>
      <c r="C73" s="8"/>
      <c r="D73" s="8"/>
      <c r="E73" s="4">
        <v>0</v>
      </c>
    </row>
    <row r="74" spans="1:5" x14ac:dyDescent="0.2">
      <c r="A74" s="63" t="s">
        <v>2570</v>
      </c>
      <c r="B74" s="64" t="s">
        <v>2569</v>
      </c>
      <c r="C74" s="8" t="s">
        <v>136</v>
      </c>
      <c r="D74" s="8" t="s">
        <v>3</v>
      </c>
      <c r="E74" s="4">
        <v>12.01</v>
      </c>
    </row>
    <row r="75" spans="1:5" x14ac:dyDescent="0.2">
      <c r="A75" s="63" t="s">
        <v>2568</v>
      </c>
      <c r="B75" s="64" t="s">
        <v>2567</v>
      </c>
      <c r="C75" s="8" t="s">
        <v>136</v>
      </c>
      <c r="D75" s="8" t="s">
        <v>3</v>
      </c>
      <c r="E75" s="4">
        <v>16.8</v>
      </c>
    </row>
    <row r="76" spans="1:5" x14ac:dyDescent="0.2">
      <c r="A76" s="63" t="s">
        <v>2566</v>
      </c>
      <c r="B76" s="64" t="s">
        <v>2565</v>
      </c>
      <c r="C76" s="8" t="s">
        <v>136</v>
      </c>
      <c r="D76" s="8" t="s">
        <v>3</v>
      </c>
      <c r="E76" s="4">
        <v>21.61</v>
      </c>
    </row>
    <row r="77" spans="1:5" x14ac:dyDescent="0.2">
      <c r="A77" s="63" t="s">
        <v>2564</v>
      </c>
      <c r="B77" s="64" t="s">
        <v>2563</v>
      </c>
      <c r="C77" s="8" t="s">
        <v>136</v>
      </c>
      <c r="D77" s="8" t="s">
        <v>3</v>
      </c>
      <c r="E77" s="4">
        <v>6.35</v>
      </c>
    </row>
    <row r="78" spans="1:5" x14ac:dyDescent="0.2">
      <c r="A78" s="63" t="s">
        <v>2562</v>
      </c>
      <c r="B78" s="64" t="s">
        <v>2561</v>
      </c>
      <c r="C78" s="8" t="s">
        <v>136</v>
      </c>
      <c r="D78" s="8" t="s">
        <v>3</v>
      </c>
      <c r="E78" s="4">
        <v>6.35</v>
      </c>
    </row>
    <row r="79" spans="1:5" x14ac:dyDescent="0.2">
      <c r="A79" s="63" t="s">
        <v>2560</v>
      </c>
      <c r="B79" s="64" t="s">
        <v>2559</v>
      </c>
      <c r="C79" s="8" t="s">
        <v>136</v>
      </c>
      <c r="D79" s="8" t="s">
        <v>3</v>
      </c>
      <c r="E79" s="4">
        <v>7.19</v>
      </c>
    </row>
    <row r="80" spans="1:5" ht="25.5" x14ac:dyDescent="0.2">
      <c r="A80" s="63" t="s">
        <v>2558</v>
      </c>
      <c r="B80" s="64" t="s">
        <v>2557</v>
      </c>
      <c r="C80" s="8" t="s">
        <v>136</v>
      </c>
      <c r="D80" s="8" t="s">
        <v>3</v>
      </c>
      <c r="E80" s="4">
        <v>1.59</v>
      </c>
    </row>
    <row r="81" spans="1:5" x14ac:dyDescent="0.2">
      <c r="A81" s="7" t="s">
        <v>2556</v>
      </c>
      <c r="B81" s="6" t="s">
        <v>1590</v>
      </c>
      <c r="C81" s="5"/>
      <c r="D81" s="5"/>
      <c r="E81" s="4">
        <v>0</v>
      </c>
    </row>
    <row r="82" spans="1:5" x14ac:dyDescent="0.2">
      <c r="A82" s="63" t="s">
        <v>2555</v>
      </c>
      <c r="B82" s="64" t="s">
        <v>2554</v>
      </c>
      <c r="C82" s="8" t="s">
        <v>136</v>
      </c>
      <c r="D82" s="8" t="s">
        <v>3</v>
      </c>
      <c r="E82" s="4">
        <v>7.19</v>
      </c>
    </row>
    <row r="83" spans="1:5" x14ac:dyDescent="0.2">
      <c r="A83" s="63" t="s">
        <v>2553</v>
      </c>
      <c r="B83" s="64" t="s">
        <v>2552</v>
      </c>
      <c r="C83" s="8" t="s">
        <v>136</v>
      </c>
      <c r="D83" s="8" t="s">
        <v>3</v>
      </c>
      <c r="E83" s="4">
        <v>4.8</v>
      </c>
    </row>
    <row r="84" spans="1:5" x14ac:dyDescent="0.2">
      <c r="A84" s="63" t="s">
        <v>2551</v>
      </c>
      <c r="B84" s="64" t="s">
        <v>2550</v>
      </c>
      <c r="C84" s="8" t="s">
        <v>136</v>
      </c>
      <c r="D84" s="8" t="s">
        <v>3</v>
      </c>
      <c r="E84" s="4">
        <v>8.4</v>
      </c>
    </row>
    <row r="85" spans="1:5" x14ac:dyDescent="0.2">
      <c r="A85" s="63" t="s">
        <v>2549</v>
      </c>
      <c r="B85" s="64" t="s">
        <v>2548</v>
      </c>
      <c r="C85" s="8" t="s">
        <v>136</v>
      </c>
      <c r="D85" s="8" t="s">
        <v>3</v>
      </c>
      <c r="E85" s="4">
        <v>7.94</v>
      </c>
    </row>
    <row r="86" spans="1:5" x14ac:dyDescent="0.2">
      <c r="A86" s="7" t="s">
        <v>2547</v>
      </c>
      <c r="B86" s="6" t="s">
        <v>2546</v>
      </c>
      <c r="C86" s="5"/>
      <c r="D86" s="5"/>
      <c r="E86" s="4">
        <v>0</v>
      </c>
    </row>
    <row r="87" spans="1:5" ht="25.5" x14ac:dyDescent="0.2">
      <c r="A87" s="63" t="s">
        <v>2545</v>
      </c>
      <c r="B87" s="64" t="s">
        <v>2544</v>
      </c>
      <c r="C87" s="8" t="s">
        <v>4</v>
      </c>
      <c r="D87" s="8" t="s">
        <v>3</v>
      </c>
      <c r="E87" s="4">
        <v>31.75</v>
      </c>
    </row>
    <row r="88" spans="1:5" x14ac:dyDescent="0.2">
      <c r="A88" s="7" t="s">
        <v>2543</v>
      </c>
      <c r="B88" s="6" t="s">
        <v>2542</v>
      </c>
      <c r="C88" s="5"/>
      <c r="D88" s="5"/>
      <c r="E88" s="4">
        <v>0</v>
      </c>
    </row>
    <row r="89" spans="1:5" ht="25.5" x14ac:dyDescent="0.2">
      <c r="A89" s="63" t="s">
        <v>2541</v>
      </c>
      <c r="B89" s="64" t="s">
        <v>2540</v>
      </c>
      <c r="C89" s="8" t="s">
        <v>4</v>
      </c>
      <c r="D89" s="8" t="s">
        <v>3</v>
      </c>
      <c r="E89" s="4">
        <v>11.14</v>
      </c>
    </row>
    <row r="90" spans="1:5" x14ac:dyDescent="0.2">
      <c r="A90" s="63" t="s">
        <v>2539</v>
      </c>
      <c r="B90" s="64" t="s">
        <v>2538</v>
      </c>
      <c r="C90" s="8" t="s">
        <v>4</v>
      </c>
      <c r="D90" s="8" t="s">
        <v>3</v>
      </c>
      <c r="E90" s="4">
        <v>16.7</v>
      </c>
    </row>
    <row r="91" spans="1:5" x14ac:dyDescent="0.2">
      <c r="A91" s="63" t="s">
        <v>2537</v>
      </c>
      <c r="B91" s="64" t="s">
        <v>2536</v>
      </c>
      <c r="C91" s="8" t="s">
        <v>4</v>
      </c>
      <c r="D91" s="8" t="s">
        <v>3</v>
      </c>
      <c r="E91" s="4">
        <v>22.27</v>
      </c>
    </row>
    <row r="92" spans="1:5" x14ac:dyDescent="0.2">
      <c r="A92" s="63" t="s">
        <v>2535</v>
      </c>
      <c r="B92" s="64" t="s">
        <v>2534</v>
      </c>
      <c r="C92" s="8" t="s">
        <v>136</v>
      </c>
      <c r="D92" s="8" t="s">
        <v>3</v>
      </c>
      <c r="E92" s="4">
        <v>30.01</v>
      </c>
    </row>
    <row r="93" spans="1:5" x14ac:dyDescent="0.2">
      <c r="A93" s="7" t="s">
        <v>2533</v>
      </c>
      <c r="B93" s="6" t="s">
        <v>2532</v>
      </c>
      <c r="C93" s="5"/>
      <c r="D93" s="5"/>
      <c r="E93" s="4">
        <v>0</v>
      </c>
    </row>
    <row r="94" spans="1:5" x14ac:dyDescent="0.2">
      <c r="A94" s="63" t="s">
        <v>2531</v>
      </c>
      <c r="B94" s="64" t="s">
        <v>2530</v>
      </c>
      <c r="C94" s="8" t="s">
        <v>136</v>
      </c>
      <c r="D94" s="8" t="s">
        <v>3</v>
      </c>
      <c r="E94" s="4">
        <v>4.45</v>
      </c>
    </row>
    <row r="95" spans="1:5" x14ac:dyDescent="0.2">
      <c r="A95" s="63" t="s">
        <v>2529</v>
      </c>
      <c r="B95" s="64" t="s">
        <v>2528</v>
      </c>
      <c r="C95" s="8" t="s">
        <v>136</v>
      </c>
      <c r="D95" s="8" t="s">
        <v>3</v>
      </c>
      <c r="E95" s="4">
        <v>4.6399999999999997</v>
      </c>
    </row>
    <row r="96" spans="1:5" x14ac:dyDescent="0.2">
      <c r="A96" s="63" t="s">
        <v>2527</v>
      </c>
      <c r="B96" s="64" t="s">
        <v>2526</v>
      </c>
      <c r="C96" s="8" t="s">
        <v>136</v>
      </c>
      <c r="D96" s="8" t="s">
        <v>3</v>
      </c>
      <c r="E96" s="4">
        <v>4.5999999999999996</v>
      </c>
    </row>
    <row r="97" spans="1:5" x14ac:dyDescent="0.2">
      <c r="A97" s="63" t="s">
        <v>2525</v>
      </c>
      <c r="B97" s="64" t="s">
        <v>2524</v>
      </c>
      <c r="C97" s="8" t="s">
        <v>136</v>
      </c>
      <c r="D97" s="8" t="s">
        <v>3</v>
      </c>
      <c r="E97" s="4">
        <v>5.21</v>
      </c>
    </row>
    <row r="98" spans="1:5" x14ac:dyDescent="0.2">
      <c r="A98" s="63" t="s">
        <v>2523</v>
      </c>
      <c r="B98" s="64" t="s">
        <v>2522</v>
      </c>
      <c r="C98" s="8" t="s">
        <v>136</v>
      </c>
      <c r="D98" s="8" t="s">
        <v>3</v>
      </c>
      <c r="E98" s="4">
        <v>5.2</v>
      </c>
    </row>
    <row r="99" spans="1:5" x14ac:dyDescent="0.2">
      <c r="A99" s="63" t="s">
        <v>2521</v>
      </c>
      <c r="B99" s="64" t="s">
        <v>2520</v>
      </c>
      <c r="C99" s="8" t="s">
        <v>143</v>
      </c>
      <c r="D99" s="8" t="s">
        <v>3</v>
      </c>
      <c r="E99" s="4">
        <v>1.65</v>
      </c>
    </row>
    <row r="100" spans="1:5" x14ac:dyDescent="0.2">
      <c r="A100" s="63" t="s">
        <v>2519</v>
      </c>
      <c r="B100" s="64" t="s">
        <v>2518</v>
      </c>
      <c r="C100" s="8" t="s">
        <v>70</v>
      </c>
      <c r="D100" s="8" t="s">
        <v>3</v>
      </c>
      <c r="E100" s="4">
        <v>110</v>
      </c>
    </row>
    <row r="101" spans="1:5" x14ac:dyDescent="0.2">
      <c r="A101" s="63" t="s">
        <v>2517</v>
      </c>
      <c r="B101" s="64" t="s">
        <v>2516</v>
      </c>
      <c r="C101" s="8" t="s">
        <v>1035</v>
      </c>
      <c r="D101" s="8" t="s">
        <v>3</v>
      </c>
      <c r="E101" s="4">
        <v>1.1100000000000001</v>
      </c>
    </row>
    <row r="102" spans="1:5" x14ac:dyDescent="0.2">
      <c r="A102" s="63" t="s">
        <v>2515</v>
      </c>
      <c r="B102" s="64" t="s">
        <v>2514</v>
      </c>
      <c r="C102" s="8" t="s">
        <v>1035</v>
      </c>
      <c r="D102" s="8" t="s">
        <v>3</v>
      </c>
      <c r="E102" s="4">
        <v>1.67</v>
      </c>
    </row>
    <row r="103" spans="1:5" x14ac:dyDescent="0.2">
      <c r="A103" s="63" t="s">
        <v>2513</v>
      </c>
      <c r="B103" s="64" t="s">
        <v>2512</v>
      </c>
      <c r="C103" s="8" t="s">
        <v>143</v>
      </c>
      <c r="D103" s="8" t="s">
        <v>3</v>
      </c>
      <c r="E103" s="4">
        <v>2.23</v>
      </c>
    </row>
    <row r="104" spans="1:5" ht="25.5" x14ac:dyDescent="0.2">
      <c r="A104" s="63" t="s">
        <v>2511</v>
      </c>
      <c r="B104" s="64" t="s">
        <v>2510</v>
      </c>
      <c r="C104" s="8" t="s">
        <v>136</v>
      </c>
      <c r="D104" s="8" t="s">
        <v>3</v>
      </c>
      <c r="E104" s="4">
        <v>3.59</v>
      </c>
    </row>
    <row r="105" spans="1:5" x14ac:dyDescent="0.2">
      <c r="A105" s="63" t="s">
        <v>2509</v>
      </c>
      <c r="B105" s="64" t="s">
        <v>2508</v>
      </c>
      <c r="C105" s="8" t="s">
        <v>136</v>
      </c>
      <c r="D105" s="8" t="s">
        <v>3</v>
      </c>
      <c r="E105" s="4">
        <v>30.01</v>
      </c>
    </row>
    <row r="106" spans="1:5" x14ac:dyDescent="0.2">
      <c r="A106" s="63" t="s">
        <v>2507</v>
      </c>
      <c r="B106" s="64" t="s">
        <v>2506</v>
      </c>
      <c r="C106" s="8" t="s">
        <v>136</v>
      </c>
      <c r="D106" s="8" t="s">
        <v>3</v>
      </c>
      <c r="E106" s="4">
        <v>47.62</v>
      </c>
    </row>
    <row r="107" spans="1:5" x14ac:dyDescent="0.2">
      <c r="A107" s="63" t="s">
        <v>2505</v>
      </c>
      <c r="B107" s="64" t="s">
        <v>2504</v>
      </c>
      <c r="C107" s="8" t="s">
        <v>143</v>
      </c>
      <c r="D107" s="8" t="s">
        <v>3</v>
      </c>
      <c r="E107" s="4">
        <v>5.5</v>
      </c>
    </row>
    <row r="108" spans="1:5" ht="25.5" x14ac:dyDescent="0.2">
      <c r="A108" s="63" t="s">
        <v>2503</v>
      </c>
      <c r="B108" s="64" t="s">
        <v>2502</v>
      </c>
      <c r="C108" s="8" t="s">
        <v>136</v>
      </c>
      <c r="D108" s="8" t="s">
        <v>3</v>
      </c>
      <c r="E108" s="4">
        <v>11</v>
      </c>
    </row>
    <row r="109" spans="1:5" x14ac:dyDescent="0.2">
      <c r="A109" s="7" t="s">
        <v>2501</v>
      </c>
      <c r="B109" s="6" t="s">
        <v>52</v>
      </c>
      <c r="C109" s="5"/>
      <c r="D109" s="5"/>
      <c r="E109" s="4">
        <v>0</v>
      </c>
    </row>
    <row r="110" spans="1:5" x14ac:dyDescent="0.2">
      <c r="A110" s="63" t="s">
        <v>2500</v>
      </c>
      <c r="B110" s="64" t="s">
        <v>2499</v>
      </c>
      <c r="C110" s="8" t="s">
        <v>70</v>
      </c>
      <c r="D110" s="8" t="s">
        <v>3</v>
      </c>
      <c r="E110" s="4">
        <v>90.04</v>
      </c>
    </row>
    <row r="111" spans="1:5" x14ac:dyDescent="0.2">
      <c r="A111" s="63" t="s">
        <v>2498</v>
      </c>
      <c r="B111" s="64" t="s">
        <v>2497</v>
      </c>
      <c r="C111" s="8" t="s">
        <v>143</v>
      </c>
      <c r="D111" s="8" t="s">
        <v>3</v>
      </c>
      <c r="E111" s="4">
        <v>6.6</v>
      </c>
    </row>
    <row r="112" spans="1:5" x14ac:dyDescent="0.2">
      <c r="A112" s="63" t="s">
        <v>2496</v>
      </c>
      <c r="B112" s="64" t="s">
        <v>2495</v>
      </c>
      <c r="C112" s="8" t="s">
        <v>143</v>
      </c>
      <c r="D112" s="8" t="s">
        <v>3</v>
      </c>
      <c r="E112" s="4">
        <v>4.76</v>
      </c>
    </row>
    <row r="113" spans="1:5" ht="24" customHeight="1" x14ac:dyDescent="0.2">
      <c r="A113" s="63" t="s">
        <v>2494</v>
      </c>
      <c r="B113" s="64" t="s">
        <v>2493</v>
      </c>
      <c r="C113" s="8" t="s">
        <v>143</v>
      </c>
      <c r="D113" s="8" t="s">
        <v>3</v>
      </c>
      <c r="E113" s="4">
        <v>7.94</v>
      </c>
    </row>
    <row r="114" spans="1:5" x14ac:dyDescent="0.2">
      <c r="A114" s="63" t="s">
        <v>2492</v>
      </c>
      <c r="B114" s="64" t="s">
        <v>2491</v>
      </c>
      <c r="C114" s="8" t="s">
        <v>143</v>
      </c>
      <c r="D114" s="8" t="s">
        <v>3</v>
      </c>
      <c r="E114" s="4">
        <v>9.52</v>
      </c>
    </row>
    <row r="115" spans="1:5" x14ac:dyDescent="0.2">
      <c r="A115" s="63" t="s">
        <v>2490</v>
      </c>
      <c r="B115" s="64" t="s">
        <v>2489</v>
      </c>
      <c r="C115" s="8" t="s">
        <v>70</v>
      </c>
      <c r="D115" s="8" t="s">
        <v>3</v>
      </c>
      <c r="E115" s="4">
        <v>111.36</v>
      </c>
    </row>
    <row r="116" spans="1:5" ht="38.25" x14ac:dyDescent="0.2">
      <c r="A116" s="63" t="s">
        <v>2488</v>
      </c>
      <c r="B116" s="64" t="s">
        <v>2487</v>
      </c>
      <c r="C116" s="8" t="s">
        <v>143</v>
      </c>
      <c r="D116" s="8" t="s">
        <v>3</v>
      </c>
      <c r="E116" s="4">
        <v>110</v>
      </c>
    </row>
    <row r="117" spans="1:5" ht="25.5" x14ac:dyDescent="0.2">
      <c r="A117" s="63" t="s">
        <v>2486</v>
      </c>
      <c r="B117" s="64" t="s">
        <v>2485</v>
      </c>
      <c r="C117" s="8" t="s">
        <v>4</v>
      </c>
      <c r="D117" s="8" t="s">
        <v>3</v>
      </c>
      <c r="E117" s="4">
        <v>165</v>
      </c>
    </row>
    <row r="118" spans="1:5" ht="25.5" x14ac:dyDescent="0.2">
      <c r="A118" s="63" t="s">
        <v>2484</v>
      </c>
      <c r="B118" s="64" t="s">
        <v>2483</v>
      </c>
      <c r="C118" s="8" t="s">
        <v>136</v>
      </c>
      <c r="D118" s="8" t="s">
        <v>3</v>
      </c>
      <c r="E118" s="4">
        <v>27.5</v>
      </c>
    </row>
    <row r="119" spans="1:5" x14ac:dyDescent="0.2">
      <c r="A119" s="7" t="s">
        <v>2482</v>
      </c>
      <c r="B119" s="6" t="s">
        <v>2481</v>
      </c>
      <c r="C119" s="5"/>
      <c r="D119" s="5"/>
      <c r="E119" s="4">
        <v>0</v>
      </c>
    </row>
    <row r="120" spans="1:5" x14ac:dyDescent="0.2">
      <c r="A120" s="63" t="s">
        <v>2480</v>
      </c>
      <c r="B120" s="64" t="s">
        <v>2479</v>
      </c>
      <c r="C120" s="8" t="s">
        <v>136</v>
      </c>
      <c r="D120" s="8" t="s">
        <v>3</v>
      </c>
      <c r="E120" s="4">
        <v>4.76</v>
      </c>
    </row>
    <row r="121" spans="1:5" x14ac:dyDescent="0.2">
      <c r="A121" s="63" t="s">
        <v>2478</v>
      </c>
      <c r="B121" s="64" t="s">
        <v>2477</v>
      </c>
      <c r="C121" s="8" t="s">
        <v>136</v>
      </c>
      <c r="D121" s="8" t="s">
        <v>3</v>
      </c>
      <c r="E121" s="4">
        <v>3.34</v>
      </c>
    </row>
    <row r="122" spans="1:5" x14ac:dyDescent="0.2">
      <c r="A122" s="63" t="s">
        <v>2476</v>
      </c>
      <c r="B122" s="64" t="s">
        <v>2475</v>
      </c>
      <c r="C122" s="8" t="s">
        <v>4</v>
      </c>
      <c r="D122" s="8" t="s">
        <v>3</v>
      </c>
      <c r="E122" s="4">
        <v>3.34</v>
      </c>
    </row>
    <row r="123" spans="1:5" x14ac:dyDescent="0.2">
      <c r="A123" s="63" t="s">
        <v>2474</v>
      </c>
      <c r="B123" s="64" t="s">
        <v>2473</v>
      </c>
      <c r="C123" s="8" t="s">
        <v>136</v>
      </c>
      <c r="D123" s="8" t="s">
        <v>3</v>
      </c>
      <c r="E123" s="4">
        <v>3</v>
      </c>
    </row>
    <row r="124" spans="1:5" x14ac:dyDescent="0.2">
      <c r="A124" s="63" t="s">
        <v>2472</v>
      </c>
      <c r="B124" s="64" t="s">
        <v>2471</v>
      </c>
      <c r="C124" s="8" t="s">
        <v>136</v>
      </c>
      <c r="D124" s="8" t="s">
        <v>3</v>
      </c>
      <c r="E124" s="4">
        <v>5.4</v>
      </c>
    </row>
    <row r="125" spans="1:5" ht="25.5" x14ac:dyDescent="0.2">
      <c r="A125" s="63" t="s">
        <v>2470</v>
      </c>
      <c r="B125" s="64" t="s">
        <v>2469</v>
      </c>
      <c r="C125" s="8" t="s">
        <v>143</v>
      </c>
      <c r="D125" s="8" t="s">
        <v>3</v>
      </c>
      <c r="E125" s="4">
        <v>3.34</v>
      </c>
    </row>
    <row r="126" spans="1:5" x14ac:dyDescent="0.2">
      <c r="A126" s="7" t="s">
        <v>2468</v>
      </c>
      <c r="B126" s="6" t="s">
        <v>2467</v>
      </c>
      <c r="C126" s="5"/>
      <c r="D126" s="5"/>
      <c r="E126" s="4">
        <v>0</v>
      </c>
    </row>
    <row r="127" spans="1:5" ht="25.5" x14ac:dyDescent="0.2">
      <c r="A127" s="63" t="s">
        <v>2466</v>
      </c>
      <c r="B127" s="64" t="s">
        <v>2465</v>
      </c>
      <c r="C127" s="8" t="s">
        <v>70</v>
      </c>
      <c r="D127" s="8" t="s">
        <v>3</v>
      </c>
      <c r="E127" s="4">
        <v>55.68</v>
      </c>
    </row>
    <row r="128" spans="1:5" ht="25.5" x14ac:dyDescent="0.2">
      <c r="A128" s="63" t="s">
        <v>2464</v>
      </c>
      <c r="B128" s="64" t="s">
        <v>2463</v>
      </c>
      <c r="C128" s="8" t="s">
        <v>4</v>
      </c>
      <c r="D128" s="8" t="s">
        <v>3</v>
      </c>
      <c r="E128" s="4">
        <v>79.37</v>
      </c>
    </row>
    <row r="129" spans="1:5" x14ac:dyDescent="0.2">
      <c r="A129" s="7" t="s">
        <v>2462</v>
      </c>
      <c r="B129" s="6" t="s">
        <v>2461</v>
      </c>
      <c r="C129" s="5"/>
      <c r="D129" s="5"/>
      <c r="E129" s="4">
        <v>0</v>
      </c>
    </row>
    <row r="130" spans="1:5" x14ac:dyDescent="0.2">
      <c r="A130" s="63" t="s">
        <v>2460</v>
      </c>
      <c r="B130" s="64" t="s">
        <v>2459</v>
      </c>
      <c r="C130" s="8" t="s">
        <v>70</v>
      </c>
      <c r="D130" s="8" t="s">
        <v>160</v>
      </c>
      <c r="E130" s="4">
        <v>12.7</v>
      </c>
    </row>
    <row r="131" spans="1:5" ht="25.5" x14ac:dyDescent="0.2">
      <c r="A131" s="63" t="s">
        <v>2458</v>
      </c>
      <c r="B131" s="64" t="s">
        <v>2457</v>
      </c>
      <c r="C131" s="8" t="s">
        <v>70</v>
      </c>
      <c r="D131" s="8" t="s">
        <v>160</v>
      </c>
      <c r="E131" s="4">
        <v>16.350000000000001</v>
      </c>
    </row>
    <row r="132" spans="1:5" x14ac:dyDescent="0.2">
      <c r="A132" s="63" t="s">
        <v>2456</v>
      </c>
      <c r="B132" s="64" t="s">
        <v>2455</v>
      </c>
      <c r="C132" s="8" t="s">
        <v>70</v>
      </c>
      <c r="D132" s="8" t="s">
        <v>160</v>
      </c>
      <c r="E132" s="4">
        <v>5.01</v>
      </c>
    </row>
    <row r="133" spans="1:5" x14ac:dyDescent="0.2">
      <c r="A133" s="63" t="s">
        <v>2454</v>
      </c>
      <c r="B133" s="64" t="s">
        <v>2453</v>
      </c>
      <c r="C133" s="8" t="s">
        <v>70</v>
      </c>
      <c r="D133" s="8" t="s">
        <v>160</v>
      </c>
      <c r="E133" s="4">
        <v>27.61</v>
      </c>
    </row>
    <row r="134" spans="1:5" x14ac:dyDescent="0.2">
      <c r="A134" s="63" t="s">
        <v>2452</v>
      </c>
      <c r="B134" s="64" t="s">
        <v>2451</v>
      </c>
      <c r="C134" s="8"/>
      <c r="D134" s="8"/>
      <c r="E134" s="4">
        <v>0</v>
      </c>
    </row>
    <row r="135" spans="1:5" x14ac:dyDescent="0.2">
      <c r="A135" s="63" t="s">
        <v>2450</v>
      </c>
      <c r="B135" s="64" t="s">
        <v>2449</v>
      </c>
      <c r="C135" s="8" t="s">
        <v>70</v>
      </c>
      <c r="D135" s="8" t="s">
        <v>173</v>
      </c>
      <c r="E135" s="4">
        <v>19.73</v>
      </c>
    </row>
    <row r="136" spans="1:5" x14ac:dyDescent="0.2">
      <c r="A136" s="63" t="s">
        <v>2448</v>
      </c>
      <c r="B136" s="64" t="s">
        <v>2447</v>
      </c>
      <c r="C136" s="8" t="s">
        <v>70</v>
      </c>
      <c r="D136" s="8" t="s">
        <v>173</v>
      </c>
      <c r="E136" s="4">
        <v>19.82</v>
      </c>
    </row>
    <row r="137" spans="1:5" x14ac:dyDescent="0.2">
      <c r="A137" s="63" t="s">
        <v>2446</v>
      </c>
      <c r="B137" s="64" t="s">
        <v>2445</v>
      </c>
      <c r="C137" s="8" t="s">
        <v>70</v>
      </c>
      <c r="D137" s="8" t="s">
        <v>173</v>
      </c>
      <c r="E137" s="4">
        <v>22.6</v>
      </c>
    </row>
    <row r="138" spans="1:5" ht="25.5" x14ac:dyDescent="0.2">
      <c r="A138" s="63" t="s">
        <v>2444</v>
      </c>
      <c r="B138" s="64" t="s">
        <v>2443</v>
      </c>
      <c r="C138" s="8" t="s">
        <v>70</v>
      </c>
      <c r="D138" s="8" t="s">
        <v>160</v>
      </c>
      <c r="E138" s="4">
        <v>17.100000000000001</v>
      </c>
    </row>
    <row r="139" spans="1:5" x14ac:dyDescent="0.2">
      <c r="A139" s="63" t="s">
        <v>2442</v>
      </c>
      <c r="B139" s="64" t="s">
        <v>2441</v>
      </c>
      <c r="C139" s="8"/>
      <c r="D139" s="8"/>
      <c r="E139" s="4">
        <v>0</v>
      </c>
    </row>
    <row r="140" spans="1:5" x14ac:dyDescent="0.2">
      <c r="A140" s="63" t="s">
        <v>2440</v>
      </c>
      <c r="B140" s="64" t="s">
        <v>2439</v>
      </c>
      <c r="C140" s="8" t="s">
        <v>136</v>
      </c>
      <c r="D140" s="8" t="s">
        <v>160</v>
      </c>
      <c r="E140" s="4">
        <v>1.9</v>
      </c>
    </row>
    <row r="141" spans="1:5" x14ac:dyDescent="0.2">
      <c r="A141" s="63" t="s">
        <v>2438</v>
      </c>
      <c r="B141" s="64" t="s">
        <v>2437</v>
      </c>
      <c r="C141" s="8" t="s">
        <v>136</v>
      </c>
      <c r="D141" s="8" t="s">
        <v>160</v>
      </c>
      <c r="E141" s="4">
        <v>2.7</v>
      </c>
    </row>
    <row r="142" spans="1:5" x14ac:dyDescent="0.2">
      <c r="A142" s="63" t="s">
        <v>2436</v>
      </c>
      <c r="B142" s="64" t="s">
        <v>2435</v>
      </c>
      <c r="C142" s="8" t="s">
        <v>136</v>
      </c>
      <c r="D142" s="8" t="s">
        <v>160</v>
      </c>
      <c r="E142" s="4">
        <v>3.33</v>
      </c>
    </row>
    <row r="143" spans="1:5" x14ac:dyDescent="0.2">
      <c r="A143" s="63" t="s">
        <v>2434</v>
      </c>
      <c r="B143" s="64" t="s">
        <v>2433</v>
      </c>
      <c r="C143" s="8" t="s">
        <v>136</v>
      </c>
      <c r="D143" s="8" t="s">
        <v>160</v>
      </c>
      <c r="E143" s="4">
        <v>3.81</v>
      </c>
    </row>
    <row r="144" spans="1:5" ht="51" x14ac:dyDescent="0.2">
      <c r="A144" s="12" t="s">
        <v>2432</v>
      </c>
      <c r="B144" s="6" t="s">
        <v>2431</v>
      </c>
      <c r="C144" s="5"/>
      <c r="D144" s="5"/>
      <c r="E144" s="4">
        <v>0</v>
      </c>
    </row>
    <row r="145" spans="1:5" x14ac:dyDescent="0.2">
      <c r="A145" s="7" t="s">
        <v>2430</v>
      </c>
      <c r="B145" s="6" t="s">
        <v>2429</v>
      </c>
      <c r="C145" s="5"/>
      <c r="D145" s="5"/>
      <c r="E145" s="4">
        <v>0</v>
      </c>
    </row>
    <row r="146" spans="1:5" x14ac:dyDescent="0.2">
      <c r="A146" s="7" t="s">
        <v>2428</v>
      </c>
      <c r="B146" s="6" t="s">
        <v>2427</v>
      </c>
      <c r="C146" s="5"/>
      <c r="D146" s="5"/>
      <c r="E146" s="4">
        <v>0</v>
      </c>
    </row>
    <row r="147" spans="1:5" x14ac:dyDescent="0.2">
      <c r="A147" s="63" t="s">
        <v>2426</v>
      </c>
      <c r="B147" s="64" t="s">
        <v>2425</v>
      </c>
      <c r="C147" s="8" t="s">
        <v>70</v>
      </c>
      <c r="D147" s="8" t="s">
        <v>160</v>
      </c>
      <c r="E147" s="4">
        <v>60.03</v>
      </c>
    </row>
    <row r="148" spans="1:5" ht="38.25" x14ac:dyDescent="0.2">
      <c r="A148" s="63" t="s">
        <v>2424</v>
      </c>
      <c r="B148" s="64" t="s">
        <v>2423</v>
      </c>
      <c r="C148" s="8" t="s">
        <v>70</v>
      </c>
      <c r="D148" s="8" t="s">
        <v>160</v>
      </c>
      <c r="E148" s="4">
        <v>396</v>
      </c>
    </row>
    <row r="149" spans="1:5" x14ac:dyDescent="0.2">
      <c r="A149" s="63" t="s">
        <v>2422</v>
      </c>
      <c r="B149" s="64" t="s">
        <v>2416</v>
      </c>
      <c r="C149" s="8" t="s">
        <v>70</v>
      </c>
      <c r="D149" s="8" t="s">
        <v>160</v>
      </c>
      <c r="E149" s="4">
        <v>429</v>
      </c>
    </row>
    <row r="150" spans="1:5" x14ac:dyDescent="0.2">
      <c r="A150" s="63" t="s">
        <v>2421</v>
      </c>
      <c r="B150" s="64" t="s">
        <v>2414</v>
      </c>
      <c r="C150" s="8" t="s">
        <v>70</v>
      </c>
      <c r="D150" s="8" t="s">
        <v>160</v>
      </c>
      <c r="E150" s="4">
        <v>462</v>
      </c>
    </row>
    <row r="151" spans="1:5" x14ac:dyDescent="0.2">
      <c r="A151" s="63" t="s">
        <v>2420</v>
      </c>
      <c r="B151" s="64" t="s">
        <v>2412</v>
      </c>
      <c r="C151" s="8" t="s">
        <v>70</v>
      </c>
      <c r="D151" s="8" t="s">
        <v>160</v>
      </c>
      <c r="E151" s="4">
        <v>467.72</v>
      </c>
    </row>
    <row r="152" spans="1:5" ht="38.25" x14ac:dyDescent="0.2">
      <c r="A152" s="63" t="s">
        <v>2419</v>
      </c>
      <c r="B152" s="64" t="s">
        <v>2418</v>
      </c>
      <c r="C152" s="8" t="s">
        <v>70</v>
      </c>
      <c r="D152" s="8" t="s">
        <v>160</v>
      </c>
      <c r="E152" s="4">
        <v>198</v>
      </c>
    </row>
    <row r="153" spans="1:5" x14ac:dyDescent="0.2">
      <c r="A153" s="63" t="s">
        <v>2417</v>
      </c>
      <c r="B153" s="64" t="s">
        <v>2416</v>
      </c>
      <c r="C153" s="8" t="s">
        <v>70</v>
      </c>
      <c r="D153" s="8" t="s">
        <v>160</v>
      </c>
      <c r="E153" s="4">
        <v>231</v>
      </c>
    </row>
    <row r="154" spans="1:5" x14ac:dyDescent="0.2">
      <c r="A154" s="63" t="s">
        <v>2415</v>
      </c>
      <c r="B154" s="64" t="s">
        <v>2414</v>
      </c>
      <c r="C154" s="8" t="s">
        <v>70</v>
      </c>
      <c r="D154" s="8" t="s">
        <v>160</v>
      </c>
      <c r="E154" s="4">
        <v>264</v>
      </c>
    </row>
    <row r="155" spans="1:5" x14ac:dyDescent="0.2">
      <c r="A155" s="63" t="s">
        <v>2413</v>
      </c>
      <c r="B155" s="64" t="s">
        <v>2412</v>
      </c>
      <c r="C155" s="8" t="s">
        <v>70</v>
      </c>
      <c r="D155" s="8" t="s">
        <v>160</v>
      </c>
      <c r="E155" s="4">
        <v>308</v>
      </c>
    </row>
    <row r="156" spans="1:5" ht="51" x14ac:dyDescent="0.2">
      <c r="A156" s="63" t="s">
        <v>2411</v>
      </c>
      <c r="B156" s="64" t="s">
        <v>2410</v>
      </c>
      <c r="C156" s="8" t="s">
        <v>70</v>
      </c>
      <c r="D156" s="8" t="s">
        <v>160</v>
      </c>
      <c r="E156" s="4">
        <v>330</v>
      </c>
    </row>
    <row r="157" spans="1:5" x14ac:dyDescent="0.2">
      <c r="A157" s="7" t="s">
        <v>2409</v>
      </c>
      <c r="B157" s="6" t="s">
        <v>2408</v>
      </c>
      <c r="C157" s="5"/>
      <c r="D157" s="5"/>
      <c r="E157" s="4">
        <v>0</v>
      </c>
    </row>
    <row r="158" spans="1:5" x14ac:dyDescent="0.2">
      <c r="A158" s="63" t="s">
        <v>2407</v>
      </c>
      <c r="B158" s="64" t="s">
        <v>2406</v>
      </c>
      <c r="C158" s="8" t="s">
        <v>70</v>
      </c>
      <c r="D158" s="8" t="s">
        <v>160</v>
      </c>
      <c r="E158" s="4">
        <v>89.09</v>
      </c>
    </row>
    <row r="159" spans="1:5" x14ac:dyDescent="0.2">
      <c r="A159" s="63" t="s">
        <v>2405</v>
      </c>
      <c r="B159" s="64" t="s">
        <v>2404</v>
      </c>
      <c r="C159" s="8" t="s">
        <v>70</v>
      </c>
      <c r="D159" s="8" t="s">
        <v>160</v>
      </c>
      <c r="E159" s="4">
        <v>192.1</v>
      </c>
    </row>
    <row r="160" spans="1:5" ht="25.5" x14ac:dyDescent="0.2">
      <c r="A160" s="63" t="s">
        <v>2403</v>
      </c>
      <c r="B160" s="64" t="s">
        <v>2402</v>
      </c>
      <c r="C160" s="8" t="s">
        <v>70</v>
      </c>
      <c r="D160" s="8" t="s">
        <v>160</v>
      </c>
      <c r="E160" s="4">
        <v>264.14</v>
      </c>
    </row>
    <row r="161" spans="1:5" x14ac:dyDescent="0.2">
      <c r="A161" s="63" t="s">
        <v>2401</v>
      </c>
      <c r="B161" s="64" t="s">
        <v>2400</v>
      </c>
      <c r="C161" s="8" t="s">
        <v>70</v>
      </c>
      <c r="D161" s="8" t="s">
        <v>160</v>
      </c>
      <c r="E161" s="4">
        <v>119.06</v>
      </c>
    </row>
    <row r="162" spans="1:5" ht="25.5" x14ac:dyDescent="0.2">
      <c r="A162" s="63" t="s">
        <v>2399</v>
      </c>
      <c r="B162" s="64" t="s">
        <v>2398</v>
      </c>
      <c r="C162" s="8" t="s">
        <v>143</v>
      </c>
      <c r="D162" s="8" t="s">
        <v>160</v>
      </c>
      <c r="E162" s="4">
        <v>66.03</v>
      </c>
    </row>
    <row r="163" spans="1:5" ht="25.5" x14ac:dyDescent="0.2">
      <c r="A163" s="63" t="s">
        <v>2397</v>
      </c>
      <c r="B163" s="64" t="s">
        <v>2396</v>
      </c>
      <c r="C163" s="8" t="s">
        <v>70</v>
      </c>
      <c r="D163" s="8" t="s">
        <v>160</v>
      </c>
      <c r="E163" s="4">
        <v>180.1</v>
      </c>
    </row>
    <row r="164" spans="1:5" ht="25.5" x14ac:dyDescent="0.2">
      <c r="A164" s="63" t="s">
        <v>2395</v>
      </c>
      <c r="B164" s="64" t="s">
        <v>2394</v>
      </c>
      <c r="C164" s="8" t="s">
        <v>70</v>
      </c>
      <c r="D164" s="8" t="s">
        <v>160</v>
      </c>
      <c r="E164" s="4">
        <v>349.25</v>
      </c>
    </row>
    <row r="165" spans="1:5" x14ac:dyDescent="0.2">
      <c r="A165" s="7" t="s">
        <v>2393</v>
      </c>
      <c r="B165" s="6" t="s">
        <v>2392</v>
      </c>
      <c r="C165" s="5"/>
      <c r="D165" s="5"/>
      <c r="E165" s="4">
        <v>0</v>
      </c>
    </row>
    <row r="166" spans="1:5" ht="25.5" x14ac:dyDescent="0.2">
      <c r="A166" s="63" t="s">
        <v>2391</v>
      </c>
      <c r="B166" s="64" t="s">
        <v>2390</v>
      </c>
      <c r="C166" s="8" t="s">
        <v>143</v>
      </c>
      <c r="D166" s="8" t="s">
        <v>160</v>
      </c>
      <c r="E166" s="4">
        <v>42.02</v>
      </c>
    </row>
    <row r="167" spans="1:5" ht="25.5" x14ac:dyDescent="0.2">
      <c r="A167" s="63" t="s">
        <v>2389</v>
      </c>
      <c r="B167" s="64" t="s">
        <v>2388</v>
      </c>
      <c r="C167" s="8" t="s">
        <v>136</v>
      </c>
      <c r="D167" s="8" t="s">
        <v>160</v>
      </c>
      <c r="E167" s="4">
        <v>84.05</v>
      </c>
    </row>
    <row r="168" spans="1:5" ht="25.5" x14ac:dyDescent="0.2">
      <c r="A168" s="63" t="s">
        <v>2387</v>
      </c>
      <c r="B168" s="64" t="s">
        <v>2386</v>
      </c>
      <c r="C168" s="8" t="s">
        <v>136</v>
      </c>
      <c r="D168" s="8" t="s">
        <v>160</v>
      </c>
      <c r="E168" s="4">
        <v>120.06</v>
      </c>
    </row>
    <row r="169" spans="1:5" ht="25.5" x14ac:dyDescent="0.2">
      <c r="A169" s="63" t="s">
        <v>2385</v>
      </c>
      <c r="B169" s="64" t="s">
        <v>2384</v>
      </c>
      <c r="C169" s="8" t="s">
        <v>136</v>
      </c>
      <c r="D169" s="8" t="s">
        <v>160</v>
      </c>
      <c r="E169" s="4">
        <v>132.07</v>
      </c>
    </row>
    <row r="170" spans="1:5" ht="25.5" x14ac:dyDescent="0.2">
      <c r="A170" s="63" t="s">
        <v>2383</v>
      </c>
      <c r="B170" s="64" t="s">
        <v>2382</v>
      </c>
      <c r="C170" s="8" t="s">
        <v>4</v>
      </c>
      <c r="D170" s="8" t="s">
        <v>160</v>
      </c>
      <c r="E170" s="4">
        <v>96.05</v>
      </c>
    </row>
    <row r="171" spans="1:5" x14ac:dyDescent="0.2">
      <c r="A171" s="63" t="s">
        <v>2381</v>
      </c>
      <c r="B171" s="64" t="s">
        <v>2380</v>
      </c>
      <c r="C171" s="8" t="s">
        <v>4</v>
      </c>
      <c r="D171" s="8" t="s">
        <v>160</v>
      </c>
      <c r="E171" s="4">
        <v>36.020000000000003</v>
      </c>
    </row>
    <row r="172" spans="1:5" ht="38.25" x14ac:dyDescent="0.2">
      <c r="A172" s="63" t="s">
        <v>2379</v>
      </c>
      <c r="B172" s="64" t="s">
        <v>2378</v>
      </c>
      <c r="C172" s="8"/>
      <c r="D172" s="8"/>
      <c r="E172" s="4">
        <v>0</v>
      </c>
    </row>
    <row r="173" spans="1:5" x14ac:dyDescent="0.2">
      <c r="A173" s="63" t="s">
        <v>2377</v>
      </c>
      <c r="B173" s="64" t="s">
        <v>2376</v>
      </c>
      <c r="C173" s="8" t="s">
        <v>143</v>
      </c>
      <c r="D173" s="8" t="s">
        <v>160</v>
      </c>
      <c r="E173" s="4">
        <v>38.26</v>
      </c>
    </row>
    <row r="174" spans="1:5" x14ac:dyDescent="0.2">
      <c r="A174" s="63" t="s">
        <v>2375</v>
      </c>
      <c r="B174" s="64" t="s">
        <v>2374</v>
      </c>
      <c r="C174" s="8" t="s">
        <v>143</v>
      </c>
      <c r="D174" s="8" t="s">
        <v>160</v>
      </c>
      <c r="E174" s="4">
        <v>54.03</v>
      </c>
    </row>
    <row r="175" spans="1:5" x14ac:dyDescent="0.2">
      <c r="A175" s="63" t="s">
        <v>2373</v>
      </c>
      <c r="B175" s="64" t="s">
        <v>2372</v>
      </c>
      <c r="C175" s="8" t="s">
        <v>4</v>
      </c>
      <c r="D175" s="8" t="s">
        <v>160</v>
      </c>
      <c r="E175" s="4">
        <v>24.01</v>
      </c>
    </row>
    <row r="176" spans="1:5" ht="25.5" x14ac:dyDescent="0.2">
      <c r="A176" s="63" t="s">
        <v>2371</v>
      </c>
      <c r="B176" s="64" t="s">
        <v>2370</v>
      </c>
      <c r="C176" s="8" t="s">
        <v>136</v>
      </c>
      <c r="D176" s="8" t="s">
        <v>160</v>
      </c>
      <c r="E176" s="4">
        <v>32.86</v>
      </c>
    </row>
    <row r="177" spans="1:5" x14ac:dyDescent="0.2">
      <c r="A177" s="63" t="s">
        <v>2369</v>
      </c>
      <c r="B177" s="64" t="s">
        <v>2368</v>
      </c>
      <c r="C177" s="8" t="s">
        <v>136</v>
      </c>
      <c r="D177" s="8" t="s">
        <v>160</v>
      </c>
      <c r="E177" s="4">
        <v>35.72</v>
      </c>
    </row>
    <row r="178" spans="1:5" x14ac:dyDescent="0.2">
      <c r="A178" s="63" t="s">
        <v>2367</v>
      </c>
      <c r="B178" s="64" t="s">
        <v>2366</v>
      </c>
      <c r="C178" s="8" t="s">
        <v>136</v>
      </c>
      <c r="D178" s="8" t="s">
        <v>160</v>
      </c>
      <c r="E178" s="4">
        <v>40.700000000000003</v>
      </c>
    </row>
    <row r="179" spans="1:5" x14ac:dyDescent="0.2">
      <c r="A179" s="63" t="s">
        <v>2365</v>
      </c>
      <c r="B179" s="64" t="s">
        <v>2364</v>
      </c>
      <c r="C179" s="8" t="s">
        <v>136</v>
      </c>
      <c r="D179" s="8" t="s">
        <v>160</v>
      </c>
      <c r="E179" s="4">
        <v>44</v>
      </c>
    </row>
    <row r="180" spans="1:5" x14ac:dyDescent="0.2">
      <c r="A180" s="63" t="s">
        <v>2363</v>
      </c>
      <c r="B180" s="64" t="s">
        <v>2362</v>
      </c>
      <c r="C180" s="8" t="s">
        <v>136</v>
      </c>
      <c r="D180" s="8" t="s">
        <v>160</v>
      </c>
      <c r="E180" s="4">
        <v>44</v>
      </c>
    </row>
    <row r="181" spans="1:5" x14ac:dyDescent="0.2">
      <c r="A181" s="63" t="s">
        <v>2361</v>
      </c>
      <c r="B181" s="64" t="s">
        <v>2360</v>
      </c>
      <c r="C181" s="8" t="s">
        <v>4</v>
      </c>
      <c r="D181" s="8" t="s">
        <v>160</v>
      </c>
      <c r="E181" s="4">
        <v>8.4</v>
      </c>
    </row>
    <row r="182" spans="1:5" ht="38.25" x14ac:dyDescent="0.2">
      <c r="A182" s="63" t="s">
        <v>2359</v>
      </c>
      <c r="B182" s="64" t="s">
        <v>2358</v>
      </c>
      <c r="C182" s="8" t="s">
        <v>136</v>
      </c>
      <c r="D182" s="8" t="s">
        <v>160</v>
      </c>
      <c r="E182" s="4">
        <v>72.03</v>
      </c>
    </row>
    <row r="183" spans="1:5" x14ac:dyDescent="0.2">
      <c r="A183" s="63" t="s">
        <v>2357</v>
      </c>
      <c r="B183" s="64" t="s">
        <v>2356</v>
      </c>
      <c r="C183" s="8" t="s">
        <v>136</v>
      </c>
      <c r="D183" s="8" t="s">
        <v>160</v>
      </c>
      <c r="E183" s="4">
        <v>90.04</v>
      </c>
    </row>
    <row r="184" spans="1:5" ht="25.5" x14ac:dyDescent="0.2">
      <c r="A184" s="63" t="s">
        <v>2355</v>
      </c>
      <c r="B184" s="64" t="s">
        <v>2354</v>
      </c>
      <c r="C184" s="8" t="s">
        <v>136</v>
      </c>
      <c r="D184" s="8" t="s">
        <v>160</v>
      </c>
      <c r="E184" s="4">
        <v>62.04</v>
      </c>
    </row>
    <row r="185" spans="1:5" ht="38.25" x14ac:dyDescent="0.2">
      <c r="A185" s="63" t="s">
        <v>2353</v>
      </c>
      <c r="B185" s="64" t="s">
        <v>2352</v>
      </c>
      <c r="C185" s="8"/>
      <c r="D185" s="8"/>
      <c r="E185" s="4">
        <v>0</v>
      </c>
    </row>
    <row r="186" spans="1:5" x14ac:dyDescent="0.2">
      <c r="A186" s="63" t="s">
        <v>2351</v>
      </c>
      <c r="B186" s="64" t="s">
        <v>2350</v>
      </c>
      <c r="C186" s="8" t="s">
        <v>143</v>
      </c>
      <c r="D186" s="8" t="s">
        <v>160</v>
      </c>
      <c r="E186" s="4">
        <v>13.14</v>
      </c>
    </row>
    <row r="187" spans="1:5" x14ac:dyDescent="0.2">
      <c r="A187" s="63" t="s">
        <v>2349</v>
      </c>
      <c r="B187" s="64" t="s">
        <v>2348</v>
      </c>
      <c r="C187" s="8" t="s">
        <v>143</v>
      </c>
      <c r="D187" s="8" t="s">
        <v>160</v>
      </c>
      <c r="E187" s="4">
        <v>24.01</v>
      </c>
    </row>
    <row r="188" spans="1:5" x14ac:dyDescent="0.2">
      <c r="A188" s="63" t="s">
        <v>2347</v>
      </c>
      <c r="B188" s="64" t="s">
        <v>2346</v>
      </c>
      <c r="C188" s="8" t="s">
        <v>143</v>
      </c>
      <c r="D188" s="8" t="s">
        <v>160</v>
      </c>
      <c r="E188" s="4">
        <v>21.61</v>
      </c>
    </row>
    <row r="189" spans="1:5" x14ac:dyDescent="0.2">
      <c r="A189" s="63" t="s">
        <v>2345</v>
      </c>
      <c r="B189" s="64" t="s">
        <v>2344</v>
      </c>
      <c r="C189" s="8" t="s">
        <v>143</v>
      </c>
      <c r="D189" s="8" t="s">
        <v>160</v>
      </c>
      <c r="E189" s="4">
        <v>26.41</v>
      </c>
    </row>
    <row r="190" spans="1:5" ht="25.5" x14ac:dyDescent="0.2">
      <c r="A190" s="63" t="s">
        <v>2343</v>
      </c>
      <c r="B190" s="64" t="s">
        <v>2342</v>
      </c>
      <c r="C190" s="8" t="s">
        <v>143</v>
      </c>
      <c r="D190" s="8" t="s">
        <v>160</v>
      </c>
      <c r="E190" s="4">
        <v>30.01</v>
      </c>
    </row>
    <row r="191" spans="1:5" ht="38.25" x14ac:dyDescent="0.2">
      <c r="A191" s="63" t="s">
        <v>2341</v>
      </c>
      <c r="B191" s="64" t="s">
        <v>2340</v>
      </c>
      <c r="C191" s="8" t="s">
        <v>4</v>
      </c>
      <c r="D191" s="8" t="s">
        <v>160</v>
      </c>
      <c r="E191" s="4">
        <v>30.01</v>
      </c>
    </row>
    <row r="192" spans="1:5" ht="51" x14ac:dyDescent="0.2">
      <c r="A192" s="63" t="s">
        <v>2339</v>
      </c>
      <c r="B192" s="64" t="s">
        <v>2338</v>
      </c>
      <c r="C192" s="8" t="s">
        <v>143</v>
      </c>
      <c r="D192" s="8" t="s">
        <v>160</v>
      </c>
      <c r="E192" s="4">
        <v>30.01</v>
      </c>
    </row>
    <row r="193" spans="1:5" x14ac:dyDescent="0.2">
      <c r="A193" s="63" t="s">
        <v>2337</v>
      </c>
      <c r="B193" s="64" t="s">
        <v>2336</v>
      </c>
      <c r="C193" s="8" t="s">
        <v>143</v>
      </c>
      <c r="D193" s="8" t="s">
        <v>160</v>
      </c>
      <c r="E193" s="4">
        <v>24.01</v>
      </c>
    </row>
    <row r="194" spans="1:5" ht="25.5" x14ac:dyDescent="0.2">
      <c r="A194" s="63" t="s">
        <v>2335</v>
      </c>
      <c r="B194" s="64" t="s">
        <v>2334</v>
      </c>
      <c r="C194" s="8" t="s">
        <v>4</v>
      </c>
      <c r="D194" s="8" t="s">
        <v>160</v>
      </c>
      <c r="E194" s="4">
        <v>540.29</v>
      </c>
    </row>
    <row r="195" spans="1:5" x14ac:dyDescent="0.2">
      <c r="A195" s="63" t="s">
        <v>2333</v>
      </c>
      <c r="B195" s="64" t="s">
        <v>2329</v>
      </c>
      <c r="C195" s="8" t="s">
        <v>4</v>
      </c>
      <c r="D195" s="8" t="s">
        <v>160</v>
      </c>
      <c r="E195" s="4">
        <v>590.21</v>
      </c>
    </row>
    <row r="196" spans="1:5" ht="25.5" x14ac:dyDescent="0.2">
      <c r="A196" s="63" t="s">
        <v>2332</v>
      </c>
      <c r="B196" s="64" t="s">
        <v>2331</v>
      </c>
      <c r="C196" s="8" t="s">
        <v>4</v>
      </c>
      <c r="D196" s="8" t="s">
        <v>160</v>
      </c>
      <c r="E196" s="4">
        <v>780.42</v>
      </c>
    </row>
    <row r="197" spans="1:5" x14ac:dyDescent="0.2">
      <c r="A197" s="63" t="s">
        <v>2330</v>
      </c>
      <c r="B197" s="64" t="s">
        <v>2329</v>
      </c>
      <c r="C197" s="8" t="s">
        <v>4</v>
      </c>
      <c r="D197" s="8" t="s">
        <v>160</v>
      </c>
      <c r="E197" s="4">
        <v>780.42</v>
      </c>
    </row>
    <row r="198" spans="1:5" ht="25.5" x14ac:dyDescent="0.2">
      <c r="A198" s="63" t="s">
        <v>2328</v>
      </c>
      <c r="B198" s="64" t="s">
        <v>2327</v>
      </c>
      <c r="C198" s="8"/>
      <c r="D198" s="8"/>
      <c r="E198" s="4">
        <v>0</v>
      </c>
    </row>
    <row r="199" spans="1:5" x14ac:dyDescent="0.2">
      <c r="A199" s="63" t="s">
        <v>2326</v>
      </c>
      <c r="B199" s="64" t="s">
        <v>2325</v>
      </c>
      <c r="C199" s="8" t="s">
        <v>143</v>
      </c>
      <c r="D199" s="8" t="s">
        <v>160</v>
      </c>
      <c r="E199" s="4">
        <v>18.52</v>
      </c>
    </row>
    <row r="200" spans="1:5" x14ac:dyDescent="0.2">
      <c r="A200" s="63" t="s">
        <v>2324</v>
      </c>
      <c r="B200" s="64" t="s">
        <v>2323</v>
      </c>
      <c r="C200" s="8" t="s">
        <v>143</v>
      </c>
      <c r="D200" s="8" t="s">
        <v>160</v>
      </c>
      <c r="E200" s="4">
        <v>21.61</v>
      </c>
    </row>
    <row r="201" spans="1:5" x14ac:dyDescent="0.2">
      <c r="A201" s="63" t="s">
        <v>2322</v>
      </c>
      <c r="B201" s="64" t="s">
        <v>2321</v>
      </c>
      <c r="C201" s="8" t="s">
        <v>143</v>
      </c>
      <c r="D201" s="8" t="s">
        <v>160</v>
      </c>
      <c r="E201" s="4">
        <v>30.01</v>
      </c>
    </row>
    <row r="202" spans="1:5" ht="38.25" x14ac:dyDescent="0.2">
      <c r="A202" s="63" t="s">
        <v>2320</v>
      </c>
      <c r="B202" s="64" t="s">
        <v>2319</v>
      </c>
      <c r="C202" s="8"/>
      <c r="D202" s="8"/>
      <c r="E202" s="4">
        <v>0</v>
      </c>
    </row>
    <row r="203" spans="1:5" x14ac:dyDescent="0.2">
      <c r="A203" s="63" t="s">
        <v>2318</v>
      </c>
      <c r="B203" s="64" t="s">
        <v>2317</v>
      </c>
      <c r="C203" s="8" t="s">
        <v>143</v>
      </c>
      <c r="D203" s="8" t="s">
        <v>160</v>
      </c>
      <c r="E203" s="4">
        <v>50.11</v>
      </c>
    </row>
    <row r="204" spans="1:5" x14ac:dyDescent="0.2">
      <c r="A204" s="63" t="s">
        <v>2316</v>
      </c>
      <c r="B204" s="64" t="s">
        <v>2315</v>
      </c>
      <c r="C204" s="8" t="s">
        <v>143</v>
      </c>
      <c r="D204" s="8" t="s">
        <v>160</v>
      </c>
      <c r="E204" s="4">
        <v>60.03</v>
      </c>
    </row>
    <row r="205" spans="1:5" x14ac:dyDescent="0.2">
      <c r="A205" s="63" t="s">
        <v>2314</v>
      </c>
      <c r="B205" s="64" t="s">
        <v>2313</v>
      </c>
      <c r="C205" s="8" t="s">
        <v>143</v>
      </c>
      <c r="D205" s="8" t="s">
        <v>160</v>
      </c>
      <c r="E205" s="4">
        <v>47.62</v>
      </c>
    </row>
    <row r="206" spans="1:5" ht="25.5" x14ac:dyDescent="0.2">
      <c r="A206" s="63" t="s">
        <v>2312</v>
      </c>
      <c r="B206" s="64" t="s">
        <v>2311</v>
      </c>
      <c r="C206" s="8" t="s">
        <v>136</v>
      </c>
      <c r="D206" s="8" t="s">
        <v>160</v>
      </c>
      <c r="E206" s="4">
        <v>36.020000000000003</v>
      </c>
    </row>
    <row r="207" spans="1:5" ht="51" x14ac:dyDescent="0.2">
      <c r="A207" s="63" t="s">
        <v>2310</v>
      </c>
      <c r="B207" s="64" t="s">
        <v>2309</v>
      </c>
      <c r="C207" s="8" t="s">
        <v>4</v>
      </c>
      <c r="D207" s="8" t="s">
        <v>160</v>
      </c>
      <c r="E207" s="4">
        <v>134.36000000000001</v>
      </c>
    </row>
    <row r="208" spans="1:5" ht="38.25" x14ac:dyDescent="0.2">
      <c r="A208" s="63" t="s">
        <v>2308</v>
      </c>
      <c r="B208" s="64" t="s">
        <v>2307</v>
      </c>
      <c r="C208" s="8"/>
      <c r="D208" s="8"/>
      <c r="E208" s="4">
        <v>0</v>
      </c>
    </row>
    <row r="209" spans="1:5" x14ac:dyDescent="0.2">
      <c r="A209" s="63" t="s">
        <v>2306</v>
      </c>
      <c r="B209" s="64" t="s">
        <v>2287</v>
      </c>
      <c r="C209" s="8" t="s">
        <v>143</v>
      </c>
      <c r="D209" s="8" t="s">
        <v>160</v>
      </c>
      <c r="E209" s="4">
        <v>11.11</v>
      </c>
    </row>
    <row r="210" spans="1:5" x14ac:dyDescent="0.2">
      <c r="A210" s="63" t="s">
        <v>2305</v>
      </c>
      <c r="B210" s="64" t="s">
        <v>2285</v>
      </c>
      <c r="C210" s="8" t="s">
        <v>143</v>
      </c>
      <c r="D210" s="8" t="s">
        <v>160</v>
      </c>
      <c r="E210" s="4">
        <v>14.71</v>
      </c>
    </row>
    <row r="211" spans="1:5" x14ac:dyDescent="0.2">
      <c r="A211" s="63" t="s">
        <v>2304</v>
      </c>
      <c r="B211" s="64" t="s">
        <v>2283</v>
      </c>
      <c r="C211" s="8" t="s">
        <v>143</v>
      </c>
      <c r="D211" s="8" t="s">
        <v>160</v>
      </c>
      <c r="E211" s="4">
        <v>16.8</v>
      </c>
    </row>
    <row r="212" spans="1:5" x14ac:dyDescent="0.2">
      <c r="A212" s="63" t="s">
        <v>2303</v>
      </c>
      <c r="B212" s="64" t="s">
        <v>2281</v>
      </c>
      <c r="C212" s="8" t="s">
        <v>143</v>
      </c>
      <c r="D212" s="8" t="s">
        <v>160</v>
      </c>
      <c r="E212" s="4">
        <v>19.2</v>
      </c>
    </row>
    <row r="213" spans="1:5" x14ac:dyDescent="0.2">
      <c r="A213" s="63" t="s">
        <v>2302</v>
      </c>
      <c r="B213" s="64" t="s">
        <v>2295</v>
      </c>
      <c r="C213" s="8" t="s">
        <v>143</v>
      </c>
      <c r="D213" s="8" t="s">
        <v>160</v>
      </c>
      <c r="E213" s="4">
        <v>24.01</v>
      </c>
    </row>
    <row r="214" spans="1:5" x14ac:dyDescent="0.2">
      <c r="A214" s="63" t="s">
        <v>2301</v>
      </c>
      <c r="B214" s="64" t="s">
        <v>2293</v>
      </c>
      <c r="C214" s="8" t="s">
        <v>143</v>
      </c>
      <c r="D214" s="8" t="s">
        <v>160</v>
      </c>
      <c r="E214" s="4">
        <v>27.01</v>
      </c>
    </row>
    <row r="215" spans="1:5" ht="38.25" x14ac:dyDescent="0.2">
      <c r="A215" s="63" t="s">
        <v>2300</v>
      </c>
      <c r="B215" s="64" t="s">
        <v>2299</v>
      </c>
      <c r="C215" s="8"/>
      <c r="D215" s="8"/>
      <c r="E215" s="4">
        <v>0</v>
      </c>
    </row>
    <row r="216" spans="1:5" x14ac:dyDescent="0.2">
      <c r="A216" s="63" t="s">
        <v>2298</v>
      </c>
      <c r="B216" s="64" t="s">
        <v>2283</v>
      </c>
      <c r="C216" s="8" t="s">
        <v>143</v>
      </c>
      <c r="D216" s="8" t="s">
        <v>160</v>
      </c>
      <c r="E216" s="4">
        <v>36.020000000000003</v>
      </c>
    </row>
    <row r="217" spans="1:5" x14ac:dyDescent="0.2">
      <c r="A217" s="63" t="s">
        <v>2297</v>
      </c>
      <c r="B217" s="64" t="s">
        <v>2281</v>
      </c>
      <c r="C217" s="8" t="s">
        <v>143</v>
      </c>
      <c r="D217" s="8" t="s">
        <v>160</v>
      </c>
      <c r="E217" s="4">
        <v>48.02</v>
      </c>
    </row>
    <row r="218" spans="1:5" x14ac:dyDescent="0.2">
      <c r="A218" s="63" t="s">
        <v>2296</v>
      </c>
      <c r="B218" s="64" t="s">
        <v>2295</v>
      </c>
      <c r="C218" s="8" t="s">
        <v>143</v>
      </c>
      <c r="D218" s="8" t="s">
        <v>160</v>
      </c>
      <c r="E218" s="4">
        <v>60.03</v>
      </c>
    </row>
    <row r="219" spans="1:5" x14ac:dyDescent="0.2">
      <c r="A219" s="63" t="s">
        <v>2294</v>
      </c>
      <c r="B219" s="64" t="s">
        <v>2293</v>
      </c>
      <c r="C219" s="8" t="s">
        <v>143</v>
      </c>
      <c r="D219" s="8" t="s">
        <v>160</v>
      </c>
      <c r="E219" s="4">
        <v>84.05</v>
      </c>
    </row>
    <row r="220" spans="1:5" x14ac:dyDescent="0.2">
      <c r="A220" s="63" t="s">
        <v>2292</v>
      </c>
      <c r="B220" s="64" t="s">
        <v>2291</v>
      </c>
      <c r="C220" s="8" t="s">
        <v>143</v>
      </c>
      <c r="D220" s="8" t="s">
        <v>160</v>
      </c>
      <c r="E220" s="4">
        <v>108.06</v>
      </c>
    </row>
    <row r="221" spans="1:5" ht="25.5" x14ac:dyDescent="0.2">
      <c r="A221" s="63" t="s">
        <v>2290</v>
      </c>
      <c r="B221" s="64" t="s">
        <v>2289</v>
      </c>
      <c r="C221" s="8"/>
      <c r="D221" s="8"/>
      <c r="E221" s="4">
        <v>0</v>
      </c>
    </row>
    <row r="222" spans="1:5" x14ac:dyDescent="0.2">
      <c r="A222" s="63" t="s">
        <v>2288</v>
      </c>
      <c r="B222" s="64" t="s">
        <v>2287</v>
      </c>
      <c r="C222" s="8" t="s">
        <v>143</v>
      </c>
      <c r="D222" s="8" t="s">
        <v>160</v>
      </c>
      <c r="E222" s="4">
        <v>8.57</v>
      </c>
    </row>
    <row r="223" spans="1:5" x14ac:dyDescent="0.2">
      <c r="A223" s="63" t="s">
        <v>2286</v>
      </c>
      <c r="B223" s="64" t="s">
        <v>2285</v>
      </c>
      <c r="C223" s="8" t="s">
        <v>143</v>
      </c>
      <c r="D223" s="8" t="s">
        <v>160</v>
      </c>
      <c r="E223" s="4">
        <v>10.79</v>
      </c>
    </row>
    <row r="224" spans="1:5" x14ac:dyDescent="0.2">
      <c r="A224" s="63" t="s">
        <v>2284</v>
      </c>
      <c r="B224" s="64" t="s">
        <v>2283</v>
      </c>
      <c r="C224" s="8" t="s">
        <v>143</v>
      </c>
      <c r="D224" s="8" t="s">
        <v>160</v>
      </c>
      <c r="E224" s="4">
        <v>14.6</v>
      </c>
    </row>
    <row r="225" spans="1:5" x14ac:dyDescent="0.2">
      <c r="A225" s="63" t="s">
        <v>2282</v>
      </c>
      <c r="B225" s="64" t="s">
        <v>2281</v>
      </c>
      <c r="C225" s="8" t="s">
        <v>143</v>
      </c>
      <c r="D225" s="8" t="s">
        <v>160</v>
      </c>
      <c r="E225" s="4">
        <v>19.2</v>
      </c>
    </row>
    <row r="226" spans="1:5" ht="25.5" x14ac:dyDescent="0.2">
      <c r="A226" s="63" t="s">
        <v>2280</v>
      </c>
      <c r="B226" s="64" t="s">
        <v>2279</v>
      </c>
      <c r="C226" s="8" t="s">
        <v>4</v>
      </c>
      <c r="D226" s="8" t="s">
        <v>160</v>
      </c>
      <c r="E226" s="4">
        <v>30.16</v>
      </c>
    </row>
    <row r="227" spans="1:5" ht="38.25" x14ac:dyDescent="0.2">
      <c r="A227" s="63" t="s">
        <v>2278</v>
      </c>
      <c r="B227" s="64" t="s">
        <v>2277</v>
      </c>
      <c r="C227" s="8"/>
      <c r="D227" s="8"/>
      <c r="E227" s="4">
        <v>0</v>
      </c>
    </row>
    <row r="228" spans="1:5" x14ac:dyDescent="0.2">
      <c r="A228" s="63" t="s">
        <v>2276</v>
      </c>
      <c r="B228" s="64" t="s">
        <v>2270</v>
      </c>
      <c r="C228" s="8" t="s">
        <v>4</v>
      </c>
      <c r="D228" s="8" t="s">
        <v>160</v>
      </c>
      <c r="E228" s="4">
        <v>74.12</v>
      </c>
    </row>
    <row r="229" spans="1:5" x14ac:dyDescent="0.2">
      <c r="A229" s="63" t="s">
        <v>2275</v>
      </c>
      <c r="B229" s="64" t="s">
        <v>2268</v>
      </c>
      <c r="C229" s="8" t="s">
        <v>4</v>
      </c>
      <c r="D229" s="8" t="s">
        <v>160</v>
      </c>
      <c r="E229" s="4">
        <v>132.07</v>
      </c>
    </row>
    <row r="230" spans="1:5" x14ac:dyDescent="0.2">
      <c r="A230" s="63" t="s">
        <v>2274</v>
      </c>
      <c r="B230" s="64" t="s">
        <v>2266</v>
      </c>
      <c r="C230" s="8" t="s">
        <v>4</v>
      </c>
      <c r="D230" s="8" t="s">
        <v>160</v>
      </c>
      <c r="E230" s="4">
        <v>186.05</v>
      </c>
    </row>
    <row r="231" spans="1:5" ht="38.25" x14ac:dyDescent="0.2">
      <c r="A231" s="63" t="s">
        <v>2273</v>
      </c>
      <c r="B231" s="64" t="s">
        <v>2272</v>
      </c>
      <c r="C231" s="8"/>
      <c r="D231" s="8"/>
      <c r="E231" s="4">
        <v>0</v>
      </c>
    </row>
    <row r="232" spans="1:5" x14ac:dyDescent="0.2">
      <c r="A232" s="63" t="s">
        <v>2271</v>
      </c>
      <c r="B232" s="64" t="s">
        <v>2270</v>
      </c>
      <c r="C232" s="8" t="s">
        <v>4</v>
      </c>
      <c r="D232" s="8" t="s">
        <v>160</v>
      </c>
      <c r="E232" s="4">
        <v>50.8</v>
      </c>
    </row>
    <row r="233" spans="1:5" x14ac:dyDescent="0.2">
      <c r="A233" s="63" t="s">
        <v>2269</v>
      </c>
      <c r="B233" s="64" t="s">
        <v>2268</v>
      </c>
      <c r="C233" s="8" t="s">
        <v>4</v>
      </c>
      <c r="D233" s="8" t="s">
        <v>160</v>
      </c>
      <c r="E233" s="4">
        <v>46.04</v>
      </c>
    </row>
    <row r="234" spans="1:5" x14ac:dyDescent="0.2">
      <c r="A234" s="63" t="s">
        <v>2267</v>
      </c>
      <c r="B234" s="64" t="s">
        <v>2266</v>
      </c>
      <c r="C234" s="8" t="s">
        <v>4</v>
      </c>
      <c r="D234" s="8" t="s">
        <v>160</v>
      </c>
      <c r="E234" s="4">
        <v>42.86</v>
      </c>
    </row>
    <row r="235" spans="1:5" ht="38.25" x14ac:dyDescent="0.2">
      <c r="A235" s="63" t="s">
        <v>2265</v>
      </c>
      <c r="B235" s="64" t="s">
        <v>2264</v>
      </c>
      <c r="C235" s="8"/>
      <c r="D235" s="8"/>
      <c r="E235" s="4">
        <v>0</v>
      </c>
    </row>
    <row r="236" spans="1:5" x14ac:dyDescent="0.2">
      <c r="A236" s="63" t="s">
        <v>2263</v>
      </c>
      <c r="B236" s="64" t="s">
        <v>2262</v>
      </c>
      <c r="C236" s="8" t="s">
        <v>4</v>
      </c>
      <c r="D236" s="8" t="s">
        <v>160</v>
      </c>
      <c r="E236" s="4">
        <v>150.08000000000001</v>
      </c>
    </row>
    <row r="237" spans="1:5" x14ac:dyDescent="0.2">
      <c r="A237" s="63" t="s">
        <v>2261</v>
      </c>
      <c r="B237" s="64" t="s">
        <v>2260</v>
      </c>
      <c r="C237" s="8" t="s">
        <v>4</v>
      </c>
      <c r="D237" s="8" t="s">
        <v>160</v>
      </c>
      <c r="E237" s="4">
        <v>165.1</v>
      </c>
    </row>
    <row r="238" spans="1:5" x14ac:dyDescent="0.2">
      <c r="A238" s="63" t="s">
        <v>2259</v>
      </c>
      <c r="B238" s="64" t="s">
        <v>2258</v>
      </c>
      <c r="C238" s="8" t="s">
        <v>4</v>
      </c>
      <c r="D238" s="8" t="s">
        <v>160</v>
      </c>
      <c r="E238" s="4">
        <v>176.21</v>
      </c>
    </row>
    <row r="239" spans="1:5" ht="38.25" x14ac:dyDescent="0.2">
      <c r="A239" s="63" t="s">
        <v>2257</v>
      </c>
      <c r="B239" s="64" t="s">
        <v>2256</v>
      </c>
      <c r="C239" s="8" t="s">
        <v>4</v>
      </c>
      <c r="D239" s="8" t="s">
        <v>160</v>
      </c>
      <c r="E239" s="4">
        <v>3.65</v>
      </c>
    </row>
    <row r="240" spans="1:5" x14ac:dyDescent="0.2">
      <c r="A240" s="63" t="s">
        <v>2255</v>
      </c>
      <c r="B240" s="64" t="s">
        <v>2254</v>
      </c>
      <c r="C240" s="8" t="s">
        <v>143</v>
      </c>
      <c r="D240" s="8" t="s">
        <v>160</v>
      </c>
      <c r="E240" s="4">
        <v>24.01</v>
      </c>
    </row>
    <row r="241" spans="1:5" ht="25.5" x14ac:dyDescent="0.2">
      <c r="A241" s="63" t="s">
        <v>2253</v>
      </c>
      <c r="B241" s="64" t="s">
        <v>2252</v>
      </c>
      <c r="C241" s="8" t="s">
        <v>143</v>
      </c>
      <c r="D241" s="8" t="s">
        <v>160</v>
      </c>
      <c r="E241" s="4">
        <v>55.56</v>
      </c>
    </row>
    <row r="242" spans="1:5" x14ac:dyDescent="0.2">
      <c r="A242" s="63" t="s">
        <v>2251</v>
      </c>
      <c r="B242" s="64" t="s">
        <v>2250</v>
      </c>
      <c r="C242" s="8" t="s">
        <v>143</v>
      </c>
      <c r="D242" s="8" t="s">
        <v>160</v>
      </c>
      <c r="E242" s="4">
        <v>108.06</v>
      </c>
    </row>
    <row r="243" spans="1:5" x14ac:dyDescent="0.2">
      <c r="A243" s="63" t="s">
        <v>2249</v>
      </c>
      <c r="B243" s="64" t="s">
        <v>2248</v>
      </c>
      <c r="C243" s="8" t="s">
        <v>4</v>
      </c>
      <c r="D243" s="8" t="s">
        <v>160</v>
      </c>
      <c r="E243" s="4">
        <v>31.75</v>
      </c>
    </row>
    <row r="244" spans="1:5" ht="38.25" x14ac:dyDescent="0.2">
      <c r="A244" s="63" t="s">
        <v>2247</v>
      </c>
      <c r="B244" s="64" t="s">
        <v>2246</v>
      </c>
      <c r="C244" s="8" t="s">
        <v>136</v>
      </c>
      <c r="D244" s="8" t="s">
        <v>160</v>
      </c>
      <c r="E244" s="4">
        <v>111.36</v>
      </c>
    </row>
    <row r="245" spans="1:5" x14ac:dyDescent="0.2">
      <c r="A245" s="63" t="s">
        <v>2245</v>
      </c>
      <c r="B245" s="64" t="s">
        <v>2244</v>
      </c>
      <c r="C245" s="8" t="s">
        <v>136</v>
      </c>
      <c r="D245" s="8" t="s">
        <v>160</v>
      </c>
      <c r="E245" s="4">
        <v>108.06</v>
      </c>
    </row>
    <row r="246" spans="1:5" ht="25.5" x14ac:dyDescent="0.2">
      <c r="A246" s="63" t="s">
        <v>2243</v>
      </c>
      <c r="B246" s="64" t="s">
        <v>2242</v>
      </c>
      <c r="C246" s="8"/>
      <c r="D246" s="8"/>
      <c r="E246" s="4">
        <v>0</v>
      </c>
    </row>
    <row r="247" spans="1:5" x14ac:dyDescent="0.2">
      <c r="A247" s="63" t="s">
        <v>2241</v>
      </c>
      <c r="B247" s="64" t="s">
        <v>2240</v>
      </c>
      <c r="C247" s="8" t="s">
        <v>4</v>
      </c>
      <c r="D247" s="8" t="s">
        <v>160</v>
      </c>
      <c r="E247" s="4">
        <v>1323.03</v>
      </c>
    </row>
    <row r="248" spans="1:5" x14ac:dyDescent="0.2">
      <c r="A248" s="63" t="s">
        <v>2239</v>
      </c>
      <c r="B248" s="64" t="s">
        <v>2238</v>
      </c>
      <c r="C248" s="8" t="s">
        <v>4</v>
      </c>
      <c r="D248" s="8" t="s">
        <v>160</v>
      </c>
      <c r="E248" s="4">
        <v>1800.99</v>
      </c>
    </row>
    <row r="249" spans="1:5" x14ac:dyDescent="0.2">
      <c r="A249" s="63" t="s">
        <v>2237</v>
      </c>
      <c r="B249" s="64" t="s">
        <v>2236</v>
      </c>
      <c r="C249" s="8" t="s">
        <v>4</v>
      </c>
      <c r="D249" s="8" t="s">
        <v>160</v>
      </c>
      <c r="E249" s="4">
        <v>2462.31</v>
      </c>
    </row>
    <row r="250" spans="1:5" ht="25.5" x14ac:dyDescent="0.2">
      <c r="A250" s="63" t="s">
        <v>2235</v>
      </c>
      <c r="B250" s="64" t="s">
        <v>2234</v>
      </c>
      <c r="C250" s="8" t="s">
        <v>143</v>
      </c>
      <c r="D250" s="8" t="s">
        <v>160</v>
      </c>
      <c r="E250" s="4">
        <v>127.89</v>
      </c>
    </row>
    <row r="251" spans="1:5" ht="25.5" x14ac:dyDescent="0.2">
      <c r="A251" s="63" t="s">
        <v>2233</v>
      </c>
      <c r="B251" s="64" t="s">
        <v>2232</v>
      </c>
      <c r="C251" s="8" t="s">
        <v>143</v>
      </c>
      <c r="D251" s="8" t="s">
        <v>160</v>
      </c>
      <c r="E251" s="4">
        <v>9.6</v>
      </c>
    </row>
    <row r="252" spans="1:5" ht="38.25" x14ac:dyDescent="0.2">
      <c r="A252" s="63" t="s">
        <v>2231</v>
      </c>
      <c r="B252" s="64" t="s">
        <v>2230</v>
      </c>
      <c r="C252" s="8" t="s">
        <v>136</v>
      </c>
      <c r="D252" s="8" t="s">
        <v>160</v>
      </c>
      <c r="E252" s="4">
        <v>40.479999999999997</v>
      </c>
    </row>
    <row r="253" spans="1:5" ht="25.5" x14ac:dyDescent="0.2">
      <c r="A253" s="63" t="s">
        <v>2229</v>
      </c>
      <c r="B253" s="64" t="s">
        <v>2228</v>
      </c>
      <c r="C253" s="8" t="s">
        <v>4</v>
      </c>
      <c r="D253" s="8" t="s">
        <v>160</v>
      </c>
      <c r="E253" s="4">
        <v>13.49</v>
      </c>
    </row>
    <row r="254" spans="1:5" x14ac:dyDescent="0.2">
      <c r="A254" s="63" t="s">
        <v>2227</v>
      </c>
      <c r="B254" s="64" t="s">
        <v>2226</v>
      </c>
      <c r="C254" s="8" t="s">
        <v>4</v>
      </c>
      <c r="D254" s="8" t="s">
        <v>160</v>
      </c>
      <c r="E254" s="4">
        <v>15.48</v>
      </c>
    </row>
    <row r="255" spans="1:5" ht="25.5" x14ac:dyDescent="0.2">
      <c r="A255" s="63" t="s">
        <v>2225</v>
      </c>
      <c r="B255" s="64" t="s">
        <v>2224</v>
      </c>
      <c r="C255" s="8" t="s">
        <v>4</v>
      </c>
      <c r="D255" s="8" t="s">
        <v>160</v>
      </c>
      <c r="E255" s="4">
        <v>50.11</v>
      </c>
    </row>
    <row r="256" spans="1:5" x14ac:dyDescent="0.2">
      <c r="A256" s="63" t="s">
        <v>2223</v>
      </c>
      <c r="B256" s="64" t="s">
        <v>2222</v>
      </c>
      <c r="C256" s="8" t="s">
        <v>4</v>
      </c>
      <c r="D256" s="8" t="s">
        <v>160</v>
      </c>
      <c r="E256" s="4">
        <v>60.5</v>
      </c>
    </row>
    <row r="257" spans="1:5" x14ac:dyDescent="0.2">
      <c r="A257" s="7" t="s">
        <v>2221</v>
      </c>
      <c r="B257" s="6" t="s">
        <v>2220</v>
      </c>
      <c r="C257" s="5"/>
      <c r="D257" s="5"/>
      <c r="E257" s="4">
        <v>0</v>
      </c>
    </row>
    <row r="258" spans="1:5" ht="38.25" x14ac:dyDescent="0.2">
      <c r="A258" s="63" t="s">
        <v>2219</v>
      </c>
      <c r="B258" s="64" t="s">
        <v>2218</v>
      </c>
      <c r="C258" s="8" t="s">
        <v>136</v>
      </c>
      <c r="D258" s="8" t="s">
        <v>3</v>
      </c>
      <c r="E258" s="4">
        <v>3.3</v>
      </c>
    </row>
    <row r="259" spans="1:5" ht="63.75" x14ac:dyDescent="0.2">
      <c r="A259" s="63" t="s">
        <v>2217</v>
      </c>
      <c r="B259" s="64" t="s">
        <v>2216</v>
      </c>
      <c r="C259" s="8" t="s">
        <v>136</v>
      </c>
      <c r="D259" s="8" t="s">
        <v>160</v>
      </c>
      <c r="E259" s="4">
        <v>27.5</v>
      </c>
    </row>
    <row r="260" spans="1:5" ht="51" x14ac:dyDescent="0.2">
      <c r="A260" s="63" t="s">
        <v>2215</v>
      </c>
      <c r="B260" s="64" t="s">
        <v>2214</v>
      </c>
      <c r="C260" s="8" t="s">
        <v>136</v>
      </c>
      <c r="D260" s="8" t="s">
        <v>160</v>
      </c>
      <c r="E260" s="4">
        <v>27.5</v>
      </c>
    </row>
    <row r="261" spans="1:5" ht="76.5" x14ac:dyDescent="0.2">
      <c r="A261" s="63" t="s">
        <v>2213</v>
      </c>
      <c r="B261" s="64" t="s">
        <v>2212</v>
      </c>
      <c r="C261" s="8" t="s">
        <v>136</v>
      </c>
      <c r="D261" s="8" t="s">
        <v>160</v>
      </c>
      <c r="E261" s="4">
        <v>27.5</v>
      </c>
    </row>
    <row r="262" spans="1:5" ht="76.5" x14ac:dyDescent="0.2">
      <c r="A262" s="63" t="s">
        <v>2211</v>
      </c>
      <c r="B262" s="64" t="s">
        <v>2210</v>
      </c>
      <c r="C262" s="8" t="s">
        <v>136</v>
      </c>
      <c r="D262" s="8" t="s">
        <v>160</v>
      </c>
      <c r="E262" s="4">
        <v>27.5</v>
      </c>
    </row>
    <row r="263" spans="1:5" x14ac:dyDescent="0.2">
      <c r="A263" s="7" t="s">
        <v>2209</v>
      </c>
      <c r="B263" s="6" t="s">
        <v>2208</v>
      </c>
      <c r="C263" s="5"/>
      <c r="D263" s="5"/>
      <c r="E263" s="4">
        <v>0</v>
      </c>
    </row>
    <row r="264" spans="1:5" x14ac:dyDescent="0.2">
      <c r="A264" s="7" t="s">
        <v>2207</v>
      </c>
      <c r="B264" s="6" t="s">
        <v>2206</v>
      </c>
      <c r="C264" s="5"/>
      <c r="D264" s="5"/>
      <c r="E264" s="4">
        <v>0</v>
      </c>
    </row>
    <row r="265" spans="1:5" ht="89.25" x14ac:dyDescent="0.2">
      <c r="A265" s="63" t="s">
        <v>2205</v>
      </c>
      <c r="B265" s="64" t="s">
        <v>2204</v>
      </c>
      <c r="C265" s="8" t="s">
        <v>4</v>
      </c>
      <c r="D265" s="8" t="s">
        <v>160</v>
      </c>
      <c r="E265" s="4">
        <v>162.08000000000001</v>
      </c>
    </row>
    <row r="266" spans="1:5" x14ac:dyDescent="0.2">
      <c r="A266" s="63" t="s">
        <v>2203</v>
      </c>
      <c r="B266" s="64" t="s">
        <v>2202</v>
      </c>
      <c r="C266" s="8" t="s">
        <v>4</v>
      </c>
      <c r="D266" s="8" t="s">
        <v>160</v>
      </c>
      <c r="E266" s="4">
        <v>180.1</v>
      </c>
    </row>
    <row r="267" spans="1:5" x14ac:dyDescent="0.2">
      <c r="A267" s="63" t="s">
        <v>2201</v>
      </c>
      <c r="B267" s="64" t="s">
        <v>2200</v>
      </c>
      <c r="C267" s="8" t="s">
        <v>4</v>
      </c>
      <c r="D267" s="8" t="s">
        <v>160</v>
      </c>
      <c r="E267" s="4">
        <v>210.11</v>
      </c>
    </row>
    <row r="268" spans="1:5" ht="76.5" x14ac:dyDescent="0.2">
      <c r="A268" s="63" t="s">
        <v>2199</v>
      </c>
      <c r="B268" s="64" t="s">
        <v>2198</v>
      </c>
      <c r="C268" s="8" t="s">
        <v>4</v>
      </c>
      <c r="D268" s="8" t="s">
        <v>160</v>
      </c>
      <c r="E268" s="4">
        <v>360.19</v>
      </c>
    </row>
    <row r="269" spans="1:5" ht="76.5" x14ac:dyDescent="0.2">
      <c r="A269" s="63" t="s">
        <v>2197</v>
      </c>
      <c r="B269" s="64" t="s">
        <v>2196</v>
      </c>
      <c r="C269" s="8" t="s">
        <v>4</v>
      </c>
      <c r="D269" s="8" t="s">
        <v>160</v>
      </c>
      <c r="E269" s="4">
        <v>495</v>
      </c>
    </row>
    <row r="270" spans="1:5" x14ac:dyDescent="0.2">
      <c r="A270" s="63" t="s">
        <v>2195</v>
      </c>
      <c r="B270" s="64" t="s">
        <v>2194</v>
      </c>
      <c r="C270" s="8" t="s">
        <v>4</v>
      </c>
      <c r="D270" s="8" t="s">
        <v>160</v>
      </c>
      <c r="E270" s="4">
        <v>165</v>
      </c>
    </row>
    <row r="271" spans="1:5" ht="25.5" x14ac:dyDescent="0.2">
      <c r="A271" s="63" t="s">
        <v>2193</v>
      </c>
      <c r="B271" s="64" t="s">
        <v>2192</v>
      </c>
      <c r="C271" s="8" t="s">
        <v>4</v>
      </c>
      <c r="D271" s="8" t="s">
        <v>160</v>
      </c>
      <c r="E271" s="4">
        <v>190.5</v>
      </c>
    </row>
    <row r="272" spans="1:5" x14ac:dyDescent="0.2">
      <c r="A272" s="7" t="s">
        <v>2191</v>
      </c>
      <c r="B272" s="6" t="s">
        <v>1740</v>
      </c>
      <c r="C272" s="5"/>
      <c r="D272" s="5"/>
      <c r="E272" s="4">
        <v>0</v>
      </c>
    </row>
    <row r="273" spans="1:5" ht="25.5" x14ac:dyDescent="0.2">
      <c r="A273" s="63" t="s">
        <v>2190</v>
      </c>
      <c r="B273" s="64" t="s">
        <v>2189</v>
      </c>
      <c r="C273" s="8" t="s">
        <v>136</v>
      </c>
      <c r="D273" s="8" t="s">
        <v>160</v>
      </c>
      <c r="E273" s="4">
        <v>12.37</v>
      </c>
    </row>
    <row r="274" spans="1:5" x14ac:dyDescent="0.2">
      <c r="A274" s="63" t="s">
        <v>2188</v>
      </c>
      <c r="B274" s="64" t="s">
        <v>2187</v>
      </c>
      <c r="C274" s="8" t="s">
        <v>136</v>
      </c>
      <c r="D274" s="8" t="s">
        <v>160</v>
      </c>
      <c r="E274" s="4">
        <v>14.09</v>
      </c>
    </row>
    <row r="275" spans="1:5" x14ac:dyDescent="0.2">
      <c r="A275" s="63" t="s">
        <v>2186</v>
      </c>
      <c r="B275" s="64" t="s">
        <v>2185</v>
      </c>
      <c r="C275" s="8" t="s">
        <v>136</v>
      </c>
      <c r="D275" s="8" t="s">
        <v>160</v>
      </c>
      <c r="E275" s="4">
        <v>13.36</v>
      </c>
    </row>
    <row r="276" spans="1:5" x14ac:dyDescent="0.2">
      <c r="A276" s="63" t="s">
        <v>2184</v>
      </c>
      <c r="B276" s="64" t="s">
        <v>2183</v>
      </c>
      <c r="C276" s="8" t="s">
        <v>136</v>
      </c>
      <c r="D276" s="8" t="s">
        <v>160</v>
      </c>
      <c r="E276" s="4">
        <v>15.12</v>
      </c>
    </row>
    <row r="277" spans="1:5" x14ac:dyDescent="0.2">
      <c r="A277" s="63" t="s">
        <v>2182</v>
      </c>
      <c r="B277" s="64" t="s">
        <v>2181</v>
      </c>
      <c r="C277" s="8" t="s">
        <v>136</v>
      </c>
      <c r="D277" s="8" t="s">
        <v>160</v>
      </c>
      <c r="E277" s="4">
        <v>20.079999999999998</v>
      </c>
    </row>
    <row r="278" spans="1:5" ht="25.5" x14ac:dyDescent="0.2">
      <c r="A278" s="63" t="s">
        <v>2180</v>
      </c>
      <c r="B278" s="64" t="s">
        <v>2179</v>
      </c>
      <c r="C278" s="8" t="s">
        <v>136</v>
      </c>
      <c r="D278" s="8" t="s">
        <v>160</v>
      </c>
      <c r="E278" s="4">
        <v>20.2</v>
      </c>
    </row>
    <row r="279" spans="1:5" x14ac:dyDescent="0.2">
      <c r="A279" s="63" t="s">
        <v>2178</v>
      </c>
      <c r="B279" s="64" t="s">
        <v>2177</v>
      </c>
      <c r="C279" s="8" t="s">
        <v>136</v>
      </c>
      <c r="D279" s="8" t="s">
        <v>160</v>
      </c>
      <c r="E279" s="4">
        <v>22.29</v>
      </c>
    </row>
    <row r="280" spans="1:5" x14ac:dyDescent="0.2">
      <c r="A280" s="63" t="s">
        <v>2176</v>
      </c>
      <c r="B280" s="64" t="s">
        <v>2175</v>
      </c>
      <c r="C280" s="8" t="s">
        <v>136</v>
      </c>
      <c r="D280" s="8" t="s">
        <v>160</v>
      </c>
      <c r="E280" s="4">
        <v>23.29</v>
      </c>
    </row>
    <row r="281" spans="1:5" x14ac:dyDescent="0.2">
      <c r="A281" s="63" t="s">
        <v>2174</v>
      </c>
      <c r="B281" s="64" t="s">
        <v>2173</v>
      </c>
      <c r="C281" s="8" t="s">
        <v>136</v>
      </c>
      <c r="D281" s="8" t="s">
        <v>160</v>
      </c>
      <c r="E281" s="4">
        <v>26.45</v>
      </c>
    </row>
    <row r="282" spans="1:5" ht="25.5" x14ac:dyDescent="0.2">
      <c r="A282" s="63" t="s">
        <v>2172</v>
      </c>
      <c r="B282" s="64" t="s">
        <v>2171</v>
      </c>
      <c r="C282" s="8" t="s">
        <v>70</v>
      </c>
      <c r="D282" s="8" t="s">
        <v>160</v>
      </c>
      <c r="E282" s="4">
        <v>126.07</v>
      </c>
    </row>
    <row r="283" spans="1:5" ht="25.5" x14ac:dyDescent="0.2">
      <c r="A283" s="63" t="s">
        <v>2170</v>
      </c>
      <c r="B283" s="64" t="s">
        <v>2169</v>
      </c>
      <c r="C283" s="8" t="s">
        <v>136</v>
      </c>
      <c r="D283" s="8" t="s">
        <v>160</v>
      </c>
      <c r="E283" s="4">
        <v>61.25</v>
      </c>
    </row>
    <row r="284" spans="1:5" ht="25.5" x14ac:dyDescent="0.2">
      <c r="A284" s="63" t="s">
        <v>2168</v>
      </c>
      <c r="B284" s="64" t="s">
        <v>2167</v>
      </c>
      <c r="C284" s="8" t="s">
        <v>136</v>
      </c>
      <c r="D284" s="8" t="s">
        <v>160</v>
      </c>
      <c r="E284" s="4">
        <v>30.01</v>
      </c>
    </row>
    <row r="285" spans="1:5" x14ac:dyDescent="0.2">
      <c r="A285" s="7" t="s">
        <v>2166</v>
      </c>
      <c r="B285" s="6" t="s">
        <v>2165</v>
      </c>
      <c r="C285" s="5"/>
      <c r="D285" s="5"/>
      <c r="E285" s="4">
        <v>0</v>
      </c>
    </row>
    <row r="286" spans="1:5" ht="25.5" x14ac:dyDescent="0.2">
      <c r="A286" s="63" t="s">
        <v>2164</v>
      </c>
      <c r="B286" s="64" t="s">
        <v>2163</v>
      </c>
      <c r="C286" s="8" t="s">
        <v>136</v>
      </c>
      <c r="D286" s="8" t="s">
        <v>160</v>
      </c>
      <c r="E286" s="4">
        <v>72.03</v>
      </c>
    </row>
    <row r="287" spans="1:5" x14ac:dyDescent="0.2">
      <c r="A287" s="63" t="s">
        <v>2162</v>
      </c>
      <c r="B287" s="64" t="s">
        <v>2153</v>
      </c>
      <c r="C287" s="8" t="s">
        <v>136</v>
      </c>
      <c r="D287" s="8" t="s">
        <v>160</v>
      </c>
      <c r="E287" s="4">
        <v>42.02</v>
      </c>
    </row>
    <row r="288" spans="1:5" x14ac:dyDescent="0.2">
      <c r="A288" s="63" t="s">
        <v>2161</v>
      </c>
      <c r="B288" s="64" t="s">
        <v>2151</v>
      </c>
      <c r="C288" s="8" t="s">
        <v>136</v>
      </c>
      <c r="D288" s="8" t="s">
        <v>160</v>
      </c>
      <c r="E288" s="4">
        <v>48.02</v>
      </c>
    </row>
    <row r="289" spans="1:5" x14ac:dyDescent="0.2">
      <c r="A289" s="63" t="s">
        <v>2160</v>
      </c>
      <c r="B289" s="64" t="s">
        <v>2138</v>
      </c>
      <c r="C289" s="8" t="s">
        <v>136</v>
      </c>
      <c r="D289" s="8" t="s">
        <v>160</v>
      </c>
      <c r="E289" s="4">
        <v>72.03</v>
      </c>
    </row>
    <row r="290" spans="1:5" x14ac:dyDescent="0.2">
      <c r="A290" s="63" t="s">
        <v>2159</v>
      </c>
      <c r="B290" s="64" t="s">
        <v>2158</v>
      </c>
      <c r="C290" s="8" t="s">
        <v>136</v>
      </c>
      <c r="D290" s="8" t="s">
        <v>160</v>
      </c>
      <c r="E290" s="4">
        <v>93.5</v>
      </c>
    </row>
    <row r="291" spans="1:5" x14ac:dyDescent="0.2">
      <c r="A291" s="63" t="s">
        <v>2157</v>
      </c>
      <c r="B291" s="64" t="s">
        <v>2136</v>
      </c>
      <c r="C291" s="8" t="s">
        <v>136</v>
      </c>
      <c r="D291" s="8" t="s">
        <v>160</v>
      </c>
      <c r="E291" s="4">
        <v>84.05</v>
      </c>
    </row>
    <row r="292" spans="1:5" ht="25.5" x14ac:dyDescent="0.2">
      <c r="A292" s="63" t="s">
        <v>2156</v>
      </c>
      <c r="B292" s="64" t="s">
        <v>2155</v>
      </c>
      <c r="C292" s="8" t="s">
        <v>136</v>
      </c>
      <c r="D292" s="8" t="s">
        <v>160</v>
      </c>
      <c r="E292" s="4">
        <v>72.03</v>
      </c>
    </row>
    <row r="293" spans="1:5" x14ac:dyDescent="0.2">
      <c r="A293" s="63" t="s">
        <v>2154</v>
      </c>
      <c r="B293" s="64" t="s">
        <v>2153</v>
      </c>
      <c r="C293" s="8" t="s">
        <v>136</v>
      </c>
      <c r="D293" s="8" t="s">
        <v>160</v>
      </c>
      <c r="E293" s="4">
        <v>42.02</v>
      </c>
    </row>
    <row r="294" spans="1:5" x14ac:dyDescent="0.2">
      <c r="A294" s="63" t="s">
        <v>2152</v>
      </c>
      <c r="B294" s="64" t="s">
        <v>2151</v>
      </c>
      <c r="C294" s="8" t="s">
        <v>136</v>
      </c>
      <c r="D294" s="8" t="s">
        <v>160</v>
      </c>
      <c r="E294" s="4">
        <v>48.02</v>
      </c>
    </row>
    <row r="295" spans="1:5" x14ac:dyDescent="0.2">
      <c r="A295" s="63" t="s">
        <v>2150</v>
      </c>
      <c r="B295" s="64" t="s">
        <v>2138</v>
      </c>
      <c r="C295" s="8" t="s">
        <v>136</v>
      </c>
      <c r="D295" s="8" t="s">
        <v>160</v>
      </c>
      <c r="E295" s="4">
        <v>72.03</v>
      </c>
    </row>
    <row r="296" spans="1:5" x14ac:dyDescent="0.2">
      <c r="A296" s="63" t="s">
        <v>2149</v>
      </c>
      <c r="B296" s="64" t="s">
        <v>2136</v>
      </c>
      <c r="C296" s="8" t="s">
        <v>136</v>
      </c>
      <c r="D296" s="8" t="s">
        <v>160</v>
      </c>
      <c r="E296" s="4">
        <v>84.05</v>
      </c>
    </row>
    <row r="297" spans="1:5" ht="25.5" x14ac:dyDescent="0.2">
      <c r="A297" s="63" t="s">
        <v>2148</v>
      </c>
      <c r="B297" s="64" t="s">
        <v>2147</v>
      </c>
      <c r="C297" s="8" t="s">
        <v>136</v>
      </c>
      <c r="D297" s="8" t="s">
        <v>160</v>
      </c>
      <c r="E297" s="4">
        <v>72.03</v>
      </c>
    </row>
    <row r="298" spans="1:5" x14ac:dyDescent="0.2">
      <c r="A298" s="63" t="s">
        <v>2146</v>
      </c>
      <c r="B298" s="64" t="s">
        <v>2140</v>
      </c>
      <c r="C298" s="8" t="s">
        <v>136</v>
      </c>
      <c r="D298" s="8" t="s">
        <v>160</v>
      </c>
      <c r="E298" s="4">
        <v>66</v>
      </c>
    </row>
    <row r="299" spans="1:5" x14ac:dyDescent="0.2">
      <c r="A299" s="63" t="s">
        <v>2145</v>
      </c>
      <c r="B299" s="64" t="s">
        <v>2138</v>
      </c>
      <c r="C299" s="8" t="s">
        <v>136</v>
      </c>
      <c r="D299" s="8" t="s">
        <v>160</v>
      </c>
      <c r="E299" s="4">
        <v>72.03</v>
      </c>
    </row>
    <row r="300" spans="1:5" x14ac:dyDescent="0.2">
      <c r="A300" s="63" t="s">
        <v>2144</v>
      </c>
      <c r="B300" s="64" t="s">
        <v>2136</v>
      </c>
      <c r="C300" s="8" t="s">
        <v>136</v>
      </c>
      <c r="D300" s="8" t="s">
        <v>160</v>
      </c>
      <c r="E300" s="4">
        <v>84.05</v>
      </c>
    </row>
    <row r="301" spans="1:5" ht="25.5" x14ac:dyDescent="0.2">
      <c r="A301" s="63" t="s">
        <v>2143</v>
      </c>
      <c r="B301" s="64" t="s">
        <v>2142</v>
      </c>
      <c r="C301" s="8" t="s">
        <v>136</v>
      </c>
      <c r="D301" s="8" t="s">
        <v>160</v>
      </c>
      <c r="E301" s="4">
        <v>48.02</v>
      </c>
    </row>
    <row r="302" spans="1:5" x14ac:dyDescent="0.2">
      <c r="A302" s="63" t="s">
        <v>2141</v>
      </c>
      <c r="B302" s="64" t="s">
        <v>2140</v>
      </c>
      <c r="C302" s="8" t="s">
        <v>136</v>
      </c>
      <c r="D302" s="8" t="s">
        <v>160</v>
      </c>
      <c r="E302" s="4">
        <v>44</v>
      </c>
    </row>
    <row r="303" spans="1:5" x14ac:dyDescent="0.2">
      <c r="A303" s="63" t="s">
        <v>2139</v>
      </c>
      <c r="B303" s="64" t="s">
        <v>2138</v>
      </c>
      <c r="C303" s="8" t="s">
        <v>136</v>
      </c>
      <c r="D303" s="8" t="s">
        <v>160</v>
      </c>
      <c r="E303" s="4">
        <v>48.02</v>
      </c>
    </row>
    <row r="304" spans="1:5" x14ac:dyDescent="0.2">
      <c r="A304" s="63" t="s">
        <v>2137</v>
      </c>
      <c r="B304" s="64" t="s">
        <v>2136</v>
      </c>
      <c r="C304" s="8" t="s">
        <v>136</v>
      </c>
      <c r="D304" s="8" t="s">
        <v>160</v>
      </c>
      <c r="E304" s="4">
        <v>60.03</v>
      </c>
    </row>
    <row r="305" spans="1:5" ht="25.5" x14ac:dyDescent="0.2">
      <c r="A305" s="63" t="s">
        <v>2135</v>
      </c>
      <c r="B305" s="64" t="s">
        <v>2134</v>
      </c>
      <c r="C305" s="8" t="s">
        <v>136</v>
      </c>
      <c r="D305" s="8" t="s">
        <v>160</v>
      </c>
      <c r="E305" s="4">
        <v>102.05</v>
      </c>
    </row>
    <row r="306" spans="1:5" ht="51" x14ac:dyDescent="0.2">
      <c r="A306" s="63" t="s">
        <v>2133</v>
      </c>
      <c r="B306" s="64" t="s">
        <v>2132</v>
      </c>
      <c r="C306" s="8" t="s">
        <v>136</v>
      </c>
      <c r="D306" s="8" t="s">
        <v>160</v>
      </c>
      <c r="E306" s="4">
        <v>155.83000000000001</v>
      </c>
    </row>
    <row r="307" spans="1:5" ht="25.5" x14ac:dyDescent="0.2">
      <c r="A307" s="63" t="s">
        <v>2131</v>
      </c>
      <c r="B307" s="64" t="s">
        <v>2130</v>
      </c>
      <c r="C307" s="8" t="s">
        <v>136</v>
      </c>
      <c r="D307" s="8" t="s">
        <v>160</v>
      </c>
      <c r="E307" s="4">
        <v>108.06</v>
      </c>
    </row>
    <row r="308" spans="1:5" ht="25.5" x14ac:dyDescent="0.2">
      <c r="A308" s="63" t="s">
        <v>2129</v>
      </c>
      <c r="B308" s="64" t="s">
        <v>2128</v>
      </c>
      <c r="C308" s="8" t="s">
        <v>136</v>
      </c>
      <c r="D308" s="8" t="s">
        <v>160</v>
      </c>
      <c r="E308" s="4">
        <v>108.06</v>
      </c>
    </row>
    <row r="309" spans="1:5" ht="25.5" x14ac:dyDescent="0.2">
      <c r="A309" s="63" t="s">
        <v>2127</v>
      </c>
      <c r="B309" s="64" t="s">
        <v>2126</v>
      </c>
      <c r="C309" s="8" t="s">
        <v>136</v>
      </c>
      <c r="D309" s="8" t="s">
        <v>160</v>
      </c>
      <c r="E309" s="4">
        <v>42.02</v>
      </c>
    </row>
    <row r="310" spans="1:5" ht="25.5" x14ac:dyDescent="0.2">
      <c r="A310" s="63" t="s">
        <v>2125</v>
      </c>
      <c r="B310" s="64" t="s">
        <v>2124</v>
      </c>
      <c r="C310" s="8" t="s">
        <v>143</v>
      </c>
      <c r="D310" s="8" t="s">
        <v>160</v>
      </c>
      <c r="E310" s="4">
        <v>18</v>
      </c>
    </row>
    <row r="311" spans="1:5" ht="25.5" x14ac:dyDescent="0.2">
      <c r="A311" s="63" t="s">
        <v>2123</v>
      </c>
      <c r="B311" s="64" t="s">
        <v>2122</v>
      </c>
      <c r="C311" s="8" t="s">
        <v>143</v>
      </c>
      <c r="D311" s="8" t="s">
        <v>160</v>
      </c>
      <c r="E311" s="4">
        <v>30.01</v>
      </c>
    </row>
    <row r="312" spans="1:5" x14ac:dyDescent="0.2">
      <c r="A312" s="63" t="s">
        <v>2121</v>
      </c>
      <c r="B312" s="64" t="s">
        <v>2120</v>
      </c>
      <c r="C312" s="8" t="s">
        <v>136</v>
      </c>
      <c r="D312" s="8" t="s">
        <v>160</v>
      </c>
      <c r="E312" s="4">
        <v>42.02</v>
      </c>
    </row>
    <row r="313" spans="1:5" x14ac:dyDescent="0.2">
      <c r="A313" s="7" t="s">
        <v>2119</v>
      </c>
      <c r="B313" s="6" t="s">
        <v>2118</v>
      </c>
      <c r="C313" s="5"/>
      <c r="D313" s="5"/>
      <c r="E313" s="4">
        <v>0</v>
      </c>
    </row>
    <row r="314" spans="1:5" x14ac:dyDescent="0.2">
      <c r="A314" s="7" t="s">
        <v>2117</v>
      </c>
      <c r="B314" s="6" t="s">
        <v>2116</v>
      </c>
      <c r="C314" s="5"/>
      <c r="D314" s="5"/>
      <c r="E314" s="4">
        <v>0</v>
      </c>
    </row>
    <row r="315" spans="1:5" x14ac:dyDescent="0.2">
      <c r="A315" s="63" t="s">
        <v>2115</v>
      </c>
      <c r="B315" s="64" t="s">
        <v>2114</v>
      </c>
      <c r="C315" s="8" t="s">
        <v>143</v>
      </c>
      <c r="D315" s="8" t="s">
        <v>3</v>
      </c>
      <c r="E315" s="4">
        <v>3.17</v>
      </c>
    </row>
    <row r="316" spans="1:5" ht="25.5" x14ac:dyDescent="0.2">
      <c r="A316" s="63" t="s">
        <v>2113</v>
      </c>
      <c r="B316" s="64" t="s">
        <v>2112</v>
      </c>
      <c r="C316" s="8" t="s">
        <v>143</v>
      </c>
      <c r="D316" s="8" t="s">
        <v>3</v>
      </c>
      <c r="E316" s="4">
        <v>4.8</v>
      </c>
    </row>
    <row r="317" spans="1:5" ht="25.5" x14ac:dyDescent="0.2">
      <c r="A317" s="63" t="s">
        <v>2111</v>
      </c>
      <c r="B317" s="64" t="s">
        <v>2110</v>
      </c>
      <c r="C317" s="8" t="s">
        <v>143</v>
      </c>
      <c r="D317" s="8" t="s">
        <v>3</v>
      </c>
      <c r="E317" s="4">
        <v>3.97</v>
      </c>
    </row>
    <row r="318" spans="1:5" x14ac:dyDescent="0.2">
      <c r="A318" s="63" t="s">
        <v>2109</v>
      </c>
      <c r="B318" s="64" t="s">
        <v>2108</v>
      </c>
      <c r="C318" s="8" t="s">
        <v>143</v>
      </c>
      <c r="D318" s="8" t="s">
        <v>3</v>
      </c>
      <c r="E318" s="4">
        <v>4.76</v>
      </c>
    </row>
    <row r="319" spans="1:5" x14ac:dyDescent="0.2">
      <c r="A319" s="63" t="s">
        <v>2107</v>
      </c>
      <c r="B319" s="64" t="s">
        <v>2106</v>
      </c>
      <c r="C319" s="8" t="s">
        <v>4</v>
      </c>
      <c r="D319" s="8" t="s">
        <v>3</v>
      </c>
      <c r="E319" s="4">
        <v>79.37</v>
      </c>
    </row>
    <row r="320" spans="1:5" ht="25.5" x14ac:dyDescent="0.2">
      <c r="A320" s="63" t="s">
        <v>2105</v>
      </c>
      <c r="B320" s="64" t="s">
        <v>2104</v>
      </c>
      <c r="C320" s="8" t="s">
        <v>4</v>
      </c>
      <c r="D320" s="8" t="s">
        <v>3</v>
      </c>
      <c r="E320" s="4">
        <v>150.08000000000001</v>
      </c>
    </row>
    <row r="321" spans="1:5" x14ac:dyDescent="0.2">
      <c r="A321" s="63" t="s">
        <v>2103</v>
      </c>
      <c r="B321" s="64" t="s">
        <v>2102</v>
      </c>
      <c r="C321" s="8" t="s">
        <v>143</v>
      </c>
      <c r="D321" s="8" t="s">
        <v>3</v>
      </c>
      <c r="E321" s="4">
        <v>47.62</v>
      </c>
    </row>
    <row r="322" spans="1:5" x14ac:dyDescent="0.2">
      <c r="A322" s="63" t="s">
        <v>2101</v>
      </c>
      <c r="B322" s="64" t="s">
        <v>2100</v>
      </c>
      <c r="C322" s="8" t="s">
        <v>143</v>
      </c>
      <c r="D322" s="8" t="s">
        <v>3</v>
      </c>
      <c r="E322" s="4">
        <v>79.37</v>
      </c>
    </row>
    <row r="323" spans="1:5" x14ac:dyDescent="0.2">
      <c r="A323" s="7" t="s">
        <v>2099</v>
      </c>
      <c r="B323" s="6" t="s">
        <v>2098</v>
      </c>
      <c r="C323" s="5"/>
      <c r="D323" s="5"/>
      <c r="E323" s="4">
        <v>0</v>
      </c>
    </row>
    <row r="324" spans="1:5" ht="25.5" x14ac:dyDescent="0.2">
      <c r="A324" s="63" t="s">
        <v>2097</v>
      </c>
      <c r="B324" s="64" t="s">
        <v>2096</v>
      </c>
      <c r="C324" s="8" t="s">
        <v>136</v>
      </c>
      <c r="D324" s="8" t="s">
        <v>3</v>
      </c>
      <c r="E324" s="4">
        <v>5.57</v>
      </c>
    </row>
    <row r="325" spans="1:5" ht="25.5" x14ac:dyDescent="0.2">
      <c r="A325" s="63" t="s">
        <v>2095</v>
      </c>
      <c r="B325" s="64" t="s">
        <v>2094</v>
      </c>
      <c r="C325" s="8" t="s">
        <v>136</v>
      </c>
      <c r="D325" s="8" t="s">
        <v>3</v>
      </c>
      <c r="E325" s="4">
        <v>4.8</v>
      </c>
    </row>
    <row r="326" spans="1:5" x14ac:dyDescent="0.2">
      <c r="A326" s="63" t="s">
        <v>2093</v>
      </c>
      <c r="B326" s="64" t="s">
        <v>2092</v>
      </c>
      <c r="C326" s="8" t="s">
        <v>143</v>
      </c>
      <c r="D326" s="8" t="s">
        <v>3</v>
      </c>
      <c r="E326" s="4">
        <v>5.4</v>
      </c>
    </row>
    <row r="327" spans="1:5" x14ac:dyDescent="0.2">
      <c r="A327" s="7" t="s">
        <v>2091</v>
      </c>
      <c r="B327" s="6" t="s">
        <v>52</v>
      </c>
      <c r="C327" s="5"/>
      <c r="D327" s="5"/>
      <c r="E327" s="4">
        <v>0</v>
      </c>
    </row>
    <row r="328" spans="1:5" ht="25.5" x14ac:dyDescent="0.2">
      <c r="A328" s="63" t="s">
        <v>2090</v>
      </c>
      <c r="B328" s="64" t="s">
        <v>2089</v>
      </c>
      <c r="C328" s="8" t="s">
        <v>136</v>
      </c>
      <c r="D328" s="8" t="s">
        <v>3</v>
      </c>
      <c r="E328" s="4">
        <v>6</v>
      </c>
    </row>
    <row r="329" spans="1:5" x14ac:dyDescent="0.2">
      <c r="A329" s="63" t="s">
        <v>2088</v>
      </c>
      <c r="B329" s="64" t="s">
        <v>2087</v>
      </c>
      <c r="C329" s="8" t="s">
        <v>136</v>
      </c>
      <c r="D329" s="8" t="s">
        <v>3</v>
      </c>
      <c r="E329" s="4">
        <v>3.59</v>
      </c>
    </row>
    <row r="330" spans="1:5" x14ac:dyDescent="0.2">
      <c r="A330" s="63" t="s">
        <v>2086</v>
      </c>
      <c r="B330" s="64" t="s">
        <v>2085</v>
      </c>
      <c r="C330" s="8" t="s">
        <v>136</v>
      </c>
      <c r="D330" s="8" t="s">
        <v>3</v>
      </c>
      <c r="E330" s="4">
        <v>3</v>
      </c>
    </row>
    <row r="331" spans="1:5" x14ac:dyDescent="0.2">
      <c r="A331" s="63" t="s">
        <v>2084</v>
      </c>
      <c r="B331" s="64" t="s">
        <v>2083</v>
      </c>
      <c r="C331" s="8" t="s">
        <v>136</v>
      </c>
      <c r="D331" s="8" t="s">
        <v>3</v>
      </c>
      <c r="E331" s="4">
        <v>4.8</v>
      </c>
    </row>
    <row r="332" spans="1:5" x14ac:dyDescent="0.2">
      <c r="A332" s="63" t="s">
        <v>2082</v>
      </c>
      <c r="B332" s="64" t="s">
        <v>2081</v>
      </c>
      <c r="C332" s="8" t="s">
        <v>136</v>
      </c>
      <c r="D332" s="8" t="s">
        <v>3</v>
      </c>
      <c r="E332" s="4">
        <v>3.17</v>
      </c>
    </row>
    <row r="333" spans="1:5" x14ac:dyDescent="0.2">
      <c r="A333" s="63" t="s">
        <v>2080</v>
      </c>
      <c r="B333" s="64" t="s">
        <v>2079</v>
      </c>
      <c r="C333" s="8" t="s">
        <v>136</v>
      </c>
      <c r="D333" s="8" t="s">
        <v>3</v>
      </c>
      <c r="E333" s="4">
        <v>3.17</v>
      </c>
    </row>
    <row r="334" spans="1:5" ht="76.5" x14ac:dyDescent="0.2">
      <c r="A334" s="7" t="s">
        <v>2078</v>
      </c>
      <c r="B334" s="6" t="s">
        <v>2077</v>
      </c>
      <c r="C334" s="5"/>
      <c r="D334" s="5"/>
      <c r="E334" s="4">
        <v>0</v>
      </c>
    </row>
    <row r="335" spans="1:5" ht="25.5" x14ac:dyDescent="0.2">
      <c r="A335" s="7" t="s">
        <v>2076</v>
      </c>
      <c r="B335" s="6" t="s">
        <v>2075</v>
      </c>
      <c r="C335" s="5"/>
      <c r="D335" s="5"/>
      <c r="E335" s="4">
        <v>0</v>
      </c>
    </row>
    <row r="336" spans="1:5" x14ac:dyDescent="0.2">
      <c r="A336" s="7" t="s">
        <v>2074</v>
      </c>
      <c r="B336" s="6" t="s">
        <v>2073</v>
      </c>
      <c r="C336" s="5"/>
      <c r="D336" s="5"/>
      <c r="E336" s="4">
        <v>0</v>
      </c>
    </row>
    <row r="337" spans="1:5" x14ac:dyDescent="0.2">
      <c r="A337" s="63" t="s">
        <v>2072</v>
      </c>
      <c r="B337" s="64" t="s">
        <v>2071</v>
      </c>
      <c r="C337" s="8" t="s">
        <v>136</v>
      </c>
      <c r="D337" s="8" t="s">
        <v>160</v>
      </c>
      <c r="E337" s="4">
        <v>24.01</v>
      </c>
    </row>
    <row r="338" spans="1:5" x14ac:dyDescent="0.2">
      <c r="A338" s="63" t="s">
        <v>2070</v>
      </c>
      <c r="B338" s="64" t="s">
        <v>2069</v>
      </c>
      <c r="C338" s="8" t="s">
        <v>136</v>
      </c>
      <c r="D338" s="8" t="s">
        <v>160</v>
      </c>
      <c r="E338" s="4">
        <v>49.5</v>
      </c>
    </row>
    <row r="339" spans="1:5" x14ac:dyDescent="0.2">
      <c r="A339" s="63" t="s">
        <v>2068</v>
      </c>
      <c r="B339" s="64" t="s">
        <v>2067</v>
      </c>
      <c r="C339" s="8" t="s">
        <v>4</v>
      </c>
      <c r="D339" s="8" t="s">
        <v>160</v>
      </c>
      <c r="E339" s="4">
        <v>12.01</v>
      </c>
    </row>
    <row r="340" spans="1:5" x14ac:dyDescent="0.2">
      <c r="A340" s="63" t="s">
        <v>2066</v>
      </c>
      <c r="B340" s="64" t="s">
        <v>2065</v>
      </c>
      <c r="C340" s="8" t="s">
        <v>4</v>
      </c>
      <c r="D340" s="8" t="s">
        <v>160</v>
      </c>
      <c r="E340" s="4">
        <v>12.01</v>
      </c>
    </row>
    <row r="341" spans="1:5" x14ac:dyDescent="0.2">
      <c r="A341" s="63" t="s">
        <v>2064</v>
      </c>
      <c r="B341" s="64" t="s">
        <v>2063</v>
      </c>
      <c r="C341" s="8" t="s">
        <v>4</v>
      </c>
      <c r="D341" s="8" t="s">
        <v>160</v>
      </c>
      <c r="E341" s="4">
        <v>12.01</v>
      </c>
    </row>
    <row r="342" spans="1:5" x14ac:dyDescent="0.2">
      <c r="A342" s="63" t="s">
        <v>2062</v>
      </c>
      <c r="B342" s="64" t="s">
        <v>2061</v>
      </c>
      <c r="C342" s="8" t="s">
        <v>4</v>
      </c>
      <c r="D342" s="8" t="s">
        <v>160</v>
      </c>
      <c r="E342" s="4">
        <v>12.01</v>
      </c>
    </row>
    <row r="343" spans="1:5" x14ac:dyDescent="0.2">
      <c r="A343" s="63" t="s">
        <v>2060</v>
      </c>
      <c r="B343" s="64" t="s">
        <v>2059</v>
      </c>
      <c r="C343" s="8" t="s">
        <v>4</v>
      </c>
      <c r="D343" s="8" t="s">
        <v>160</v>
      </c>
      <c r="E343" s="4">
        <v>25.69</v>
      </c>
    </row>
    <row r="344" spans="1:5" x14ac:dyDescent="0.2">
      <c r="A344" s="63" t="s">
        <v>2058</v>
      </c>
      <c r="B344" s="64" t="s">
        <v>2057</v>
      </c>
      <c r="C344" s="8" t="s">
        <v>4</v>
      </c>
      <c r="D344" s="8" t="s">
        <v>160</v>
      </c>
      <c r="E344" s="4">
        <v>12.01</v>
      </c>
    </row>
    <row r="345" spans="1:5" x14ac:dyDescent="0.2">
      <c r="A345" s="63" t="s">
        <v>2056</v>
      </c>
      <c r="B345" s="64" t="s">
        <v>2055</v>
      </c>
      <c r="C345" s="8" t="s">
        <v>4</v>
      </c>
      <c r="D345" s="8" t="s">
        <v>160</v>
      </c>
      <c r="E345" s="4">
        <v>12.01</v>
      </c>
    </row>
    <row r="346" spans="1:5" x14ac:dyDescent="0.2">
      <c r="A346" s="63" t="s">
        <v>2054</v>
      </c>
      <c r="B346" s="64" t="s">
        <v>2053</v>
      </c>
      <c r="C346" s="8" t="s">
        <v>4</v>
      </c>
      <c r="D346" s="8" t="s">
        <v>160</v>
      </c>
      <c r="E346" s="4">
        <v>4.76</v>
      </c>
    </row>
    <row r="347" spans="1:5" ht="25.5" x14ac:dyDescent="0.2">
      <c r="A347" s="63" t="s">
        <v>2052</v>
      </c>
      <c r="B347" s="64" t="s">
        <v>2051</v>
      </c>
      <c r="C347" s="8" t="s">
        <v>136</v>
      </c>
      <c r="D347" s="8" t="s">
        <v>173</v>
      </c>
      <c r="E347" s="4">
        <v>11</v>
      </c>
    </row>
    <row r="348" spans="1:5" ht="25.5" x14ac:dyDescent="0.2">
      <c r="A348" s="63" t="s">
        <v>2050</v>
      </c>
      <c r="B348" s="64" t="s">
        <v>2049</v>
      </c>
      <c r="C348" s="8" t="s">
        <v>136</v>
      </c>
      <c r="D348" s="8" t="s">
        <v>160</v>
      </c>
      <c r="E348" s="4">
        <v>30.01</v>
      </c>
    </row>
    <row r="349" spans="1:5" x14ac:dyDescent="0.2">
      <c r="A349" s="63" t="s">
        <v>2048</v>
      </c>
      <c r="B349" s="64" t="s">
        <v>2047</v>
      </c>
      <c r="C349" s="8" t="s">
        <v>136</v>
      </c>
      <c r="D349" s="8" t="s">
        <v>160</v>
      </c>
      <c r="E349" s="4">
        <v>30.01</v>
      </c>
    </row>
    <row r="350" spans="1:5" x14ac:dyDescent="0.2">
      <c r="A350" s="63" t="s">
        <v>2046</v>
      </c>
      <c r="B350" s="64" t="s">
        <v>2045</v>
      </c>
      <c r="C350" s="8" t="s">
        <v>136</v>
      </c>
      <c r="D350" s="8" t="s">
        <v>160</v>
      </c>
      <c r="E350" s="4">
        <v>30.01</v>
      </c>
    </row>
    <row r="351" spans="1:5" x14ac:dyDescent="0.2">
      <c r="A351" s="63" t="s">
        <v>2044</v>
      </c>
      <c r="B351" s="64" t="s">
        <v>2043</v>
      </c>
      <c r="C351" s="8" t="s">
        <v>136</v>
      </c>
      <c r="D351" s="8" t="s">
        <v>160</v>
      </c>
      <c r="E351" s="4">
        <v>33.020000000000003</v>
      </c>
    </row>
    <row r="352" spans="1:5" x14ac:dyDescent="0.2">
      <c r="A352" s="63" t="s">
        <v>2042</v>
      </c>
      <c r="B352" s="64" t="s">
        <v>2041</v>
      </c>
      <c r="C352" s="8" t="s">
        <v>136</v>
      </c>
      <c r="D352" s="8" t="s">
        <v>160</v>
      </c>
      <c r="E352" s="4">
        <v>30.01</v>
      </c>
    </row>
    <row r="353" spans="1:5" x14ac:dyDescent="0.2">
      <c r="A353" s="63" t="s">
        <v>2040</v>
      </c>
      <c r="B353" s="64" t="s">
        <v>2039</v>
      </c>
      <c r="C353" s="8" t="s">
        <v>136</v>
      </c>
      <c r="D353" s="8" t="s">
        <v>160</v>
      </c>
      <c r="E353" s="4">
        <v>48.02</v>
      </c>
    </row>
    <row r="354" spans="1:5" ht="25.5" x14ac:dyDescent="0.2">
      <c r="A354" s="63" t="s">
        <v>2038</v>
      </c>
      <c r="B354" s="64" t="s">
        <v>2037</v>
      </c>
      <c r="C354" s="8" t="s">
        <v>136</v>
      </c>
      <c r="D354" s="8" t="s">
        <v>160</v>
      </c>
      <c r="E354" s="4">
        <v>54.03</v>
      </c>
    </row>
    <row r="355" spans="1:5" ht="25.5" x14ac:dyDescent="0.2">
      <c r="A355" s="63" t="s">
        <v>2036</v>
      </c>
      <c r="B355" s="64" t="s">
        <v>2035</v>
      </c>
      <c r="C355" s="8" t="s">
        <v>136</v>
      </c>
      <c r="D355" s="8" t="s">
        <v>160</v>
      </c>
      <c r="E355" s="4">
        <v>60.03</v>
      </c>
    </row>
    <row r="356" spans="1:5" x14ac:dyDescent="0.2">
      <c r="A356" s="63" t="s">
        <v>2034</v>
      </c>
      <c r="B356" s="64" t="s">
        <v>2033</v>
      </c>
      <c r="C356" s="8" t="s">
        <v>136</v>
      </c>
      <c r="D356" s="8" t="s">
        <v>160</v>
      </c>
      <c r="E356" s="4">
        <v>55.56</v>
      </c>
    </row>
    <row r="357" spans="1:5" x14ac:dyDescent="0.2">
      <c r="A357" s="63" t="s">
        <v>2032</v>
      </c>
      <c r="B357" s="64" t="s">
        <v>2031</v>
      </c>
      <c r="C357" s="8" t="s">
        <v>143</v>
      </c>
      <c r="D357" s="8" t="s">
        <v>160</v>
      </c>
      <c r="E357" s="4">
        <v>31.75</v>
      </c>
    </row>
    <row r="358" spans="1:5" ht="25.5" x14ac:dyDescent="0.2">
      <c r="A358" s="63" t="s">
        <v>2030</v>
      </c>
      <c r="B358" s="64" t="s">
        <v>2029</v>
      </c>
      <c r="C358" s="8" t="s">
        <v>136</v>
      </c>
      <c r="D358" s="8" t="s">
        <v>160</v>
      </c>
      <c r="E358" s="4">
        <v>44.45</v>
      </c>
    </row>
    <row r="359" spans="1:5" ht="38.25" x14ac:dyDescent="0.2">
      <c r="A359" s="63" t="s">
        <v>2028</v>
      </c>
      <c r="B359" s="64" t="s">
        <v>2027</v>
      </c>
      <c r="C359" s="8" t="s">
        <v>136</v>
      </c>
      <c r="D359" s="8" t="s">
        <v>160</v>
      </c>
      <c r="E359" s="4">
        <v>72.03</v>
      </c>
    </row>
    <row r="360" spans="1:5" x14ac:dyDescent="0.2">
      <c r="A360" s="63" t="s">
        <v>2026</v>
      </c>
      <c r="B360" s="64" t="s">
        <v>684</v>
      </c>
      <c r="C360" s="8" t="s">
        <v>136</v>
      </c>
      <c r="D360" s="8" t="s">
        <v>160</v>
      </c>
      <c r="E360" s="4">
        <v>78.040000000000006</v>
      </c>
    </row>
    <row r="361" spans="1:5" x14ac:dyDescent="0.2">
      <c r="A361" s="63" t="s">
        <v>2025</v>
      </c>
      <c r="B361" s="64" t="s">
        <v>686</v>
      </c>
      <c r="C361" s="8" t="s">
        <v>136</v>
      </c>
      <c r="D361" s="8" t="s">
        <v>160</v>
      </c>
      <c r="E361" s="4">
        <v>84.05</v>
      </c>
    </row>
    <row r="362" spans="1:5" ht="38.25" x14ac:dyDescent="0.2">
      <c r="A362" s="63" t="s">
        <v>2024</v>
      </c>
      <c r="B362" s="64" t="s">
        <v>2023</v>
      </c>
      <c r="C362" s="8" t="s">
        <v>136</v>
      </c>
      <c r="D362" s="8" t="s">
        <v>160</v>
      </c>
      <c r="E362" s="4">
        <v>419.67</v>
      </c>
    </row>
    <row r="363" spans="1:5" ht="89.25" x14ac:dyDescent="0.2">
      <c r="A363" s="63" t="s">
        <v>2022</v>
      </c>
      <c r="B363" s="64" t="s">
        <v>2021</v>
      </c>
      <c r="C363" s="8"/>
      <c r="D363" s="8"/>
      <c r="E363" s="4">
        <v>0</v>
      </c>
    </row>
    <row r="364" spans="1:5" ht="25.5" x14ac:dyDescent="0.2">
      <c r="A364" s="63" t="s">
        <v>2020</v>
      </c>
      <c r="B364" s="64" t="s">
        <v>2019</v>
      </c>
      <c r="C364" s="8" t="s">
        <v>136</v>
      </c>
      <c r="D364" s="8" t="s">
        <v>160</v>
      </c>
      <c r="E364" s="4">
        <v>62.43</v>
      </c>
    </row>
    <row r="365" spans="1:5" ht="25.5" x14ac:dyDescent="0.2">
      <c r="A365" s="63" t="s">
        <v>2018</v>
      </c>
      <c r="B365" s="64" t="s">
        <v>2017</v>
      </c>
      <c r="C365" s="8" t="s">
        <v>136</v>
      </c>
      <c r="D365" s="8" t="s">
        <v>160</v>
      </c>
      <c r="E365" s="4">
        <v>112.86</v>
      </c>
    </row>
    <row r="366" spans="1:5" ht="25.5" x14ac:dyDescent="0.2">
      <c r="A366" s="63" t="s">
        <v>2016</v>
      </c>
      <c r="B366" s="64" t="s">
        <v>2015</v>
      </c>
      <c r="C366" s="8" t="s">
        <v>136</v>
      </c>
      <c r="D366" s="8" t="s">
        <v>160</v>
      </c>
      <c r="E366" s="4">
        <v>142.87</v>
      </c>
    </row>
    <row r="367" spans="1:5" ht="25.5" x14ac:dyDescent="0.2">
      <c r="A367" s="63" t="s">
        <v>2014</v>
      </c>
      <c r="B367" s="64" t="s">
        <v>2013</v>
      </c>
      <c r="C367" s="8" t="s">
        <v>143</v>
      </c>
      <c r="D367" s="8" t="s">
        <v>160</v>
      </c>
      <c r="E367" s="4">
        <v>26.41</v>
      </c>
    </row>
    <row r="368" spans="1:5" ht="25.5" x14ac:dyDescent="0.2">
      <c r="A368" s="63" t="s">
        <v>2012</v>
      </c>
      <c r="B368" s="64" t="s">
        <v>2011</v>
      </c>
      <c r="C368" s="8" t="s">
        <v>143</v>
      </c>
      <c r="D368" s="8" t="s">
        <v>160</v>
      </c>
      <c r="E368" s="4">
        <v>40.82</v>
      </c>
    </row>
    <row r="369" spans="1:5" ht="25.5" x14ac:dyDescent="0.2">
      <c r="A369" s="63" t="s">
        <v>2010</v>
      </c>
      <c r="B369" s="64" t="s">
        <v>2009</v>
      </c>
      <c r="C369" s="8" t="s">
        <v>143</v>
      </c>
      <c r="D369" s="8" t="s">
        <v>160</v>
      </c>
      <c r="E369" s="4">
        <v>90.04</v>
      </c>
    </row>
    <row r="370" spans="1:5" ht="25.5" x14ac:dyDescent="0.2">
      <c r="A370" s="63" t="s">
        <v>2008</v>
      </c>
      <c r="B370" s="64" t="s">
        <v>2007</v>
      </c>
      <c r="C370" s="8" t="s">
        <v>143</v>
      </c>
      <c r="D370" s="8" t="s">
        <v>160</v>
      </c>
      <c r="E370" s="4">
        <v>37.22</v>
      </c>
    </row>
    <row r="371" spans="1:5" ht="25.5" x14ac:dyDescent="0.2">
      <c r="A371" s="63" t="s">
        <v>2006</v>
      </c>
      <c r="B371" s="64" t="s">
        <v>2005</v>
      </c>
      <c r="C371" s="8" t="s">
        <v>143</v>
      </c>
      <c r="D371" s="8" t="s">
        <v>160</v>
      </c>
      <c r="E371" s="4">
        <v>90.04</v>
      </c>
    </row>
    <row r="372" spans="1:5" x14ac:dyDescent="0.2">
      <c r="A372" s="63" t="s">
        <v>2004</v>
      </c>
      <c r="B372" s="64" t="s">
        <v>2003</v>
      </c>
      <c r="C372" s="8" t="s">
        <v>143</v>
      </c>
      <c r="D372" s="8" t="s">
        <v>160</v>
      </c>
      <c r="E372" s="4">
        <v>127.27</v>
      </c>
    </row>
    <row r="373" spans="1:5" x14ac:dyDescent="0.2">
      <c r="A373" s="63" t="s">
        <v>2002</v>
      </c>
      <c r="B373" s="64" t="s">
        <v>2001</v>
      </c>
      <c r="C373" s="8" t="s">
        <v>143</v>
      </c>
      <c r="D373" s="8" t="s">
        <v>160</v>
      </c>
      <c r="E373" s="4">
        <v>72.03</v>
      </c>
    </row>
    <row r="374" spans="1:5" ht="38.25" x14ac:dyDescent="0.2">
      <c r="A374" s="63" t="s">
        <v>2000</v>
      </c>
      <c r="B374" s="64" t="s">
        <v>1999</v>
      </c>
      <c r="C374" s="8" t="s">
        <v>136</v>
      </c>
      <c r="D374" s="8" t="s">
        <v>160</v>
      </c>
      <c r="E374" s="4">
        <v>144.07</v>
      </c>
    </row>
    <row r="375" spans="1:5" x14ac:dyDescent="0.2">
      <c r="A375" s="7" t="s">
        <v>1998</v>
      </c>
      <c r="B375" s="6" t="s">
        <v>1997</v>
      </c>
      <c r="C375" s="5"/>
      <c r="D375" s="5"/>
      <c r="E375" s="4">
        <v>0</v>
      </c>
    </row>
    <row r="376" spans="1:5" x14ac:dyDescent="0.2">
      <c r="A376" s="63" t="s">
        <v>1996</v>
      </c>
      <c r="B376" s="64" t="s">
        <v>1995</v>
      </c>
      <c r="C376" s="8" t="s">
        <v>143</v>
      </c>
      <c r="D376" s="8" t="s">
        <v>160</v>
      </c>
      <c r="E376" s="4">
        <v>24.01</v>
      </c>
    </row>
    <row r="377" spans="1:5" x14ac:dyDescent="0.2">
      <c r="A377" s="63" t="s">
        <v>1994</v>
      </c>
      <c r="B377" s="64" t="s">
        <v>1993</v>
      </c>
      <c r="C377" s="8" t="s">
        <v>143</v>
      </c>
      <c r="D377" s="8" t="s">
        <v>160</v>
      </c>
      <c r="E377" s="4">
        <v>30.01</v>
      </c>
    </row>
    <row r="378" spans="1:5" x14ac:dyDescent="0.2">
      <c r="A378" s="63" t="s">
        <v>1992</v>
      </c>
      <c r="B378" s="64" t="s">
        <v>1991</v>
      </c>
      <c r="C378" s="8" t="s">
        <v>143</v>
      </c>
      <c r="D378" s="8" t="s">
        <v>160</v>
      </c>
      <c r="E378" s="4">
        <v>18</v>
      </c>
    </row>
    <row r="379" spans="1:5" x14ac:dyDescent="0.2">
      <c r="A379" s="63" t="s">
        <v>1990</v>
      </c>
      <c r="B379" s="64" t="s">
        <v>1076</v>
      </c>
      <c r="C379" s="8" t="s">
        <v>143</v>
      </c>
      <c r="D379" s="8" t="s">
        <v>160</v>
      </c>
      <c r="E379" s="4">
        <v>21.01</v>
      </c>
    </row>
    <row r="380" spans="1:5" ht="25.5" x14ac:dyDescent="0.2">
      <c r="A380" s="63" t="s">
        <v>1989</v>
      </c>
      <c r="B380" s="64" t="s">
        <v>1988</v>
      </c>
      <c r="C380" s="8" t="s">
        <v>143</v>
      </c>
      <c r="D380" s="8" t="s">
        <v>160</v>
      </c>
      <c r="E380" s="4">
        <v>16.5</v>
      </c>
    </row>
    <row r="381" spans="1:5" x14ac:dyDescent="0.2">
      <c r="A381" s="63" t="s">
        <v>1987</v>
      </c>
      <c r="B381" s="64" t="s">
        <v>1076</v>
      </c>
      <c r="C381" s="8" t="s">
        <v>143</v>
      </c>
      <c r="D381" s="8" t="s">
        <v>160</v>
      </c>
      <c r="E381" s="4">
        <v>19.25</v>
      </c>
    </row>
    <row r="382" spans="1:5" ht="27.75" customHeight="1" x14ac:dyDescent="0.2">
      <c r="A382" s="63" t="s">
        <v>1986</v>
      </c>
      <c r="B382" s="64" t="s">
        <v>1985</v>
      </c>
      <c r="C382" s="8" t="s">
        <v>143</v>
      </c>
      <c r="D382" s="8" t="s">
        <v>160</v>
      </c>
      <c r="E382" s="4">
        <v>24.01</v>
      </c>
    </row>
    <row r="383" spans="1:5" x14ac:dyDescent="0.2">
      <c r="A383" s="63" t="s">
        <v>1984</v>
      </c>
      <c r="B383" s="64" t="s">
        <v>1983</v>
      </c>
      <c r="C383" s="8" t="s">
        <v>143</v>
      </c>
      <c r="D383" s="8" t="s">
        <v>160</v>
      </c>
      <c r="E383" s="4">
        <v>18</v>
      </c>
    </row>
    <row r="384" spans="1:5" x14ac:dyDescent="0.2">
      <c r="A384" s="63" t="s">
        <v>1982</v>
      </c>
      <c r="B384" s="64" t="s">
        <v>1981</v>
      </c>
      <c r="C384" s="8" t="s">
        <v>143</v>
      </c>
      <c r="D384" s="8" t="s">
        <v>160</v>
      </c>
      <c r="E384" s="4">
        <v>19.2</v>
      </c>
    </row>
    <row r="385" spans="1:5" x14ac:dyDescent="0.2">
      <c r="A385" s="63" t="s">
        <v>1980</v>
      </c>
      <c r="B385" s="64" t="s">
        <v>1979</v>
      </c>
      <c r="C385" s="8" t="s">
        <v>143</v>
      </c>
      <c r="D385" s="8" t="s">
        <v>160</v>
      </c>
      <c r="E385" s="4">
        <v>20.41</v>
      </c>
    </row>
    <row r="386" spans="1:5" x14ac:dyDescent="0.2">
      <c r="A386" s="63" t="s">
        <v>1978</v>
      </c>
      <c r="B386" s="64" t="s">
        <v>1977</v>
      </c>
      <c r="C386" s="8" t="s">
        <v>143</v>
      </c>
      <c r="D386" s="8" t="s">
        <v>160</v>
      </c>
      <c r="E386" s="4">
        <v>21.01</v>
      </c>
    </row>
    <row r="387" spans="1:5" x14ac:dyDescent="0.2">
      <c r="A387" s="63" t="s">
        <v>1976</v>
      </c>
      <c r="B387" s="64" t="s">
        <v>1975</v>
      </c>
      <c r="C387" s="8" t="s">
        <v>143</v>
      </c>
      <c r="D387" s="8" t="s">
        <v>160</v>
      </c>
      <c r="E387" s="4">
        <v>21.61</v>
      </c>
    </row>
    <row r="388" spans="1:5" x14ac:dyDescent="0.2">
      <c r="A388" s="63" t="s">
        <v>1974</v>
      </c>
      <c r="B388" s="64" t="s">
        <v>1973</v>
      </c>
      <c r="C388" s="8" t="s">
        <v>143</v>
      </c>
      <c r="D388" s="8" t="s">
        <v>160</v>
      </c>
      <c r="E388" s="4">
        <v>22.81</v>
      </c>
    </row>
    <row r="389" spans="1:5" x14ac:dyDescent="0.2">
      <c r="A389" s="63" t="s">
        <v>1972</v>
      </c>
      <c r="B389" s="64" t="s">
        <v>1971</v>
      </c>
      <c r="C389" s="8" t="s">
        <v>4</v>
      </c>
      <c r="D389" s="8" t="s">
        <v>160</v>
      </c>
      <c r="E389" s="4">
        <v>18</v>
      </c>
    </row>
    <row r="390" spans="1:5" x14ac:dyDescent="0.2">
      <c r="A390" s="63" t="s">
        <v>1970</v>
      </c>
      <c r="B390" s="64" t="s">
        <v>1969</v>
      </c>
      <c r="C390" s="8" t="s">
        <v>4</v>
      </c>
      <c r="D390" s="8" t="s">
        <v>160</v>
      </c>
      <c r="E390" s="4">
        <v>42.02</v>
      </c>
    </row>
    <row r="391" spans="1:5" x14ac:dyDescent="0.2">
      <c r="A391" s="63" t="s">
        <v>1968</v>
      </c>
      <c r="B391" s="64" t="s">
        <v>1967</v>
      </c>
      <c r="C391" s="8" t="s">
        <v>4</v>
      </c>
      <c r="D391" s="8" t="s">
        <v>160</v>
      </c>
      <c r="E391" s="4">
        <v>30.01</v>
      </c>
    </row>
    <row r="392" spans="1:5" x14ac:dyDescent="0.2">
      <c r="A392" s="63" t="s">
        <v>1966</v>
      </c>
      <c r="B392" s="64" t="s">
        <v>1965</v>
      </c>
      <c r="C392" s="8" t="s">
        <v>4</v>
      </c>
      <c r="D392" s="8" t="s">
        <v>160</v>
      </c>
      <c r="E392" s="4">
        <v>21.01</v>
      </c>
    </row>
    <row r="393" spans="1:5" x14ac:dyDescent="0.2">
      <c r="A393" s="63" t="s">
        <v>1964</v>
      </c>
      <c r="B393" s="64" t="s">
        <v>1963</v>
      </c>
      <c r="C393" s="8" t="s">
        <v>143</v>
      </c>
      <c r="D393" s="8" t="s">
        <v>160</v>
      </c>
      <c r="E393" s="4">
        <v>36.020000000000003</v>
      </c>
    </row>
    <row r="394" spans="1:5" x14ac:dyDescent="0.2">
      <c r="A394" s="7" t="s">
        <v>1962</v>
      </c>
      <c r="B394" s="6" t="s">
        <v>1961</v>
      </c>
      <c r="C394" s="5"/>
      <c r="D394" s="5"/>
      <c r="E394" s="4">
        <v>0</v>
      </c>
    </row>
    <row r="395" spans="1:5" ht="25.5" x14ac:dyDescent="0.2">
      <c r="A395" s="63" t="s">
        <v>1960</v>
      </c>
      <c r="B395" s="64" t="s">
        <v>1959</v>
      </c>
      <c r="C395" s="8" t="s">
        <v>136</v>
      </c>
      <c r="D395" s="8" t="s">
        <v>160</v>
      </c>
      <c r="E395" s="4">
        <v>15</v>
      </c>
    </row>
    <row r="396" spans="1:5" ht="25.5" x14ac:dyDescent="0.2">
      <c r="A396" s="63" t="s">
        <v>1958</v>
      </c>
      <c r="B396" s="64" t="s">
        <v>1957</v>
      </c>
      <c r="C396" s="8" t="s">
        <v>70</v>
      </c>
      <c r="D396" s="8" t="s">
        <v>160</v>
      </c>
      <c r="E396" s="4">
        <v>120.06</v>
      </c>
    </row>
    <row r="397" spans="1:5" ht="25.5" x14ac:dyDescent="0.2">
      <c r="A397" s="63" t="s">
        <v>1956</v>
      </c>
      <c r="B397" s="64" t="s">
        <v>1955</v>
      </c>
      <c r="C397" s="8" t="s">
        <v>136</v>
      </c>
      <c r="D397" s="8" t="s">
        <v>160</v>
      </c>
      <c r="E397" s="4">
        <v>48.02</v>
      </c>
    </row>
    <row r="398" spans="1:5" ht="25.5" x14ac:dyDescent="0.2">
      <c r="A398" s="63" t="s">
        <v>1954</v>
      </c>
      <c r="B398" s="64" t="s">
        <v>1950</v>
      </c>
      <c r="C398" s="8" t="s">
        <v>136</v>
      </c>
      <c r="D398" s="8" t="s">
        <v>160</v>
      </c>
      <c r="E398" s="4">
        <v>57.03</v>
      </c>
    </row>
    <row r="399" spans="1:5" ht="51" x14ac:dyDescent="0.2">
      <c r="A399" s="63" t="s">
        <v>1953</v>
      </c>
      <c r="B399" s="64" t="s">
        <v>1952</v>
      </c>
      <c r="C399" s="8" t="s">
        <v>136</v>
      </c>
      <c r="D399" s="8" t="s">
        <v>160</v>
      </c>
      <c r="E399" s="4">
        <v>42.02</v>
      </c>
    </row>
    <row r="400" spans="1:5" ht="25.5" x14ac:dyDescent="0.2">
      <c r="A400" s="63" t="s">
        <v>1951</v>
      </c>
      <c r="B400" s="64" t="s">
        <v>1950</v>
      </c>
      <c r="C400" s="8" t="s">
        <v>136</v>
      </c>
      <c r="D400" s="8" t="s">
        <v>160</v>
      </c>
      <c r="E400" s="4">
        <v>51.02</v>
      </c>
    </row>
    <row r="401" spans="1:5" ht="25.5" x14ac:dyDescent="0.2">
      <c r="A401" s="63" t="s">
        <v>1949</v>
      </c>
      <c r="B401" s="64" t="s">
        <v>1948</v>
      </c>
      <c r="C401" s="8" t="s">
        <v>136</v>
      </c>
      <c r="D401" s="8" t="s">
        <v>160</v>
      </c>
      <c r="E401" s="4">
        <v>14.41</v>
      </c>
    </row>
    <row r="402" spans="1:5" ht="25.5" x14ac:dyDescent="0.2">
      <c r="A402" s="63" t="s">
        <v>1947</v>
      </c>
      <c r="B402" s="64" t="s">
        <v>1946</v>
      </c>
      <c r="C402" s="8" t="s">
        <v>143</v>
      </c>
      <c r="D402" s="8" t="s">
        <v>160</v>
      </c>
      <c r="E402" s="4">
        <v>4.2</v>
      </c>
    </row>
    <row r="403" spans="1:5" x14ac:dyDescent="0.2">
      <c r="A403" s="63" t="s">
        <v>1945</v>
      </c>
      <c r="B403" s="64" t="s">
        <v>1944</v>
      </c>
      <c r="C403" s="8" t="s">
        <v>136</v>
      </c>
      <c r="D403" s="8" t="s">
        <v>160</v>
      </c>
      <c r="E403" s="4">
        <v>10.8</v>
      </c>
    </row>
    <row r="404" spans="1:5" ht="63.75" x14ac:dyDescent="0.2">
      <c r="A404" s="63" t="s">
        <v>1943</v>
      </c>
      <c r="B404" s="64" t="s">
        <v>1942</v>
      </c>
      <c r="C404" s="8" t="s">
        <v>136</v>
      </c>
      <c r="D404" s="8" t="s">
        <v>160</v>
      </c>
      <c r="E404" s="4">
        <v>15</v>
      </c>
    </row>
    <row r="405" spans="1:5" x14ac:dyDescent="0.2">
      <c r="A405" s="63" t="s">
        <v>1941</v>
      </c>
      <c r="B405" s="64" t="s">
        <v>1940</v>
      </c>
      <c r="C405" s="8" t="s">
        <v>136</v>
      </c>
      <c r="D405" s="8" t="s">
        <v>160</v>
      </c>
      <c r="E405" s="4">
        <v>30.01</v>
      </c>
    </row>
    <row r="406" spans="1:5" x14ac:dyDescent="0.2">
      <c r="A406" s="63" t="s">
        <v>1939</v>
      </c>
      <c r="B406" s="64" t="s">
        <v>1938</v>
      </c>
      <c r="C406" s="8" t="s">
        <v>136</v>
      </c>
      <c r="D406" s="8" t="s">
        <v>160</v>
      </c>
      <c r="E406" s="4">
        <v>12.01</v>
      </c>
    </row>
    <row r="407" spans="1:5" ht="25.5" x14ac:dyDescent="0.2">
      <c r="A407" s="63" t="s">
        <v>1937</v>
      </c>
      <c r="B407" s="64" t="s">
        <v>1936</v>
      </c>
      <c r="C407" s="8" t="s">
        <v>143</v>
      </c>
      <c r="D407" s="8" t="s">
        <v>160</v>
      </c>
      <c r="E407" s="4">
        <v>4.67</v>
      </c>
    </row>
    <row r="408" spans="1:5" ht="25.5" x14ac:dyDescent="0.2">
      <c r="A408" s="63" t="s">
        <v>1935</v>
      </c>
      <c r="B408" s="64" t="s">
        <v>1934</v>
      </c>
      <c r="C408" s="8" t="s">
        <v>143</v>
      </c>
      <c r="D408" s="8" t="s">
        <v>160</v>
      </c>
      <c r="E408" s="4">
        <v>3.3</v>
      </c>
    </row>
    <row r="409" spans="1:5" ht="38.25" x14ac:dyDescent="0.2">
      <c r="A409" s="63" t="s">
        <v>1933</v>
      </c>
      <c r="B409" s="64" t="s">
        <v>1932</v>
      </c>
      <c r="C409" s="8" t="s">
        <v>136</v>
      </c>
      <c r="D409" s="8" t="s">
        <v>160</v>
      </c>
      <c r="E409" s="4">
        <v>33</v>
      </c>
    </row>
    <row r="410" spans="1:5" ht="25.5" x14ac:dyDescent="0.2">
      <c r="A410" s="63" t="s">
        <v>1931</v>
      </c>
      <c r="B410" s="64" t="s">
        <v>1930</v>
      </c>
      <c r="C410" s="8" t="s">
        <v>136</v>
      </c>
      <c r="D410" s="8" t="s">
        <v>160</v>
      </c>
      <c r="E410" s="4">
        <v>27.5</v>
      </c>
    </row>
    <row r="411" spans="1:5" x14ac:dyDescent="0.2">
      <c r="A411" s="63" t="s">
        <v>1929</v>
      </c>
      <c r="B411" s="64" t="s">
        <v>1928</v>
      </c>
      <c r="C411" s="8" t="s">
        <v>136</v>
      </c>
      <c r="D411" s="8" t="s">
        <v>160</v>
      </c>
      <c r="E411" s="4">
        <v>29.7</v>
      </c>
    </row>
    <row r="412" spans="1:5" ht="25.5" x14ac:dyDescent="0.2">
      <c r="A412" s="63" t="s">
        <v>1927</v>
      </c>
      <c r="B412" s="64" t="s">
        <v>1926</v>
      </c>
      <c r="C412" s="8" t="s">
        <v>136</v>
      </c>
      <c r="D412" s="8" t="s">
        <v>160</v>
      </c>
      <c r="E412" s="4">
        <v>5.5</v>
      </c>
    </row>
    <row r="413" spans="1:5" x14ac:dyDescent="0.2">
      <c r="A413" s="63" t="s">
        <v>1925</v>
      </c>
      <c r="B413" s="64" t="s">
        <v>1918</v>
      </c>
      <c r="C413" s="8" t="s">
        <v>136</v>
      </c>
      <c r="D413" s="8" t="s">
        <v>160</v>
      </c>
      <c r="E413" s="4">
        <v>7.7</v>
      </c>
    </row>
    <row r="414" spans="1:5" x14ac:dyDescent="0.2">
      <c r="A414" s="63" t="s">
        <v>1924</v>
      </c>
      <c r="B414" s="64" t="s">
        <v>1906</v>
      </c>
      <c r="C414" s="8" t="s">
        <v>136</v>
      </c>
      <c r="D414" s="8" t="s">
        <v>160</v>
      </c>
      <c r="E414" s="4">
        <v>7.15</v>
      </c>
    </row>
    <row r="415" spans="1:5" x14ac:dyDescent="0.2">
      <c r="A415" s="63" t="s">
        <v>1923</v>
      </c>
      <c r="B415" s="64" t="s">
        <v>1904</v>
      </c>
      <c r="C415" s="8" t="s">
        <v>136</v>
      </c>
      <c r="D415" s="8" t="s">
        <v>160</v>
      </c>
      <c r="E415" s="4">
        <v>7.7</v>
      </c>
    </row>
    <row r="416" spans="1:5" x14ac:dyDescent="0.2">
      <c r="A416" s="63" t="s">
        <v>1922</v>
      </c>
      <c r="B416" s="64" t="s">
        <v>1914</v>
      </c>
      <c r="C416" s="8" t="s">
        <v>136</v>
      </c>
      <c r="D416" s="8" t="s">
        <v>160</v>
      </c>
      <c r="E416" s="4">
        <v>8.8000000000000007</v>
      </c>
    </row>
    <row r="417" spans="1:5" ht="25.5" x14ac:dyDescent="0.2">
      <c r="A417" s="63" t="s">
        <v>1921</v>
      </c>
      <c r="B417" s="64" t="s">
        <v>1920</v>
      </c>
      <c r="C417" s="8" t="s">
        <v>136</v>
      </c>
      <c r="D417" s="8" t="s">
        <v>160</v>
      </c>
      <c r="E417" s="4">
        <v>5.5</v>
      </c>
    </row>
    <row r="418" spans="1:5" x14ac:dyDescent="0.2">
      <c r="A418" s="63" t="s">
        <v>1919</v>
      </c>
      <c r="B418" s="64" t="s">
        <v>1918</v>
      </c>
      <c r="C418" s="8" t="s">
        <v>136</v>
      </c>
      <c r="D418" s="8" t="s">
        <v>160</v>
      </c>
      <c r="E418" s="4">
        <v>6.6</v>
      </c>
    </row>
    <row r="419" spans="1:5" x14ac:dyDescent="0.2">
      <c r="A419" s="63" t="s">
        <v>1917</v>
      </c>
      <c r="B419" s="64" t="s">
        <v>1906</v>
      </c>
      <c r="C419" s="8" t="s">
        <v>136</v>
      </c>
      <c r="D419" s="8" t="s">
        <v>160</v>
      </c>
      <c r="E419" s="4">
        <v>6.68</v>
      </c>
    </row>
    <row r="420" spans="1:5" x14ac:dyDescent="0.2">
      <c r="A420" s="63" t="s">
        <v>1916</v>
      </c>
      <c r="B420" s="64" t="s">
        <v>1904</v>
      </c>
      <c r="C420" s="8" t="s">
        <v>136</v>
      </c>
      <c r="D420" s="8" t="s">
        <v>160</v>
      </c>
      <c r="E420" s="4">
        <v>7.7</v>
      </c>
    </row>
    <row r="421" spans="1:5" x14ac:dyDescent="0.2">
      <c r="A421" s="63" t="s">
        <v>1915</v>
      </c>
      <c r="B421" s="64" t="s">
        <v>1914</v>
      </c>
      <c r="C421" s="8" t="s">
        <v>136</v>
      </c>
      <c r="D421" s="8" t="s">
        <v>160</v>
      </c>
      <c r="E421" s="4">
        <v>8.8000000000000007</v>
      </c>
    </row>
    <row r="422" spans="1:5" ht="25.5" x14ac:dyDescent="0.2">
      <c r="A422" s="63" t="s">
        <v>1913</v>
      </c>
      <c r="B422" s="64" t="s">
        <v>1912</v>
      </c>
      <c r="C422" s="8" t="s">
        <v>136</v>
      </c>
      <c r="D422" s="8" t="s">
        <v>160</v>
      </c>
      <c r="E422" s="4">
        <v>8.89</v>
      </c>
    </row>
    <row r="423" spans="1:5" x14ac:dyDescent="0.2">
      <c r="A423" s="63" t="s">
        <v>1911</v>
      </c>
      <c r="B423" s="64" t="s">
        <v>1906</v>
      </c>
      <c r="C423" s="8" t="s">
        <v>136</v>
      </c>
      <c r="D423" s="8" t="s">
        <v>160</v>
      </c>
      <c r="E423" s="4">
        <v>10.79</v>
      </c>
    </row>
    <row r="424" spans="1:5" x14ac:dyDescent="0.2">
      <c r="A424" s="63" t="s">
        <v>1910</v>
      </c>
      <c r="B424" s="64" t="s">
        <v>1904</v>
      </c>
      <c r="C424" s="8" t="s">
        <v>136</v>
      </c>
      <c r="D424" s="8" t="s">
        <v>160</v>
      </c>
      <c r="E424" s="4">
        <v>13.02</v>
      </c>
    </row>
    <row r="425" spans="1:5" ht="38.25" x14ac:dyDescent="0.2">
      <c r="A425" s="63" t="s">
        <v>1909</v>
      </c>
      <c r="B425" s="64" t="s">
        <v>1908</v>
      </c>
      <c r="C425" s="8" t="s">
        <v>136</v>
      </c>
      <c r="D425" s="8" t="s">
        <v>160</v>
      </c>
      <c r="E425" s="4">
        <v>11</v>
      </c>
    </row>
    <row r="426" spans="1:5" x14ac:dyDescent="0.2">
      <c r="A426" s="63" t="s">
        <v>1907</v>
      </c>
      <c r="B426" s="64" t="s">
        <v>1906</v>
      </c>
      <c r="C426" s="8" t="s">
        <v>136</v>
      </c>
      <c r="D426" s="8" t="s">
        <v>160</v>
      </c>
      <c r="E426" s="4">
        <v>13.2</v>
      </c>
    </row>
    <row r="427" spans="1:5" x14ac:dyDescent="0.2">
      <c r="A427" s="63" t="s">
        <v>1905</v>
      </c>
      <c r="B427" s="64" t="s">
        <v>1904</v>
      </c>
      <c r="C427" s="8" t="s">
        <v>136</v>
      </c>
      <c r="D427" s="8" t="s">
        <v>160</v>
      </c>
      <c r="E427" s="4">
        <v>16.5</v>
      </c>
    </row>
    <row r="428" spans="1:5" ht="25.5" x14ac:dyDescent="0.2">
      <c r="A428" s="63" t="s">
        <v>1903</v>
      </c>
      <c r="B428" s="64" t="s">
        <v>1902</v>
      </c>
      <c r="C428" s="8" t="s">
        <v>136</v>
      </c>
      <c r="D428" s="8" t="s">
        <v>160</v>
      </c>
      <c r="E428" s="4">
        <v>3.3</v>
      </c>
    </row>
    <row r="429" spans="1:5" ht="25.5" x14ac:dyDescent="0.2">
      <c r="A429" s="63" t="s">
        <v>1901</v>
      </c>
      <c r="B429" s="64" t="s">
        <v>1900</v>
      </c>
      <c r="C429" s="8" t="s">
        <v>136</v>
      </c>
      <c r="D429" s="8" t="s">
        <v>160</v>
      </c>
      <c r="E429" s="4">
        <v>5.5</v>
      </c>
    </row>
    <row r="430" spans="1:5" ht="51" x14ac:dyDescent="0.2">
      <c r="A430" s="63" t="s">
        <v>1899</v>
      </c>
      <c r="B430" s="64" t="s">
        <v>1898</v>
      </c>
      <c r="C430" s="8" t="s">
        <v>136</v>
      </c>
      <c r="D430" s="8" t="s">
        <v>160</v>
      </c>
      <c r="E430" s="4">
        <v>7.7</v>
      </c>
    </row>
    <row r="431" spans="1:5" ht="38.25" x14ac:dyDescent="0.2">
      <c r="A431" s="63" t="s">
        <v>1897</v>
      </c>
      <c r="B431" s="64" t="s">
        <v>1896</v>
      </c>
      <c r="C431" s="8" t="s">
        <v>136</v>
      </c>
      <c r="D431" s="8" t="s">
        <v>160</v>
      </c>
      <c r="E431" s="4">
        <v>3.3</v>
      </c>
    </row>
    <row r="432" spans="1:5" ht="25.5" x14ac:dyDescent="0.2">
      <c r="A432" s="63" t="s">
        <v>1895</v>
      </c>
      <c r="B432" s="64" t="s">
        <v>1894</v>
      </c>
      <c r="C432" s="8" t="s">
        <v>136</v>
      </c>
      <c r="D432" s="8" t="s">
        <v>160</v>
      </c>
      <c r="E432" s="4">
        <v>11</v>
      </c>
    </row>
    <row r="433" spans="1:5" ht="25.5" x14ac:dyDescent="0.2">
      <c r="A433" s="63" t="s">
        <v>1893</v>
      </c>
      <c r="B433" s="64" t="s">
        <v>1892</v>
      </c>
      <c r="C433" s="8" t="s">
        <v>143</v>
      </c>
      <c r="D433" s="8" t="s">
        <v>160</v>
      </c>
      <c r="E433" s="4">
        <v>5.5</v>
      </c>
    </row>
    <row r="434" spans="1:5" ht="25.5" x14ac:dyDescent="0.2">
      <c r="A434" s="63" t="s">
        <v>1891</v>
      </c>
      <c r="B434" s="64" t="s">
        <v>1890</v>
      </c>
      <c r="C434" s="8" t="s">
        <v>143</v>
      </c>
      <c r="D434" s="8" t="s">
        <v>160</v>
      </c>
      <c r="E434" s="4">
        <v>1.65</v>
      </c>
    </row>
    <row r="435" spans="1:5" x14ac:dyDescent="0.2">
      <c r="A435" s="7" t="s">
        <v>1889</v>
      </c>
      <c r="B435" s="6" t="s">
        <v>1888</v>
      </c>
      <c r="C435" s="5"/>
      <c r="D435" s="5"/>
      <c r="E435" s="4">
        <v>0</v>
      </c>
    </row>
    <row r="436" spans="1:5" x14ac:dyDescent="0.2">
      <c r="A436" s="7" t="s">
        <v>1887</v>
      </c>
      <c r="B436" s="6" t="s">
        <v>1886</v>
      </c>
      <c r="C436" s="5"/>
      <c r="D436" s="5"/>
      <c r="E436" s="4">
        <v>0</v>
      </c>
    </row>
    <row r="437" spans="1:5" x14ac:dyDescent="0.2">
      <c r="A437" s="63" t="s">
        <v>1885</v>
      </c>
      <c r="B437" s="64" t="s">
        <v>1884</v>
      </c>
      <c r="C437" s="8" t="s">
        <v>70</v>
      </c>
      <c r="D437" s="8" t="s">
        <v>160</v>
      </c>
      <c r="E437" s="4">
        <v>180.1</v>
      </c>
    </row>
    <row r="438" spans="1:5" x14ac:dyDescent="0.2">
      <c r="A438" s="63" t="s">
        <v>1883</v>
      </c>
      <c r="B438" s="64" t="s">
        <v>1882</v>
      </c>
      <c r="C438" s="8" t="s">
        <v>136</v>
      </c>
      <c r="D438" s="8" t="s">
        <v>173</v>
      </c>
      <c r="E438" s="4">
        <v>16.8</v>
      </c>
    </row>
    <row r="439" spans="1:5" ht="25.5" x14ac:dyDescent="0.2">
      <c r="A439" s="63" t="s">
        <v>1881</v>
      </c>
      <c r="B439" s="64" t="s">
        <v>1880</v>
      </c>
      <c r="C439" s="8" t="s">
        <v>70</v>
      </c>
      <c r="D439" s="8" t="s">
        <v>173</v>
      </c>
      <c r="E439" s="4">
        <v>26.99</v>
      </c>
    </row>
    <row r="440" spans="1:5" x14ac:dyDescent="0.2">
      <c r="A440" s="63" t="s">
        <v>1879</v>
      </c>
      <c r="B440" s="64" t="s">
        <v>1878</v>
      </c>
      <c r="C440" s="8" t="s">
        <v>136</v>
      </c>
      <c r="D440" s="8" t="s">
        <v>173</v>
      </c>
      <c r="E440" s="4">
        <v>6.6</v>
      </c>
    </row>
    <row r="441" spans="1:5" x14ac:dyDescent="0.2">
      <c r="A441" s="63" t="s">
        <v>1877</v>
      </c>
      <c r="B441" s="64" t="s">
        <v>1876</v>
      </c>
      <c r="C441" s="8" t="s">
        <v>136</v>
      </c>
      <c r="D441" s="8" t="s">
        <v>173</v>
      </c>
      <c r="E441" s="4">
        <v>9</v>
      </c>
    </row>
    <row r="442" spans="1:5" ht="25.5" x14ac:dyDescent="0.2">
      <c r="A442" s="63" t="s">
        <v>1875</v>
      </c>
      <c r="B442" s="64" t="s">
        <v>1874</v>
      </c>
      <c r="C442" s="8" t="s">
        <v>136</v>
      </c>
      <c r="D442" s="8" t="s">
        <v>160</v>
      </c>
      <c r="E442" s="4">
        <v>24.61</v>
      </c>
    </row>
    <row r="443" spans="1:5" ht="25.5" x14ac:dyDescent="0.2">
      <c r="A443" s="63" t="s">
        <v>1873</v>
      </c>
      <c r="B443" s="64" t="s">
        <v>1872</v>
      </c>
      <c r="C443" s="8" t="s">
        <v>136</v>
      </c>
      <c r="D443" s="8" t="s">
        <v>160</v>
      </c>
      <c r="E443" s="4">
        <v>22.22</v>
      </c>
    </row>
    <row r="444" spans="1:5" x14ac:dyDescent="0.2">
      <c r="A444" s="63" t="s">
        <v>1871</v>
      </c>
      <c r="B444" s="64" t="s">
        <v>1870</v>
      </c>
      <c r="C444" s="8" t="s">
        <v>136</v>
      </c>
      <c r="D444" s="8" t="s">
        <v>160</v>
      </c>
      <c r="E444" s="4">
        <v>33</v>
      </c>
    </row>
    <row r="445" spans="1:5" x14ac:dyDescent="0.2">
      <c r="A445" s="63" t="s">
        <v>1869</v>
      </c>
      <c r="B445" s="64" t="s">
        <v>1868</v>
      </c>
      <c r="C445" s="8" t="s">
        <v>136</v>
      </c>
      <c r="D445" s="8" t="s">
        <v>173</v>
      </c>
      <c r="E445" s="4">
        <v>15</v>
      </c>
    </row>
    <row r="446" spans="1:5" ht="25.5" x14ac:dyDescent="0.2">
      <c r="A446" s="63" t="s">
        <v>1867</v>
      </c>
      <c r="B446" s="64" t="s">
        <v>1866</v>
      </c>
      <c r="C446" s="8" t="s">
        <v>143</v>
      </c>
      <c r="D446" s="8" t="s">
        <v>160</v>
      </c>
      <c r="E446" s="4">
        <v>34.61</v>
      </c>
    </row>
    <row r="447" spans="1:5" ht="25.5" x14ac:dyDescent="0.2">
      <c r="A447" s="63" t="s">
        <v>1865</v>
      </c>
      <c r="B447" s="64" t="s">
        <v>1864</v>
      </c>
      <c r="C447" s="8" t="s">
        <v>143</v>
      </c>
      <c r="D447" s="8" t="s">
        <v>160</v>
      </c>
      <c r="E447" s="4">
        <v>30.16</v>
      </c>
    </row>
    <row r="448" spans="1:5" x14ac:dyDescent="0.2">
      <c r="A448" s="63" t="s">
        <v>1863</v>
      </c>
      <c r="B448" s="64" t="s">
        <v>1862</v>
      </c>
      <c r="C448" s="8" t="s">
        <v>136</v>
      </c>
      <c r="D448" s="8" t="s">
        <v>160</v>
      </c>
      <c r="E448" s="4">
        <v>34.72</v>
      </c>
    </row>
    <row r="449" spans="1:5" x14ac:dyDescent="0.2">
      <c r="A449" s="63" t="s">
        <v>1861</v>
      </c>
      <c r="B449" s="64" t="s">
        <v>1860</v>
      </c>
      <c r="C449" s="8" t="s">
        <v>136</v>
      </c>
      <c r="D449" s="8" t="s">
        <v>160</v>
      </c>
      <c r="E449" s="4">
        <v>31.11</v>
      </c>
    </row>
    <row r="450" spans="1:5" x14ac:dyDescent="0.2">
      <c r="A450" s="63" t="s">
        <v>1859</v>
      </c>
      <c r="B450" s="64" t="s">
        <v>1858</v>
      </c>
      <c r="C450" s="8" t="s">
        <v>136</v>
      </c>
      <c r="D450" s="8" t="s">
        <v>160</v>
      </c>
      <c r="E450" s="4">
        <v>49.37</v>
      </c>
    </row>
    <row r="451" spans="1:5" x14ac:dyDescent="0.2">
      <c r="A451" s="63" t="s">
        <v>1857</v>
      </c>
      <c r="B451" s="64" t="s">
        <v>1856</v>
      </c>
      <c r="C451" s="8" t="s">
        <v>136</v>
      </c>
      <c r="D451" s="8" t="s">
        <v>160</v>
      </c>
      <c r="E451" s="4">
        <v>66.03</v>
      </c>
    </row>
    <row r="452" spans="1:5" x14ac:dyDescent="0.2">
      <c r="A452" s="63" t="s">
        <v>1855</v>
      </c>
      <c r="B452" s="64" t="s">
        <v>1854</v>
      </c>
      <c r="C452" s="8" t="s">
        <v>136</v>
      </c>
      <c r="D452" s="8" t="s">
        <v>160</v>
      </c>
      <c r="E452" s="4">
        <v>19.05</v>
      </c>
    </row>
    <row r="453" spans="1:5" ht="25.5" x14ac:dyDescent="0.2">
      <c r="A453" s="63" t="s">
        <v>1853</v>
      </c>
      <c r="B453" s="64" t="s">
        <v>1852</v>
      </c>
      <c r="C453" s="8" t="s">
        <v>136</v>
      </c>
      <c r="D453" s="8" t="s">
        <v>160</v>
      </c>
      <c r="E453" s="4">
        <v>27.94</v>
      </c>
    </row>
    <row r="454" spans="1:5" x14ac:dyDescent="0.2">
      <c r="A454" s="63" t="s">
        <v>1851</v>
      </c>
      <c r="B454" s="64" t="s">
        <v>1850</v>
      </c>
      <c r="C454" s="8" t="s">
        <v>136</v>
      </c>
      <c r="D454" s="8" t="s">
        <v>160</v>
      </c>
      <c r="E454" s="4">
        <v>31.91</v>
      </c>
    </row>
    <row r="455" spans="1:5" x14ac:dyDescent="0.2">
      <c r="A455" s="63" t="s">
        <v>1849</v>
      </c>
      <c r="B455" s="64" t="s">
        <v>1848</v>
      </c>
      <c r="C455" s="8" t="s">
        <v>136</v>
      </c>
      <c r="D455" s="8" t="s">
        <v>160</v>
      </c>
      <c r="E455" s="4">
        <v>31.91</v>
      </c>
    </row>
    <row r="456" spans="1:5" ht="25.5" x14ac:dyDescent="0.2">
      <c r="A456" s="63" t="s">
        <v>1847</v>
      </c>
      <c r="B456" s="64" t="s">
        <v>1846</v>
      </c>
      <c r="C456" s="8" t="s">
        <v>136</v>
      </c>
      <c r="D456" s="8" t="s">
        <v>160</v>
      </c>
      <c r="E456" s="4">
        <v>66.03</v>
      </c>
    </row>
    <row r="457" spans="1:5" ht="38.25" x14ac:dyDescent="0.2">
      <c r="A457" s="63" t="s">
        <v>1845</v>
      </c>
      <c r="B457" s="64" t="s">
        <v>1844</v>
      </c>
      <c r="C457" s="8" t="s">
        <v>136</v>
      </c>
      <c r="D457" s="8" t="s">
        <v>160</v>
      </c>
      <c r="E457" s="4">
        <v>19</v>
      </c>
    </row>
    <row r="458" spans="1:5" x14ac:dyDescent="0.2">
      <c r="A458" s="63" t="s">
        <v>1843</v>
      </c>
      <c r="B458" s="64" t="s">
        <v>1838</v>
      </c>
      <c r="C458" s="8" t="s">
        <v>136</v>
      </c>
      <c r="D458" s="8" t="s">
        <v>160</v>
      </c>
      <c r="E458" s="4">
        <v>21.42</v>
      </c>
    </row>
    <row r="459" spans="1:5" x14ac:dyDescent="0.2">
      <c r="A459" s="63" t="s">
        <v>1842</v>
      </c>
      <c r="B459" s="64" t="s">
        <v>1836</v>
      </c>
      <c r="C459" s="8" t="s">
        <v>136</v>
      </c>
      <c r="D459" s="8" t="s">
        <v>160</v>
      </c>
      <c r="E459" s="4">
        <v>25.08</v>
      </c>
    </row>
    <row r="460" spans="1:5" ht="38.25" x14ac:dyDescent="0.2">
      <c r="A460" s="63" t="s">
        <v>1841</v>
      </c>
      <c r="B460" s="64" t="s">
        <v>1840</v>
      </c>
      <c r="C460" s="8" t="s">
        <v>136</v>
      </c>
      <c r="D460" s="8" t="s">
        <v>160</v>
      </c>
      <c r="E460" s="4">
        <v>10.8</v>
      </c>
    </row>
    <row r="461" spans="1:5" x14ac:dyDescent="0.2">
      <c r="A461" s="63" t="s">
        <v>1839</v>
      </c>
      <c r="B461" s="64" t="s">
        <v>1838</v>
      </c>
      <c r="C461" s="8" t="s">
        <v>136</v>
      </c>
      <c r="D461" s="8" t="s">
        <v>160</v>
      </c>
      <c r="E461" s="4">
        <v>19.05</v>
      </c>
    </row>
    <row r="462" spans="1:5" x14ac:dyDescent="0.2">
      <c r="A462" s="63" t="s">
        <v>1837</v>
      </c>
      <c r="B462" s="64" t="s">
        <v>1836</v>
      </c>
      <c r="C462" s="8" t="s">
        <v>136</v>
      </c>
      <c r="D462" s="8" t="s">
        <v>160</v>
      </c>
      <c r="E462" s="4">
        <v>22.79</v>
      </c>
    </row>
    <row r="463" spans="1:5" ht="25.5" x14ac:dyDescent="0.2">
      <c r="A463" s="63" t="s">
        <v>1835</v>
      </c>
      <c r="B463" s="64" t="s">
        <v>1834</v>
      </c>
      <c r="C463" s="8" t="s">
        <v>136</v>
      </c>
      <c r="D463" s="8" t="s">
        <v>160</v>
      </c>
      <c r="E463" s="4">
        <v>21.61</v>
      </c>
    </row>
    <row r="464" spans="1:5" ht="76.5" x14ac:dyDescent="0.2">
      <c r="A464" s="63" t="s">
        <v>1833</v>
      </c>
      <c r="B464" s="64" t="s">
        <v>1832</v>
      </c>
      <c r="C464" s="8" t="s">
        <v>136</v>
      </c>
      <c r="D464" s="8" t="s">
        <v>160</v>
      </c>
      <c r="E464" s="4">
        <v>24.61</v>
      </c>
    </row>
    <row r="465" spans="1:5" ht="38.25" x14ac:dyDescent="0.2">
      <c r="A465" s="63" t="s">
        <v>1831</v>
      </c>
      <c r="B465" s="64" t="s">
        <v>1830</v>
      </c>
      <c r="C465" s="8" t="s">
        <v>136</v>
      </c>
      <c r="D465" s="8" t="s">
        <v>160</v>
      </c>
      <c r="E465" s="4">
        <v>19.84</v>
      </c>
    </row>
    <row r="466" spans="1:5" x14ac:dyDescent="0.2">
      <c r="A466" s="63" t="s">
        <v>1829</v>
      </c>
      <c r="B466" s="64" t="s">
        <v>1828</v>
      </c>
      <c r="C466" s="8" t="s">
        <v>136</v>
      </c>
      <c r="D466" s="8" t="s">
        <v>160</v>
      </c>
      <c r="E466" s="4">
        <v>22.81</v>
      </c>
    </row>
    <row r="467" spans="1:5" x14ac:dyDescent="0.2">
      <c r="A467" s="63" t="s">
        <v>1827</v>
      </c>
      <c r="B467" s="64" t="s">
        <v>1826</v>
      </c>
      <c r="C467" s="8" t="s">
        <v>136</v>
      </c>
      <c r="D467" s="8" t="s">
        <v>160</v>
      </c>
      <c r="E467" s="4">
        <v>21.43</v>
      </c>
    </row>
    <row r="468" spans="1:5" ht="25.5" x14ac:dyDescent="0.2">
      <c r="A468" s="63" t="s">
        <v>1825</v>
      </c>
      <c r="B468" s="64" t="s">
        <v>1824</v>
      </c>
      <c r="C468" s="8" t="s">
        <v>136</v>
      </c>
      <c r="D468" s="8" t="s">
        <v>160</v>
      </c>
      <c r="E468" s="4">
        <v>21.43</v>
      </c>
    </row>
    <row r="469" spans="1:5" ht="25.5" x14ac:dyDescent="0.2">
      <c r="A469" s="63" t="s">
        <v>1823</v>
      </c>
      <c r="B469" s="64" t="s">
        <v>1822</v>
      </c>
      <c r="C469" s="8" t="s">
        <v>136</v>
      </c>
      <c r="D469" s="8" t="s">
        <v>160</v>
      </c>
      <c r="E469" s="4">
        <v>28.82</v>
      </c>
    </row>
    <row r="470" spans="1:5" ht="38.25" x14ac:dyDescent="0.2">
      <c r="A470" s="63" t="s">
        <v>1821</v>
      </c>
      <c r="B470" s="64" t="s">
        <v>1820</v>
      </c>
      <c r="C470" s="8" t="s">
        <v>136</v>
      </c>
      <c r="D470" s="8" t="s">
        <v>160</v>
      </c>
      <c r="E470" s="4">
        <v>28.82</v>
      </c>
    </row>
    <row r="471" spans="1:5" ht="38.25" x14ac:dyDescent="0.2">
      <c r="A471" s="63" t="s">
        <v>1819</v>
      </c>
      <c r="B471" s="64" t="s">
        <v>1818</v>
      </c>
      <c r="C471" s="8" t="s">
        <v>136</v>
      </c>
      <c r="D471" s="8" t="s">
        <v>160</v>
      </c>
      <c r="E471" s="4">
        <v>18</v>
      </c>
    </row>
    <row r="472" spans="1:5" ht="25.5" x14ac:dyDescent="0.2">
      <c r="A472" s="63" t="s">
        <v>1817</v>
      </c>
      <c r="B472" s="64" t="s">
        <v>1816</v>
      </c>
      <c r="C472" s="8" t="s">
        <v>143</v>
      </c>
      <c r="D472" s="8" t="s">
        <v>160</v>
      </c>
      <c r="E472" s="4">
        <v>38.979999999999997</v>
      </c>
    </row>
    <row r="473" spans="1:5" ht="63.75" x14ac:dyDescent="0.2">
      <c r="A473" s="63" t="s">
        <v>1815</v>
      </c>
      <c r="B473" s="64" t="s">
        <v>1814</v>
      </c>
      <c r="C473" s="8" t="s">
        <v>136</v>
      </c>
      <c r="D473" s="8" t="s">
        <v>160</v>
      </c>
      <c r="E473" s="4">
        <v>25.3</v>
      </c>
    </row>
    <row r="474" spans="1:5" ht="63.75" x14ac:dyDescent="0.2">
      <c r="A474" s="63" t="s">
        <v>1813</v>
      </c>
      <c r="B474" s="64" t="s">
        <v>1812</v>
      </c>
      <c r="C474" s="8" t="s">
        <v>136</v>
      </c>
      <c r="D474" s="8" t="s">
        <v>160</v>
      </c>
      <c r="E474" s="4">
        <v>25.3</v>
      </c>
    </row>
    <row r="475" spans="1:5" x14ac:dyDescent="0.2">
      <c r="A475" s="7" t="s">
        <v>1811</v>
      </c>
      <c r="B475" s="6" t="s">
        <v>1810</v>
      </c>
      <c r="C475" s="5"/>
      <c r="D475" s="5"/>
      <c r="E475" s="4">
        <v>0</v>
      </c>
    </row>
    <row r="476" spans="1:5" ht="25.5" x14ac:dyDescent="0.2">
      <c r="A476" s="63" t="s">
        <v>1809</v>
      </c>
      <c r="B476" s="64" t="s">
        <v>1808</v>
      </c>
      <c r="C476" s="8" t="s">
        <v>136</v>
      </c>
      <c r="D476" s="8" t="s">
        <v>160</v>
      </c>
      <c r="E476" s="4">
        <v>15.49</v>
      </c>
    </row>
    <row r="477" spans="1:5" x14ac:dyDescent="0.2">
      <c r="A477" s="63" t="s">
        <v>1807</v>
      </c>
      <c r="B477" s="64" t="s">
        <v>1806</v>
      </c>
      <c r="C477" s="8" t="s">
        <v>136</v>
      </c>
      <c r="D477" s="8" t="s">
        <v>160</v>
      </c>
      <c r="E477" s="4">
        <v>16.690000000000001</v>
      </c>
    </row>
    <row r="478" spans="1:5" ht="25.5" x14ac:dyDescent="0.2">
      <c r="A478" s="63" t="s">
        <v>1805</v>
      </c>
      <c r="B478" s="64" t="s">
        <v>1804</v>
      </c>
      <c r="C478" s="8" t="s">
        <v>70</v>
      </c>
      <c r="D478" s="8" t="s">
        <v>160</v>
      </c>
      <c r="E478" s="4">
        <v>84.05</v>
      </c>
    </row>
    <row r="479" spans="1:5" ht="38.25" x14ac:dyDescent="0.2">
      <c r="A479" s="63" t="s">
        <v>1803</v>
      </c>
      <c r="B479" s="64" t="s">
        <v>1802</v>
      </c>
      <c r="C479" s="8" t="s">
        <v>136</v>
      </c>
      <c r="D479" s="8" t="s">
        <v>160</v>
      </c>
      <c r="E479" s="4">
        <v>27.84</v>
      </c>
    </row>
    <row r="480" spans="1:5" ht="38.25" x14ac:dyDescent="0.2">
      <c r="A480" s="63" t="s">
        <v>1801</v>
      </c>
      <c r="B480" s="64" t="s">
        <v>1800</v>
      </c>
      <c r="C480" s="8" t="s">
        <v>136</v>
      </c>
      <c r="D480" s="8" t="s">
        <v>160</v>
      </c>
      <c r="E480" s="4">
        <v>30.01</v>
      </c>
    </row>
    <row r="481" spans="1:5" ht="38.25" x14ac:dyDescent="0.2">
      <c r="A481" s="63" t="s">
        <v>1799</v>
      </c>
      <c r="B481" s="64" t="s">
        <v>1798</v>
      </c>
      <c r="C481" s="8" t="s">
        <v>136</v>
      </c>
      <c r="D481" s="8" t="s">
        <v>160</v>
      </c>
      <c r="E481" s="4">
        <v>27.01</v>
      </c>
    </row>
    <row r="482" spans="1:5" ht="38.25" x14ac:dyDescent="0.2">
      <c r="A482" s="63" t="s">
        <v>1797</v>
      </c>
      <c r="B482" s="64" t="s">
        <v>1796</v>
      </c>
      <c r="C482" s="8" t="s">
        <v>136</v>
      </c>
      <c r="D482" s="8" t="s">
        <v>160</v>
      </c>
      <c r="E482" s="4">
        <v>27.01</v>
      </c>
    </row>
    <row r="483" spans="1:5" ht="38.25" x14ac:dyDescent="0.2">
      <c r="A483" s="63" t="s">
        <v>1795</v>
      </c>
      <c r="B483" s="64" t="s">
        <v>1794</v>
      </c>
      <c r="C483" s="8" t="s">
        <v>136</v>
      </c>
      <c r="D483" s="8" t="s">
        <v>160</v>
      </c>
      <c r="E483" s="4">
        <v>30.01</v>
      </c>
    </row>
    <row r="484" spans="1:5" ht="38.25" x14ac:dyDescent="0.2">
      <c r="A484" s="63" t="s">
        <v>1793</v>
      </c>
      <c r="B484" s="64" t="s">
        <v>1792</v>
      </c>
      <c r="C484" s="8" t="s">
        <v>136</v>
      </c>
      <c r="D484" s="8" t="s">
        <v>160</v>
      </c>
      <c r="E484" s="4">
        <v>27.51</v>
      </c>
    </row>
    <row r="485" spans="1:5" ht="25.5" x14ac:dyDescent="0.2">
      <c r="A485" s="63" t="s">
        <v>1791</v>
      </c>
      <c r="B485" s="64" t="s">
        <v>1790</v>
      </c>
      <c r="C485" s="8" t="s">
        <v>136</v>
      </c>
      <c r="D485" s="8" t="s">
        <v>160</v>
      </c>
      <c r="E485" s="4">
        <v>30.01</v>
      </c>
    </row>
    <row r="486" spans="1:5" ht="38.25" x14ac:dyDescent="0.2">
      <c r="A486" s="63" t="s">
        <v>1789</v>
      </c>
      <c r="B486" s="64" t="s">
        <v>1788</v>
      </c>
      <c r="C486" s="8" t="s">
        <v>143</v>
      </c>
      <c r="D486" s="8" t="s">
        <v>160</v>
      </c>
      <c r="E486" s="4">
        <v>6.98</v>
      </c>
    </row>
    <row r="487" spans="1:5" x14ac:dyDescent="0.2">
      <c r="A487" s="63" t="s">
        <v>1787</v>
      </c>
      <c r="B487" s="64" t="s">
        <v>1786</v>
      </c>
      <c r="C487" s="8" t="s">
        <v>143</v>
      </c>
      <c r="D487" s="8" t="s">
        <v>160</v>
      </c>
      <c r="E487" s="4">
        <v>7.62</v>
      </c>
    </row>
    <row r="488" spans="1:5" x14ac:dyDescent="0.2">
      <c r="A488" s="63" t="s">
        <v>1785</v>
      </c>
      <c r="B488" s="64" t="s">
        <v>1784</v>
      </c>
      <c r="C488" s="8" t="s">
        <v>143</v>
      </c>
      <c r="D488" s="8" t="s">
        <v>160</v>
      </c>
      <c r="E488" s="4">
        <v>8.25</v>
      </c>
    </row>
    <row r="489" spans="1:5" x14ac:dyDescent="0.2">
      <c r="A489" s="63" t="s">
        <v>1783</v>
      </c>
      <c r="B489" s="64" t="s">
        <v>1782</v>
      </c>
      <c r="C489" s="8" t="s">
        <v>143</v>
      </c>
      <c r="D489" s="8" t="s">
        <v>160</v>
      </c>
      <c r="E489" s="4">
        <v>6.98</v>
      </c>
    </row>
    <row r="490" spans="1:5" ht="25.5" x14ac:dyDescent="0.2">
      <c r="A490" s="63" t="s">
        <v>1781</v>
      </c>
      <c r="B490" s="64" t="s">
        <v>1780</v>
      </c>
      <c r="C490" s="8" t="s">
        <v>143</v>
      </c>
      <c r="D490" s="8" t="s">
        <v>160</v>
      </c>
      <c r="E490" s="4">
        <v>6.98</v>
      </c>
    </row>
    <row r="491" spans="1:5" x14ac:dyDescent="0.2">
      <c r="A491" s="63" t="s">
        <v>1779</v>
      </c>
      <c r="B491" s="64" t="s">
        <v>1778</v>
      </c>
      <c r="C491" s="8" t="s">
        <v>136</v>
      </c>
      <c r="D491" s="8" t="s">
        <v>160</v>
      </c>
      <c r="E491" s="4">
        <v>18</v>
      </c>
    </row>
    <row r="492" spans="1:5" ht="25.5" x14ac:dyDescent="0.2">
      <c r="A492" s="63" t="s">
        <v>1777</v>
      </c>
      <c r="B492" s="64" t="s">
        <v>1776</v>
      </c>
      <c r="C492" s="8" t="s">
        <v>136</v>
      </c>
      <c r="D492" s="8" t="s">
        <v>160</v>
      </c>
      <c r="E492" s="4">
        <v>42.02</v>
      </c>
    </row>
    <row r="493" spans="1:5" x14ac:dyDescent="0.2">
      <c r="A493" s="63" t="s">
        <v>1775</v>
      </c>
      <c r="B493" s="64" t="s">
        <v>1774</v>
      </c>
      <c r="C493" s="8" t="s">
        <v>136</v>
      </c>
      <c r="D493" s="8" t="s">
        <v>160</v>
      </c>
      <c r="E493" s="4">
        <v>120.06</v>
      </c>
    </row>
    <row r="494" spans="1:5" ht="25.5" x14ac:dyDescent="0.2">
      <c r="A494" s="63" t="s">
        <v>1773</v>
      </c>
      <c r="B494" s="64" t="s">
        <v>1772</v>
      </c>
      <c r="C494" s="8" t="s">
        <v>136</v>
      </c>
      <c r="D494" s="8" t="s">
        <v>160</v>
      </c>
      <c r="E494" s="4">
        <v>29.81</v>
      </c>
    </row>
    <row r="495" spans="1:5" ht="25.5" x14ac:dyDescent="0.2">
      <c r="A495" s="63" t="s">
        <v>1771</v>
      </c>
      <c r="B495" s="64" t="s">
        <v>1770</v>
      </c>
      <c r="C495" s="8" t="s">
        <v>136</v>
      </c>
      <c r="D495" s="8" t="s">
        <v>160</v>
      </c>
      <c r="E495" s="4">
        <v>33.19</v>
      </c>
    </row>
    <row r="496" spans="1:5" ht="25.5" x14ac:dyDescent="0.2">
      <c r="A496" s="63" t="s">
        <v>1769</v>
      </c>
      <c r="B496" s="64" t="s">
        <v>1768</v>
      </c>
      <c r="C496" s="8" t="s">
        <v>136</v>
      </c>
      <c r="D496" s="8" t="s">
        <v>160</v>
      </c>
      <c r="E496" s="4">
        <v>36.61</v>
      </c>
    </row>
    <row r="497" spans="1:5" ht="25.5" x14ac:dyDescent="0.2">
      <c r="A497" s="63" t="s">
        <v>1767</v>
      </c>
      <c r="B497" s="64" t="s">
        <v>1766</v>
      </c>
      <c r="C497" s="8" t="s">
        <v>136</v>
      </c>
      <c r="D497" s="8" t="s">
        <v>160</v>
      </c>
      <c r="E497" s="4">
        <v>38.5</v>
      </c>
    </row>
    <row r="498" spans="1:5" x14ac:dyDescent="0.2">
      <c r="A498" s="63" t="s">
        <v>1765</v>
      </c>
      <c r="B498" s="64" t="s">
        <v>1764</v>
      </c>
      <c r="C498" s="8" t="s">
        <v>143</v>
      </c>
      <c r="D498" s="8" t="s">
        <v>160</v>
      </c>
      <c r="E498" s="4">
        <v>22</v>
      </c>
    </row>
    <row r="499" spans="1:5" ht="25.5" x14ac:dyDescent="0.2">
      <c r="A499" s="63" t="s">
        <v>1763</v>
      </c>
      <c r="B499" s="64" t="s">
        <v>1762</v>
      </c>
      <c r="C499" s="8" t="s">
        <v>143</v>
      </c>
      <c r="D499" s="8" t="s">
        <v>160</v>
      </c>
      <c r="E499" s="4">
        <v>11.82</v>
      </c>
    </row>
    <row r="500" spans="1:5" ht="25.5" x14ac:dyDescent="0.2">
      <c r="A500" s="63" t="s">
        <v>1761</v>
      </c>
      <c r="B500" s="64" t="s">
        <v>1760</v>
      </c>
      <c r="C500" s="8" t="s">
        <v>136</v>
      </c>
      <c r="D500" s="8" t="s">
        <v>160</v>
      </c>
      <c r="E500" s="4">
        <v>39.01</v>
      </c>
    </row>
    <row r="501" spans="1:5" ht="38.25" x14ac:dyDescent="0.2">
      <c r="A501" s="63" t="s">
        <v>1759</v>
      </c>
      <c r="B501" s="64" t="s">
        <v>1758</v>
      </c>
      <c r="C501" s="8" t="s">
        <v>143</v>
      </c>
      <c r="D501" s="8" t="s">
        <v>160</v>
      </c>
      <c r="E501" s="4">
        <v>8.91</v>
      </c>
    </row>
    <row r="502" spans="1:5" ht="38.25" x14ac:dyDescent="0.2">
      <c r="A502" s="63" t="s">
        <v>1757</v>
      </c>
      <c r="B502" s="64" t="s">
        <v>1756</v>
      </c>
      <c r="C502" s="8" t="s">
        <v>136</v>
      </c>
      <c r="D502" s="8" t="s">
        <v>160</v>
      </c>
      <c r="E502" s="4">
        <v>42.02</v>
      </c>
    </row>
    <row r="503" spans="1:5" ht="38.25" x14ac:dyDescent="0.2">
      <c r="A503" s="63" t="s">
        <v>1755</v>
      </c>
      <c r="B503" s="64" t="s">
        <v>1754</v>
      </c>
      <c r="C503" s="8" t="s">
        <v>136</v>
      </c>
      <c r="D503" s="8" t="s">
        <v>160</v>
      </c>
      <c r="E503" s="4">
        <v>45.02</v>
      </c>
    </row>
    <row r="504" spans="1:5" x14ac:dyDescent="0.2">
      <c r="A504" s="63" t="s">
        <v>1753</v>
      </c>
      <c r="B504" s="64" t="s">
        <v>1752</v>
      </c>
      <c r="C504" s="8" t="s">
        <v>136</v>
      </c>
      <c r="D504" s="8" t="s">
        <v>173</v>
      </c>
      <c r="E504" s="4">
        <v>3.97</v>
      </c>
    </row>
    <row r="505" spans="1:5" ht="25.5" x14ac:dyDescent="0.2">
      <c r="A505" s="63" t="s">
        <v>1751</v>
      </c>
      <c r="B505" s="64" t="s">
        <v>1750</v>
      </c>
      <c r="C505" s="8" t="s">
        <v>136</v>
      </c>
      <c r="D505" s="8" t="s">
        <v>173</v>
      </c>
      <c r="E505" s="4">
        <v>3.9</v>
      </c>
    </row>
    <row r="506" spans="1:5" ht="25.5" x14ac:dyDescent="0.2">
      <c r="A506" s="63" t="s">
        <v>1749</v>
      </c>
      <c r="B506" s="64" t="s">
        <v>1748</v>
      </c>
      <c r="C506" s="8" t="s">
        <v>136</v>
      </c>
      <c r="D506" s="8" t="s">
        <v>160</v>
      </c>
      <c r="E506" s="4">
        <v>96.05</v>
      </c>
    </row>
    <row r="507" spans="1:5" ht="39.75" customHeight="1" x14ac:dyDescent="0.2">
      <c r="A507" s="63" t="s">
        <v>1747</v>
      </c>
      <c r="B507" s="64" t="s">
        <v>1746</v>
      </c>
      <c r="C507" s="8" t="s">
        <v>136</v>
      </c>
      <c r="D507" s="8" t="s">
        <v>160</v>
      </c>
      <c r="E507" s="4">
        <v>88</v>
      </c>
    </row>
    <row r="508" spans="1:5" ht="25.5" x14ac:dyDescent="0.2">
      <c r="A508" s="63" t="s">
        <v>1745</v>
      </c>
      <c r="B508" s="64" t="s">
        <v>1744</v>
      </c>
      <c r="C508" s="8" t="s">
        <v>4</v>
      </c>
      <c r="D508" s="8" t="s">
        <v>160</v>
      </c>
      <c r="E508" s="4">
        <v>19.25</v>
      </c>
    </row>
    <row r="509" spans="1:5" ht="38.25" x14ac:dyDescent="0.2">
      <c r="A509" s="7" t="s">
        <v>1743</v>
      </c>
      <c r="B509" s="6" t="s">
        <v>1742</v>
      </c>
      <c r="C509" s="5"/>
      <c r="D509" s="5"/>
      <c r="E509" s="4">
        <v>0</v>
      </c>
    </row>
    <row r="510" spans="1:5" x14ac:dyDescent="0.2">
      <c r="A510" s="7" t="s">
        <v>1741</v>
      </c>
      <c r="B510" s="6" t="s">
        <v>1740</v>
      </c>
      <c r="C510" s="5"/>
      <c r="D510" s="5"/>
      <c r="E510" s="4">
        <v>0</v>
      </c>
    </row>
    <row r="511" spans="1:5" ht="38.25" x14ac:dyDescent="0.2">
      <c r="A511" s="63" t="s">
        <v>1739</v>
      </c>
      <c r="B511" s="64" t="s">
        <v>1588</v>
      </c>
      <c r="C511" s="8" t="s">
        <v>136</v>
      </c>
      <c r="D511" s="8" t="s">
        <v>160</v>
      </c>
      <c r="E511" s="4">
        <v>13.92</v>
      </c>
    </row>
    <row r="512" spans="1:5" ht="38.25" x14ac:dyDescent="0.2">
      <c r="A512" s="63" t="s">
        <v>1738</v>
      </c>
      <c r="B512" s="64" t="s">
        <v>1737</v>
      </c>
      <c r="C512" s="8" t="s">
        <v>136</v>
      </c>
      <c r="D512" s="8" t="s">
        <v>160</v>
      </c>
      <c r="E512" s="4">
        <v>16.8</v>
      </c>
    </row>
    <row r="513" spans="1:5" ht="38.25" x14ac:dyDescent="0.2">
      <c r="A513" s="63" t="s">
        <v>1736</v>
      </c>
      <c r="B513" s="64" t="s">
        <v>1735</v>
      </c>
      <c r="C513" s="8" t="s">
        <v>136</v>
      </c>
      <c r="D513" s="8" t="s">
        <v>160</v>
      </c>
      <c r="E513" s="4">
        <v>17.41</v>
      </c>
    </row>
    <row r="514" spans="1:5" x14ac:dyDescent="0.2">
      <c r="A514" s="63" t="s">
        <v>1734</v>
      </c>
      <c r="B514" s="64" t="s">
        <v>1733</v>
      </c>
      <c r="C514" s="8" t="s">
        <v>136</v>
      </c>
      <c r="D514" s="8" t="s">
        <v>160</v>
      </c>
      <c r="E514" s="4">
        <v>18.510000000000002</v>
      </c>
    </row>
    <row r="515" spans="1:5" ht="25.5" x14ac:dyDescent="0.2">
      <c r="A515" s="63" t="s">
        <v>1732</v>
      </c>
      <c r="B515" s="64" t="s">
        <v>1731</v>
      </c>
      <c r="C515" s="8" t="s">
        <v>136</v>
      </c>
      <c r="D515" s="8" t="s">
        <v>160</v>
      </c>
      <c r="E515" s="4">
        <v>27.5</v>
      </c>
    </row>
    <row r="516" spans="1:5" ht="25.5" x14ac:dyDescent="0.2">
      <c r="A516" s="63" t="s">
        <v>1730</v>
      </c>
      <c r="B516" s="64" t="s">
        <v>1729</v>
      </c>
      <c r="C516" s="8" t="s">
        <v>136</v>
      </c>
      <c r="D516" s="8" t="s">
        <v>160</v>
      </c>
      <c r="E516" s="4">
        <v>22</v>
      </c>
    </row>
    <row r="517" spans="1:5" x14ac:dyDescent="0.2">
      <c r="A517" s="63" t="s">
        <v>1728</v>
      </c>
      <c r="B517" s="64" t="s">
        <v>1727</v>
      </c>
      <c r="C517" s="8" t="s">
        <v>136</v>
      </c>
      <c r="D517" s="8" t="s">
        <v>160</v>
      </c>
      <c r="E517" s="4">
        <v>23.1</v>
      </c>
    </row>
    <row r="518" spans="1:5" x14ac:dyDescent="0.2">
      <c r="A518" s="63" t="s">
        <v>1726</v>
      </c>
      <c r="B518" s="64" t="s">
        <v>1725</v>
      </c>
      <c r="C518" s="8" t="s">
        <v>136</v>
      </c>
      <c r="D518" s="8" t="s">
        <v>160</v>
      </c>
      <c r="E518" s="4">
        <v>24.2</v>
      </c>
    </row>
    <row r="519" spans="1:5" ht="51" x14ac:dyDescent="0.2">
      <c r="A519" s="63" t="s">
        <v>1724</v>
      </c>
      <c r="B519" s="64" t="s">
        <v>1723</v>
      </c>
      <c r="C519" s="8" t="s">
        <v>136</v>
      </c>
      <c r="D519" s="8" t="s">
        <v>160</v>
      </c>
      <c r="E519" s="4">
        <v>27.5</v>
      </c>
    </row>
    <row r="520" spans="1:5" ht="51" x14ac:dyDescent="0.2">
      <c r="A520" s="63" t="s">
        <v>1722</v>
      </c>
      <c r="B520" s="64" t="s">
        <v>1721</v>
      </c>
      <c r="C520" s="8" t="s">
        <v>136</v>
      </c>
      <c r="D520" s="8" t="s">
        <v>160</v>
      </c>
      <c r="E520" s="4">
        <v>27.5</v>
      </c>
    </row>
    <row r="521" spans="1:5" x14ac:dyDescent="0.2">
      <c r="A521" s="63" t="s">
        <v>1720</v>
      </c>
      <c r="B521" s="64" t="s">
        <v>1719</v>
      </c>
      <c r="C521" s="8" t="s">
        <v>136</v>
      </c>
      <c r="D521" s="8" t="s">
        <v>160</v>
      </c>
      <c r="E521" s="4">
        <v>16.7</v>
      </c>
    </row>
    <row r="522" spans="1:5" ht="38.25" x14ac:dyDescent="0.2">
      <c r="A522" s="63" t="s">
        <v>1718</v>
      </c>
      <c r="B522" s="64" t="s">
        <v>1717</v>
      </c>
      <c r="C522" s="8" t="s">
        <v>136</v>
      </c>
      <c r="D522" s="8" t="s">
        <v>160</v>
      </c>
      <c r="E522" s="4">
        <v>21.01</v>
      </c>
    </row>
    <row r="523" spans="1:5" ht="25.5" x14ac:dyDescent="0.2">
      <c r="A523" s="63" t="s">
        <v>1716</v>
      </c>
      <c r="B523" s="64" t="s">
        <v>1711</v>
      </c>
      <c r="C523" s="8" t="s">
        <v>136</v>
      </c>
      <c r="D523" s="8" t="s">
        <v>160</v>
      </c>
      <c r="E523" s="4">
        <v>21.01</v>
      </c>
    </row>
    <row r="524" spans="1:5" ht="25.5" x14ac:dyDescent="0.2">
      <c r="A524" s="63" t="s">
        <v>1715</v>
      </c>
      <c r="B524" s="64" t="s">
        <v>1709</v>
      </c>
      <c r="C524" s="8" t="s">
        <v>136</v>
      </c>
      <c r="D524" s="8" t="s">
        <v>160</v>
      </c>
      <c r="E524" s="4">
        <v>21.01</v>
      </c>
    </row>
    <row r="525" spans="1:5" ht="38.25" x14ac:dyDescent="0.2">
      <c r="A525" s="63" t="s">
        <v>1714</v>
      </c>
      <c r="B525" s="64" t="s">
        <v>1713</v>
      </c>
      <c r="C525" s="8" t="s">
        <v>136</v>
      </c>
      <c r="D525" s="8" t="s">
        <v>160</v>
      </c>
      <c r="E525" s="4">
        <v>21.01</v>
      </c>
    </row>
    <row r="526" spans="1:5" ht="25.5" x14ac:dyDescent="0.2">
      <c r="A526" s="63" t="s">
        <v>1712</v>
      </c>
      <c r="B526" s="64" t="s">
        <v>1711</v>
      </c>
      <c r="C526" s="8" t="s">
        <v>136</v>
      </c>
      <c r="D526" s="8" t="s">
        <v>160</v>
      </c>
      <c r="E526" s="4">
        <v>21.01</v>
      </c>
    </row>
    <row r="527" spans="1:5" ht="25.5" x14ac:dyDescent="0.2">
      <c r="A527" s="63" t="s">
        <v>1710</v>
      </c>
      <c r="B527" s="64" t="s">
        <v>1709</v>
      </c>
      <c r="C527" s="8" t="s">
        <v>136</v>
      </c>
      <c r="D527" s="8" t="s">
        <v>160</v>
      </c>
      <c r="E527" s="4">
        <v>21.01</v>
      </c>
    </row>
    <row r="528" spans="1:5" ht="51" x14ac:dyDescent="0.2">
      <c r="A528" s="63" t="s">
        <v>1708</v>
      </c>
      <c r="B528" s="64" t="s">
        <v>1707</v>
      </c>
      <c r="C528" s="8" t="s">
        <v>136</v>
      </c>
      <c r="D528" s="8" t="s">
        <v>160</v>
      </c>
      <c r="E528" s="4">
        <v>38.5</v>
      </c>
    </row>
    <row r="529" spans="1:5" x14ac:dyDescent="0.2">
      <c r="A529" s="63" t="s">
        <v>1706</v>
      </c>
      <c r="B529" s="64" t="s">
        <v>1705</v>
      </c>
      <c r="C529" s="8" t="s">
        <v>136</v>
      </c>
      <c r="D529" s="8" t="s">
        <v>160</v>
      </c>
      <c r="E529" s="4">
        <v>38.5</v>
      </c>
    </row>
    <row r="530" spans="1:5" x14ac:dyDescent="0.2">
      <c r="A530" s="63" t="s">
        <v>1704</v>
      </c>
      <c r="B530" s="64" t="s">
        <v>1703</v>
      </c>
      <c r="C530" s="8" t="s">
        <v>136</v>
      </c>
      <c r="D530" s="8" t="s">
        <v>160</v>
      </c>
      <c r="E530" s="4">
        <v>38.5</v>
      </c>
    </row>
    <row r="531" spans="1:5" x14ac:dyDescent="0.2">
      <c r="A531" s="63" t="s">
        <v>1702</v>
      </c>
      <c r="B531" s="64" t="s">
        <v>1701</v>
      </c>
      <c r="C531" s="8" t="s">
        <v>136</v>
      </c>
      <c r="D531" s="8" t="s">
        <v>160</v>
      </c>
      <c r="E531" s="4">
        <v>38.5</v>
      </c>
    </row>
    <row r="532" spans="1:5" x14ac:dyDescent="0.2">
      <c r="A532" s="63" t="s">
        <v>1700</v>
      </c>
      <c r="B532" s="64" t="s">
        <v>1699</v>
      </c>
      <c r="C532" s="8" t="s">
        <v>136</v>
      </c>
      <c r="D532" s="8" t="s">
        <v>160</v>
      </c>
      <c r="E532" s="4">
        <v>38.5</v>
      </c>
    </row>
    <row r="533" spans="1:5" x14ac:dyDescent="0.2">
      <c r="A533" s="63" t="s">
        <v>1698</v>
      </c>
      <c r="B533" s="64" t="s">
        <v>1697</v>
      </c>
      <c r="C533" s="8" t="s">
        <v>136</v>
      </c>
      <c r="D533" s="8" t="s">
        <v>160</v>
      </c>
      <c r="E533" s="4">
        <v>38.5</v>
      </c>
    </row>
    <row r="534" spans="1:5" x14ac:dyDescent="0.2">
      <c r="A534" s="63" t="s">
        <v>1696</v>
      </c>
      <c r="B534" s="64" t="s">
        <v>1695</v>
      </c>
      <c r="C534" s="8" t="s">
        <v>136</v>
      </c>
      <c r="D534" s="8" t="s">
        <v>160</v>
      </c>
      <c r="E534" s="4">
        <v>38.5</v>
      </c>
    </row>
    <row r="535" spans="1:5" ht="38.25" x14ac:dyDescent="0.2">
      <c r="A535" s="63" t="s">
        <v>1694</v>
      </c>
      <c r="B535" s="64" t="s">
        <v>1693</v>
      </c>
      <c r="C535" s="8" t="s">
        <v>136</v>
      </c>
      <c r="D535" s="8" t="s">
        <v>160</v>
      </c>
      <c r="E535" s="4">
        <v>11</v>
      </c>
    </row>
    <row r="536" spans="1:5" ht="25.5" x14ac:dyDescent="0.2">
      <c r="A536" s="63" t="s">
        <v>1692</v>
      </c>
      <c r="B536" s="64" t="s">
        <v>1691</v>
      </c>
      <c r="C536" s="8" t="s">
        <v>4</v>
      </c>
      <c r="D536" s="8" t="s">
        <v>160</v>
      </c>
      <c r="E536" s="4">
        <v>162.08000000000001</v>
      </c>
    </row>
    <row r="537" spans="1:5" ht="25.5" x14ac:dyDescent="0.2">
      <c r="A537" s="63" t="s">
        <v>1690</v>
      </c>
      <c r="B537" s="64" t="s">
        <v>1689</v>
      </c>
      <c r="C537" s="8" t="s">
        <v>136</v>
      </c>
      <c r="D537" s="8" t="s">
        <v>160</v>
      </c>
      <c r="E537" s="4">
        <v>600.33000000000004</v>
      </c>
    </row>
    <row r="538" spans="1:5" ht="25.5" x14ac:dyDescent="0.2">
      <c r="A538" s="63" t="s">
        <v>1688</v>
      </c>
      <c r="B538" s="64" t="s">
        <v>1687</v>
      </c>
      <c r="C538" s="8" t="s">
        <v>136</v>
      </c>
      <c r="D538" s="8" t="s">
        <v>160</v>
      </c>
      <c r="E538" s="4">
        <v>600.33000000000004</v>
      </c>
    </row>
    <row r="539" spans="1:5" ht="38.25" x14ac:dyDescent="0.2">
      <c r="A539" s="63" t="s">
        <v>1686</v>
      </c>
      <c r="B539" s="64" t="s">
        <v>1685</v>
      </c>
      <c r="C539" s="8" t="s">
        <v>136</v>
      </c>
      <c r="D539" s="8" t="s">
        <v>160</v>
      </c>
      <c r="E539" s="4">
        <v>66.03</v>
      </c>
    </row>
    <row r="540" spans="1:5" ht="25.5" x14ac:dyDescent="0.2">
      <c r="A540" s="63" t="s">
        <v>1684</v>
      </c>
      <c r="B540" s="64" t="s">
        <v>1683</v>
      </c>
      <c r="C540" s="8" t="s">
        <v>136</v>
      </c>
      <c r="D540" s="8" t="s">
        <v>160</v>
      </c>
      <c r="E540" s="4">
        <v>54.03</v>
      </c>
    </row>
    <row r="541" spans="1:5" ht="25.5" x14ac:dyDescent="0.2">
      <c r="A541" s="63" t="s">
        <v>1682</v>
      </c>
      <c r="B541" s="64" t="s">
        <v>1681</v>
      </c>
      <c r="C541" s="8" t="s">
        <v>136</v>
      </c>
      <c r="D541" s="8" t="s">
        <v>160</v>
      </c>
      <c r="E541" s="4">
        <v>48.02</v>
      </c>
    </row>
    <row r="542" spans="1:5" ht="25.5" x14ac:dyDescent="0.2">
      <c r="A542" s="63" t="s">
        <v>1680</v>
      </c>
      <c r="B542" s="64" t="s">
        <v>1679</v>
      </c>
      <c r="C542" s="8" t="s">
        <v>136</v>
      </c>
      <c r="D542" s="8" t="s">
        <v>160</v>
      </c>
      <c r="E542" s="4">
        <v>45.62</v>
      </c>
    </row>
    <row r="543" spans="1:5" ht="25.5" x14ac:dyDescent="0.2">
      <c r="A543" s="63" t="s">
        <v>1678</v>
      </c>
      <c r="B543" s="64" t="s">
        <v>1677</v>
      </c>
      <c r="C543" s="8" t="s">
        <v>136</v>
      </c>
      <c r="D543" s="8" t="s">
        <v>160</v>
      </c>
      <c r="E543" s="4">
        <v>43.21</v>
      </c>
    </row>
    <row r="544" spans="1:5" x14ac:dyDescent="0.2">
      <c r="A544" s="63" t="s">
        <v>1676</v>
      </c>
      <c r="B544" s="64" t="s">
        <v>1675</v>
      </c>
      <c r="C544" s="8" t="s">
        <v>136</v>
      </c>
      <c r="D544" s="8" t="s">
        <v>160</v>
      </c>
      <c r="E544" s="4">
        <v>42.02</v>
      </c>
    </row>
    <row r="545" spans="1:5" ht="38.25" x14ac:dyDescent="0.2">
      <c r="A545" s="63" t="s">
        <v>1674</v>
      </c>
      <c r="B545" s="64" t="s">
        <v>1673</v>
      </c>
      <c r="C545" s="8" t="s">
        <v>136</v>
      </c>
      <c r="D545" s="8" t="s">
        <v>160</v>
      </c>
      <c r="E545" s="4">
        <v>49.2</v>
      </c>
    </row>
    <row r="546" spans="1:5" ht="38.25" x14ac:dyDescent="0.2">
      <c r="A546" s="63" t="s">
        <v>1672</v>
      </c>
      <c r="B546" s="64" t="s">
        <v>1671</v>
      </c>
      <c r="C546" s="8" t="s">
        <v>136</v>
      </c>
      <c r="D546" s="8" t="s">
        <v>160</v>
      </c>
      <c r="E546" s="4">
        <v>39.33</v>
      </c>
    </row>
    <row r="547" spans="1:5" x14ac:dyDescent="0.2">
      <c r="A547" s="63" t="s">
        <v>1670</v>
      </c>
      <c r="B547" s="64" t="s">
        <v>1669</v>
      </c>
      <c r="C547" s="8" t="s">
        <v>136</v>
      </c>
      <c r="D547" s="8" t="s">
        <v>160</v>
      </c>
      <c r="E547" s="4">
        <v>30.38</v>
      </c>
    </row>
    <row r="548" spans="1:5" ht="25.5" x14ac:dyDescent="0.2">
      <c r="A548" s="63" t="s">
        <v>1668</v>
      </c>
      <c r="B548" s="64" t="s">
        <v>1667</v>
      </c>
      <c r="C548" s="8" t="s">
        <v>136</v>
      </c>
      <c r="D548" s="8" t="s">
        <v>160</v>
      </c>
      <c r="E548" s="4">
        <v>24.01</v>
      </c>
    </row>
    <row r="549" spans="1:5" ht="25.5" x14ac:dyDescent="0.2">
      <c r="A549" s="63" t="s">
        <v>1666</v>
      </c>
      <c r="B549" s="64" t="s">
        <v>1665</v>
      </c>
      <c r="C549" s="8" t="s">
        <v>136</v>
      </c>
      <c r="D549" s="8" t="s">
        <v>160</v>
      </c>
      <c r="E549" s="4">
        <v>42.02</v>
      </c>
    </row>
    <row r="550" spans="1:5" ht="25.5" x14ac:dyDescent="0.2">
      <c r="A550" s="63" t="s">
        <v>1664</v>
      </c>
      <c r="B550" s="64" t="s">
        <v>1663</v>
      </c>
      <c r="C550" s="8" t="s">
        <v>136</v>
      </c>
      <c r="D550" s="8" t="s">
        <v>160</v>
      </c>
      <c r="E550" s="4">
        <v>108.68</v>
      </c>
    </row>
    <row r="551" spans="1:5" x14ac:dyDescent="0.2">
      <c r="A551" s="63" t="s">
        <v>1662</v>
      </c>
      <c r="B551" s="64" t="s">
        <v>1661</v>
      </c>
      <c r="C551" s="8" t="s">
        <v>136</v>
      </c>
      <c r="D551" s="8" t="s">
        <v>160</v>
      </c>
      <c r="E551" s="4">
        <v>96.96</v>
      </c>
    </row>
    <row r="552" spans="1:5" ht="25.5" x14ac:dyDescent="0.2">
      <c r="A552" s="63" t="s">
        <v>1660</v>
      </c>
      <c r="B552" s="64" t="s">
        <v>1659</v>
      </c>
      <c r="C552" s="8" t="s">
        <v>136</v>
      </c>
      <c r="D552" s="8" t="s">
        <v>160</v>
      </c>
      <c r="E552" s="4">
        <v>147.69999999999999</v>
      </c>
    </row>
    <row r="553" spans="1:5" ht="25.5" x14ac:dyDescent="0.2">
      <c r="A553" s="63" t="s">
        <v>1658</v>
      </c>
      <c r="B553" s="64" t="s">
        <v>1657</v>
      </c>
      <c r="C553" s="8" t="s">
        <v>136</v>
      </c>
      <c r="D553" s="8" t="s">
        <v>160</v>
      </c>
      <c r="E553" s="4">
        <v>52.11</v>
      </c>
    </row>
    <row r="554" spans="1:5" ht="25.5" x14ac:dyDescent="0.2">
      <c r="A554" s="63" t="s">
        <v>1656</v>
      </c>
      <c r="B554" s="64" t="s">
        <v>1655</v>
      </c>
      <c r="C554" s="8" t="s">
        <v>136</v>
      </c>
      <c r="D554" s="8" t="s">
        <v>160</v>
      </c>
      <c r="E554" s="4">
        <v>82.86</v>
      </c>
    </row>
    <row r="555" spans="1:5" ht="25.5" x14ac:dyDescent="0.2">
      <c r="A555" s="63" t="s">
        <v>1654</v>
      </c>
      <c r="B555" s="64" t="s">
        <v>1653</v>
      </c>
      <c r="C555" s="8" t="s">
        <v>136</v>
      </c>
      <c r="D555" s="8" t="s">
        <v>160</v>
      </c>
      <c r="E555" s="4">
        <v>30.07</v>
      </c>
    </row>
    <row r="556" spans="1:5" ht="25.5" x14ac:dyDescent="0.2">
      <c r="A556" s="63" t="s">
        <v>1652</v>
      </c>
      <c r="B556" s="64" t="s">
        <v>1651</v>
      </c>
      <c r="C556" s="8" t="s">
        <v>136</v>
      </c>
      <c r="D556" s="8" t="s">
        <v>160</v>
      </c>
      <c r="E556" s="4">
        <v>30.07</v>
      </c>
    </row>
    <row r="557" spans="1:5" ht="25.5" x14ac:dyDescent="0.2">
      <c r="A557" s="63" t="s">
        <v>1650</v>
      </c>
      <c r="B557" s="64" t="s">
        <v>1649</v>
      </c>
      <c r="C557" s="8" t="s">
        <v>136</v>
      </c>
      <c r="D557" s="8" t="s">
        <v>160</v>
      </c>
      <c r="E557" s="4">
        <v>33.409999999999997</v>
      </c>
    </row>
    <row r="558" spans="1:5" ht="38.25" x14ac:dyDescent="0.2">
      <c r="A558" s="63" t="s">
        <v>1648</v>
      </c>
      <c r="B558" s="64" t="s">
        <v>1647</v>
      </c>
      <c r="C558" s="8" t="s">
        <v>136</v>
      </c>
      <c r="D558" s="8" t="s">
        <v>160</v>
      </c>
      <c r="E558" s="4">
        <v>110</v>
      </c>
    </row>
    <row r="559" spans="1:5" ht="38.25" x14ac:dyDescent="0.2">
      <c r="A559" s="63" t="s">
        <v>1646</v>
      </c>
      <c r="B559" s="64" t="s">
        <v>1645</v>
      </c>
      <c r="C559" s="8" t="s">
        <v>136</v>
      </c>
      <c r="D559" s="8" t="s">
        <v>160</v>
      </c>
      <c r="E559" s="4">
        <v>8.8000000000000007</v>
      </c>
    </row>
    <row r="560" spans="1:5" x14ac:dyDescent="0.2">
      <c r="A560" s="63" t="s">
        <v>1644</v>
      </c>
      <c r="B560" s="64" t="s">
        <v>1620</v>
      </c>
      <c r="C560" s="8" t="s">
        <v>136</v>
      </c>
      <c r="D560" s="8" t="s">
        <v>160</v>
      </c>
      <c r="E560" s="4">
        <v>9.9</v>
      </c>
    </row>
    <row r="561" spans="1:5" x14ac:dyDescent="0.2">
      <c r="A561" s="63" t="s">
        <v>1643</v>
      </c>
      <c r="B561" s="64" t="s">
        <v>1636</v>
      </c>
      <c r="C561" s="8" t="s">
        <v>136</v>
      </c>
      <c r="D561" s="8" t="s">
        <v>160</v>
      </c>
      <c r="E561" s="4">
        <v>13.2</v>
      </c>
    </row>
    <row r="562" spans="1:5" x14ac:dyDescent="0.2">
      <c r="A562" s="63" t="s">
        <v>1642</v>
      </c>
      <c r="B562" s="64" t="s">
        <v>1634</v>
      </c>
      <c r="C562" s="8" t="s">
        <v>136</v>
      </c>
      <c r="D562" s="8" t="s">
        <v>160</v>
      </c>
      <c r="E562" s="4">
        <v>14.3</v>
      </c>
    </row>
    <row r="563" spans="1:5" x14ac:dyDescent="0.2">
      <c r="A563" s="63" t="s">
        <v>1641</v>
      </c>
      <c r="B563" s="64" t="s">
        <v>1632</v>
      </c>
      <c r="C563" s="8" t="s">
        <v>136</v>
      </c>
      <c r="D563" s="8" t="s">
        <v>160</v>
      </c>
      <c r="E563" s="4">
        <v>16.5</v>
      </c>
    </row>
    <row r="564" spans="1:5" ht="38.25" x14ac:dyDescent="0.2">
      <c r="A564" s="63" t="s">
        <v>1640</v>
      </c>
      <c r="B564" s="64" t="s">
        <v>1639</v>
      </c>
      <c r="C564" s="8" t="s">
        <v>136</v>
      </c>
      <c r="D564" s="8" t="s">
        <v>160</v>
      </c>
      <c r="E564" s="4">
        <v>8.8000000000000007</v>
      </c>
    </row>
    <row r="565" spans="1:5" x14ac:dyDescent="0.2">
      <c r="A565" s="63" t="s">
        <v>1638</v>
      </c>
      <c r="B565" s="64" t="s">
        <v>1620</v>
      </c>
      <c r="C565" s="8" t="s">
        <v>136</v>
      </c>
      <c r="D565" s="8" t="s">
        <v>160</v>
      </c>
      <c r="E565" s="4">
        <v>11</v>
      </c>
    </row>
    <row r="566" spans="1:5" x14ac:dyDescent="0.2">
      <c r="A566" s="63" t="s">
        <v>1637</v>
      </c>
      <c r="B566" s="64" t="s">
        <v>1636</v>
      </c>
      <c r="C566" s="8" t="s">
        <v>136</v>
      </c>
      <c r="D566" s="8" t="s">
        <v>160</v>
      </c>
      <c r="E566" s="4">
        <v>13.2</v>
      </c>
    </row>
    <row r="567" spans="1:5" x14ac:dyDescent="0.2">
      <c r="A567" s="63" t="s">
        <v>1635</v>
      </c>
      <c r="B567" s="64" t="s">
        <v>1634</v>
      </c>
      <c r="C567" s="8" t="s">
        <v>136</v>
      </c>
      <c r="D567" s="8" t="s">
        <v>160</v>
      </c>
      <c r="E567" s="4">
        <v>14.3</v>
      </c>
    </row>
    <row r="568" spans="1:5" x14ac:dyDescent="0.2">
      <c r="A568" s="63" t="s">
        <v>1633</v>
      </c>
      <c r="B568" s="64" t="s">
        <v>1632</v>
      </c>
      <c r="C568" s="8" t="s">
        <v>136</v>
      </c>
      <c r="D568" s="8" t="s">
        <v>160</v>
      </c>
      <c r="E568" s="4">
        <v>17.600000000000001</v>
      </c>
    </row>
    <row r="569" spans="1:5" ht="38.25" x14ac:dyDescent="0.2">
      <c r="A569" s="63" t="s">
        <v>1631</v>
      </c>
      <c r="B569" s="64" t="s">
        <v>1630</v>
      </c>
      <c r="C569" s="8" t="s">
        <v>136</v>
      </c>
      <c r="D569" s="8" t="s">
        <v>160</v>
      </c>
      <c r="E569" s="4">
        <v>17.600000000000001</v>
      </c>
    </row>
    <row r="570" spans="1:5" x14ac:dyDescent="0.2">
      <c r="A570" s="63" t="s">
        <v>1629</v>
      </c>
      <c r="B570" s="64" t="s">
        <v>1628</v>
      </c>
      <c r="C570" s="8" t="s">
        <v>136</v>
      </c>
      <c r="D570" s="8" t="s">
        <v>160</v>
      </c>
      <c r="E570" s="4">
        <v>17.600000000000001</v>
      </c>
    </row>
    <row r="571" spans="1:5" x14ac:dyDescent="0.2">
      <c r="A571" s="63" t="s">
        <v>1627</v>
      </c>
      <c r="B571" s="64" t="s">
        <v>1626</v>
      </c>
      <c r="C571" s="8" t="s">
        <v>136</v>
      </c>
      <c r="D571" s="8" t="s">
        <v>160</v>
      </c>
      <c r="E571" s="4">
        <v>17.600000000000001</v>
      </c>
    </row>
    <row r="572" spans="1:5" x14ac:dyDescent="0.2">
      <c r="A572" s="63" t="s">
        <v>1625</v>
      </c>
      <c r="B572" s="64" t="s">
        <v>1624</v>
      </c>
      <c r="C572" s="8" t="s">
        <v>136</v>
      </c>
      <c r="D572" s="8" t="s">
        <v>160</v>
      </c>
      <c r="E572" s="4">
        <v>17.600000000000001</v>
      </c>
    </row>
    <row r="573" spans="1:5" x14ac:dyDescent="0.2">
      <c r="A573" s="63" t="s">
        <v>1623</v>
      </c>
      <c r="B573" s="64" t="s">
        <v>1622</v>
      </c>
      <c r="C573" s="8" t="s">
        <v>136</v>
      </c>
      <c r="D573" s="8" t="s">
        <v>160</v>
      </c>
      <c r="E573" s="4">
        <v>17.600000000000001</v>
      </c>
    </row>
    <row r="574" spans="1:5" x14ac:dyDescent="0.2">
      <c r="A574" s="63" t="s">
        <v>1621</v>
      </c>
      <c r="B574" s="64" t="s">
        <v>1620</v>
      </c>
      <c r="C574" s="8" t="s">
        <v>136</v>
      </c>
      <c r="D574" s="8" t="s">
        <v>160</v>
      </c>
      <c r="E574" s="4">
        <v>17.600000000000001</v>
      </c>
    </row>
    <row r="575" spans="1:5" ht="63.75" x14ac:dyDescent="0.2">
      <c r="A575" s="63" t="s">
        <v>1619</v>
      </c>
      <c r="B575" s="64" t="s">
        <v>1618</v>
      </c>
      <c r="C575" s="8" t="s">
        <v>136</v>
      </c>
      <c r="D575" s="8" t="s">
        <v>160</v>
      </c>
      <c r="E575" s="4">
        <v>27.5</v>
      </c>
    </row>
    <row r="576" spans="1:5" x14ac:dyDescent="0.2">
      <c r="A576" s="63" t="s">
        <v>1617</v>
      </c>
      <c r="B576" s="64" t="s">
        <v>1604</v>
      </c>
      <c r="C576" s="8" t="s">
        <v>136</v>
      </c>
      <c r="D576" s="8" t="s">
        <v>160</v>
      </c>
      <c r="E576" s="4">
        <v>29.7</v>
      </c>
    </row>
    <row r="577" spans="1:5" x14ac:dyDescent="0.2">
      <c r="A577" s="63" t="s">
        <v>1616</v>
      </c>
      <c r="B577" s="64" t="s">
        <v>1602</v>
      </c>
      <c r="C577" s="8" t="s">
        <v>136</v>
      </c>
      <c r="D577" s="8" t="s">
        <v>160</v>
      </c>
      <c r="E577" s="4">
        <v>31.9</v>
      </c>
    </row>
    <row r="578" spans="1:5" x14ac:dyDescent="0.2">
      <c r="A578" s="63" t="s">
        <v>1615</v>
      </c>
      <c r="B578" s="64" t="s">
        <v>1600</v>
      </c>
      <c r="C578" s="8" t="s">
        <v>136</v>
      </c>
      <c r="D578" s="8" t="s">
        <v>160</v>
      </c>
      <c r="E578" s="4">
        <v>34.1</v>
      </c>
    </row>
    <row r="579" spans="1:5" x14ac:dyDescent="0.2">
      <c r="A579" s="63" t="s">
        <v>1614</v>
      </c>
      <c r="B579" s="64" t="s">
        <v>1598</v>
      </c>
      <c r="C579" s="8" t="s">
        <v>136</v>
      </c>
      <c r="D579" s="8" t="s">
        <v>160</v>
      </c>
      <c r="E579" s="4">
        <v>38.5</v>
      </c>
    </row>
    <row r="580" spans="1:5" ht="63.75" x14ac:dyDescent="0.2">
      <c r="A580" s="63" t="s">
        <v>1613</v>
      </c>
      <c r="B580" s="64" t="s">
        <v>1612</v>
      </c>
      <c r="C580" s="8" t="s">
        <v>136</v>
      </c>
      <c r="D580" s="8" t="s">
        <v>160</v>
      </c>
      <c r="E580" s="4">
        <v>27.5</v>
      </c>
    </row>
    <row r="581" spans="1:5" x14ac:dyDescent="0.2">
      <c r="A581" s="63" t="s">
        <v>1611</v>
      </c>
      <c r="B581" s="64" t="s">
        <v>1604</v>
      </c>
      <c r="C581" s="8" t="s">
        <v>136</v>
      </c>
      <c r="D581" s="8" t="s">
        <v>160</v>
      </c>
      <c r="E581" s="4">
        <v>29.7</v>
      </c>
    </row>
    <row r="582" spans="1:5" x14ac:dyDescent="0.2">
      <c r="A582" s="63" t="s">
        <v>1610</v>
      </c>
      <c r="B582" s="64" t="s">
        <v>1602</v>
      </c>
      <c r="C582" s="8" t="s">
        <v>136</v>
      </c>
      <c r="D582" s="8" t="s">
        <v>160</v>
      </c>
      <c r="E582" s="4">
        <v>31.9</v>
      </c>
    </row>
    <row r="583" spans="1:5" x14ac:dyDescent="0.2">
      <c r="A583" s="63" t="s">
        <v>1609</v>
      </c>
      <c r="B583" s="64" t="s">
        <v>1600</v>
      </c>
      <c r="C583" s="8" t="s">
        <v>136</v>
      </c>
      <c r="D583" s="8" t="s">
        <v>160</v>
      </c>
      <c r="E583" s="4">
        <v>34.1</v>
      </c>
    </row>
    <row r="584" spans="1:5" x14ac:dyDescent="0.2">
      <c r="A584" s="63" t="s">
        <v>1608</v>
      </c>
      <c r="B584" s="64" t="s">
        <v>1598</v>
      </c>
      <c r="C584" s="8" t="s">
        <v>136</v>
      </c>
      <c r="D584" s="8" t="s">
        <v>160</v>
      </c>
      <c r="E584" s="4">
        <v>38.5</v>
      </c>
    </row>
    <row r="585" spans="1:5" ht="63.75" x14ac:dyDescent="0.2">
      <c r="A585" s="63" t="s">
        <v>1607</v>
      </c>
      <c r="B585" s="64" t="s">
        <v>1606</v>
      </c>
      <c r="C585" s="8" t="s">
        <v>136</v>
      </c>
      <c r="D585" s="8" t="s">
        <v>160</v>
      </c>
      <c r="E585" s="4">
        <v>27.5</v>
      </c>
    </row>
    <row r="586" spans="1:5" x14ac:dyDescent="0.2">
      <c r="A586" s="63" t="s">
        <v>1605</v>
      </c>
      <c r="B586" s="64" t="s">
        <v>1604</v>
      </c>
      <c r="C586" s="8" t="s">
        <v>136</v>
      </c>
      <c r="D586" s="8" t="s">
        <v>160</v>
      </c>
      <c r="E586" s="4">
        <v>29.7</v>
      </c>
    </row>
    <row r="587" spans="1:5" x14ac:dyDescent="0.2">
      <c r="A587" s="63" t="s">
        <v>1603</v>
      </c>
      <c r="B587" s="64" t="s">
        <v>1602</v>
      </c>
      <c r="C587" s="8" t="s">
        <v>136</v>
      </c>
      <c r="D587" s="8" t="s">
        <v>160</v>
      </c>
      <c r="E587" s="4">
        <v>31.9</v>
      </c>
    </row>
    <row r="588" spans="1:5" x14ac:dyDescent="0.2">
      <c r="A588" s="63" t="s">
        <v>1601</v>
      </c>
      <c r="B588" s="64" t="s">
        <v>1600</v>
      </c>
      <c r="C588" s="8" t="s">
        <v>136</v>
      </c>
      <c r="D588" s="8" t="s">
        <v>160</v>
      </c>
      <c r="E588" s="4">
        <v>34.1</v>
      </c>
    </row>
    <row r="589" spans="1:5" x14ac:dyDescent="0.2">
      <c r="A589" s="63" t="s">
        <v>1599</v>
      </c>
      <c r="B589" s="64" t="s">
        <v>1598</v>
      </c>
      <c r="C589" s="8" t="s">
        <v>136</v>
      </c>
      <c r="D589" s="8" t="s">
        <v>160</v>
      </c>
      <c r="E589" s="4">
        <v>38.5</v>
      </c>
    </row>
    <row r="590" spans="1:5" ht="51" x14ac:dyDescent="0.2">
      <c r="A590" s="63" t="s">
        <v>1597</v>
      </c>
      <c r="B590" s="64" t="s">
        <v>1596</v>
      </c>
      <c r="C590" s="8" t="s">
        <v>136</v>
      </c>
      <c r="D590" s="8" t="s">
        <v>160</v>
      </c>
      <c r="E590" s="4">
        <v>33</v>
      </c>
    </row>
    <row r="591" spans="1:5" x14ac:dyDescent="0.2">
      <c r="A591" s="63" t="s">
        <v>1595</v>
      </c>
      <c r="B591" s="64" t="s">
        <v>1594</v>
      </c>
      <c r="C591" s="8" t="s">
        <v>136</v>
      </c>
      <c r="D591" s="8" t="s">
        <v>160</v>
      </c>
      <c r="E591" s="4">
        <v>35.200000000000003</v>
      </c>
    </row>
    <row r="592" spans="1:5" x14ac:dyDescent="0.2">
      <c r="A592" s="63" t="s">
        <v>1593</v>
      </c>
      <c r="B592" s="64" t="s">
        <v>1592</v>
      </c>
      <c r="C592" s="8" t="s">
        <v>136</v>
      </c>
      <c r="D592" s="8" t="s">
        <v>160</v>
      </c>
      <c r="E592" s="4">
        <v>37.4</v>
      </c>
    </row>
    <row r="593" spans="1:5" x14ac:dyDescent="0.2">
      <c r="A593" s="7" t="s">
        <v>1591</v>
      </c>
      <c r="B593" s="6" t="s">
        <v>1590</v>
      </c>
      <c r="C593" s="5"/>
      <c r="D593" s="5"/>
      <c r="E593" s="4">
        <v>0</v>
      </c>
    </row>
    <row r="594" spans="1:5" ht="38.25" x14ac:dyDescent="0.2">
      <c r="A594" s="63" t="s">
        <v>1589</v>
      </c>
      <c r="B594" s="64" t="s">
        <v>1588</v>
      </c>
      <c r="C594" s="8" t="s">
        <v>136</v>
      </c>
      <c r="D594" s="8" t="s">
        <v>160</v>
      </c>
      <c r="E594" s="4">
        <v>15.9</v>
      </c>
    </row>
    <row r="595" spans="1:5" x14ac:dyDescent="0.2">
      <c r="A595" s="63" t="s">
        <v>1587</v>
      </c>
      <c r="B595" s="64" t="s">
        <v>1573</v>
      </c>
      <c r="C595" s="8" t="s">
        <v>136</v>
      </c>
      <c r="D595" s="8" t="s">
        <v>160</v>
      </c>
      <c r="E595" s="4">
        <v>18</v>
      </c>
    </row>
    <row r="596" spans="1:5" ht="25.5" x14ac:dyDescent="0.2">
      <c r="A596" s="63" t="s">
        <v>1586</v>
      </c>
      <c r="B596" s="64" t="s">
        <v>1585</v>
      </c>
      <c r="C596" s="8" t="s">
        <v>136</v>
      </c>
      <c r="D596" s="8" t="s">
        <v>160</v>
      </c>
      <c r="E596" s="4">
        <v>42.02</v>
      </c>
    </row>
    <row r="597" spans="1:5" x14ac:dyDescent="0.2">
      <c r="A597" s="63" t="s">
        <v>1584</v>
      </c>
      <c r="B597" s="64" t="s">
        <v>1583</v>
      </c>
      <c r="C597" s="8" t="s">
        <v>136</v>
      </c>
      <c r="D597" s="8" t="s">
        <v>160</v>
      </c>
      <c r="E597" s="4">
        <v>55</v>
      </c>
    </row>
    <row r="598" spans="1:5" ht="25.5" x14ac:dyDescent="0.2">
      <c r="A598" s="63" t="s">
        <v>1582</v>
      </c>
      <c r="B598" s="64" t="s">
        <v>1581</v>
      </c>
      <c r="C598" s="8" t="s">
        <v>136</v>
      </c>
      <c r="D598" s="8" t="s">
        <v>160</v>
      </c>
      <c r="E598" s="4">
        <v>38.979999999999997</v>
      </c>
    </row>
    <row r="599" spans="1:5" ht="25.5" x14ac:dyDescent="0.2">
      <c r="A599" s="63" t="s">
        <v>1580</v>
      </c>
      <c r="B599" s="64" t="s">
        <v>1579</v>
      </c>
      <c r="C599" s="8" t="s">
        <v>136</v>
      </c>
      <c r="D599" s="8" t="s">
        <v>160</v>
      </c>
      <c r="E599" s="4">
        <v>48.02</v>
      </c>
    </row>
    <row r="600" spans="1:5" x14ac:dyDescent="0.2">
      <c r="A600" s="63" t="s">
        <v>1578</v>
      </c>
      <c r="B600" s="64" t="s">
        <v>1565</v>
      </c>
      <c r="C600" s="8" t="s">
        <v>136</v>
      </c>
      <c r="D600" s="8" t="s">
        <v>160</v>
      </c>
      <c r="E600" s="4">
        <v>48.02</v>
      </c>
    </row>
    <row r="601" spans="1:5" x14ac:dyDescent="0.2">
      <c r="A601" s="63" t="s">
        <v>1577</v>
      </c>
      <c r="B601" s="64" t="s">
        <v>1563</v>
      </c>
      <c r="C601" s="8" t="s">
        <v>136</v>
      </c>
      <c r="D601" s="8" t="s">
        <v>173</v>
      </c>
      <c r="E601" s="4">
        <v>48.02</v>
      </c>
    </row>
    <row r="602" spans="1:5" ht="25.5" x14ac:dyDescent="0.2">
      <c r="A602" s="63" t="s">
        <v>1576</v>
      </c>
      <c r="B602" s="64" t="s">
        <v>1575</v>
      </c>
      <c r="C602" s="8" t="s">
        <v>136</v>
      </c>
      <c r="D602" s="8" t="s">
        <v>173</v>
      </c>
      <c r="E602" s="4">
        <v>10.52</v>
      </c>
    </row>
    <row r="603" spans="1:5" x14ac:dyDescent="0.2">
      <c r="A603" s="63" t="s">
        <v>1574</v>
      </c>
      <c r="B603" s="64" t="s">
        <v>1573</v>
      </c>
      <c r="C603" s="8" t="s">
        <v>136</v>
      </c>
      <c r="D603" s="8" t="s">
        <v>173</v>
      </c>
      <c r="E603" s="4">
        <v>11.03</v>
      </c>
    </row>
    <row r="604" spans="1:5" ht="25.5" x14ac:dyDescent="0.2">
      <c r="A604" s="63" t="s">
        <v>1572</v>
      </c>
      <c r="B604" s="64" t="s">
        <v>1571</v>
      </c>
      <c r="C604" s="8" t="s">
        <v>136</v>
      </c>
      <c r="D604" s="8" t="s">
        <v>173</v>
      </c>
      <c r="E604" s="4">
        <v>16.149999999999999</v>
      </c>
    </row>
    <row r="605" spans="1:5" x14ac:dyDescent="0.2">
      <c r="A605" s="63" t="s">
        <v>1570</v>
      </c>
      <c r="B605" s="64" t="s">
        <v>1569</v>
      </c>
      <c r="C605" s="8" t="s">
        <v>136</v>
      </c>
      <c r="D605" s="8" t="s">
        <v>173</v>
      </c>
      <c r="E605" s="4">
        <v>15.87</v>
      </c>
    </row>
    <row r="606" spans="1:5" x14ac:dyDescent="0.2">
      <c r="A606" s="63" t="s">
        <v>1568</v>
      </c>
      <c r="B606" s="64" t="s">
        <v>1567</v>
      </c>
      <c r="C606" s="8" t="s">
        <v>136</v>
      </c>
      <c r="D606" s="8" t="s">
        <v>173</v>
      </c>
      <c r="E606" s="4">
        <v>15.87</v>
      </c>
    </row>
    <row r="607" spans="1:5" x14ac:dyDescent="0.2">
      <c r="A607" s="63" t="s">
        <v>1566</v>
      </c>
      <c r="B607" s="64" t="s">
        <v>1565</v>
      </c>
      <c r="C607" s="8" t="s">
        <v>136</v>
      </c>
      <c r="D607" s="8" t="s">
        <v>173</v>
      </c>
      <c r="E607" s="4">
        <v>15.87</v>
      </c>
    </row>
    <row r="608" spans="1:5" x14ac:dyDescent="0.2">
      <c r="A608" s="63" t="s">
        <v>1564</v>
      </c>
      <c r="B608" s="64" t="s">
        <v>1563</v>
      </c>
      <c r="C608" s="8" t="s">
        <v>136</v>
      </c>
      <c r="D608" s="8" t="s">
        <v>173</v>
      </c>
      <c r="E608" s="4">
        <v>15.87</v>
      </c>
    </row>
    <row r="609" spans="1:5" x14ac:dyDescent="0.2">
      <c r="A609" s="63" t="s">
        <v>1562</v>
      </c>
      <c r="B609" s="64" t="s">
        <v>1561</v>
      </c>
      <c r="C609" s="8" t="s">
        <v>136</v>
      </c>
      <c r="D609" s="8" t="s">
        <v>173</v>
      </c>
      <c r="E609" s="4">
        <v>21.01</v>
      </c>
    </row>
    <row r="610" spans="1:5" ht="25.5" x14ac:dyDescent="0.2">
      <c r="A610" s="63" t="s">
        <v>1560</v>
      </c>
      <c r="B610" s="64" t="s">
        <v>1559</v>
      </c>
      <c r="C610" s="8" t="s">
        <v>136</v>
      </c>
      <c r="D610" s="8" t="s">
        <v>160</v>
      </c>
      <c r="E610" s="4">
        <v>21.61</v>
      </c>
    </row>
    <row r="611" spans="1:5" ht="76.5" x14ac:dyDescent="0.2">
      <c r="A611" s="7" t="s">
        <v>1558</v>
      </c>
      <c r="B611" s="6" t="s">
        <v>1557</v>
      </c>
      <c r="C611" s="5"/>
      <c r="D611" s="5"/>
      <c r="E611" s="4">
        <v>0</v>
      </c>
    </row>
    <row r="612" spans="1:5" x14ac:dyDescent="0.2">
      <c r="A612" s="7" t="s">
        <v>1556</v>
      </c>
      <c r="B612" s="6" t="s">
        <v>1555</v>
      </c>
      <c r="C612" s="5"/>
      <c r="D612" s="5"/>
      <c r="E612" s="4">
        <v>0</v>
      </c>
    </row>
    <row r="613" spans="1:5" x14ac:dyDescent="0.2">
      <c r="A613" s="7" t="s">
        <v>1554</v>
      </c>
      <c r="B613" s="6" t="s">
        <v>1553</v>
      </c>
      <c r="C613" s="5"/>
      <c r="D613" s="5"/>
      <c r="E613" s="4">
        <v>0</v>
      </c>
    </row>
    <row r="614" spans="1:5" ht="25.5" x14ac:dyDescent="0.2">
      <c r="A614" s="63" t="s">
        <v>1552</v>
      </c>
      <c r="B614" s="64" t="s">
        <v>1551</v>
      </c>
      <c r="C614" s="8" t="s">
        <v>70</v>
      </c>
      <c r="D614" s="8" t="s">
        <v>160</v>
      </c>
      <c r="E614" s="4">
        <v>420.23</v>
      </c>
    </row>
    <row r="615" spans="1:5" ht="25.5" x14ac:dyDescent="0.2">
      <c r="A615" s="63" t="s">
        <v>1550</v>
      </c>
      <c r="B615" s="64" t="s">
        <v>1534</v>
      </c>
      <c r="C615" s="8" t="s">
        <v>136</v>
      </c>
      <c r="D615" s="8" t="s">
        <v>160</v>
      </c>
      <c r="E615" s="4">
        <v>48.02</v>
      </c>
    </row>
    <row r="616" spans="1:5" x14ac:dyDescent="0.2">
      <c r="A616" s="63" t="s">
        <v>1549</v>
      </c>
      <c r="B616" s="64" t="s">
        <v>1532</v>
      </c>
      <c r="C616" s="8" t="s">
        <v>136</v>
      </c>
      <c r="D616" s="8" t="s">
        <v>160</v>
      </c>
      <c r="E616" s="4">
        <v>54.03</v>
      </c>
    </row>
    <row r="617" spans="1:5" ht="25.5" x14ac:dyDescent="0.2">
      <c r="A617" s="63" t="s">
        <v>1548</v>
      </c>
      <c r="B617" s="64" t="s">
        <v>1547</v>
      </c>
      <c r="C617" s="8" t="s">
        <v>136</v>
      </c>
      <c r="D617" s="8" t="s">
        <v>160</v>
      </c>
      <c r="E617" s="4">
        <v>55.68</v>
      </c>
    </row>
    <row r="618" spans="1:5" x14ac:dyDescent="0.2">
      <c r="A618" s="63" t="s">
        <v>1546</v>
      </c>
      <c r="B618" s="64" t="s">
        <v>1545</v>
      </c>
      <c r="C618" s="8" t="s">
        <v>136</v>
      </c>
      <c r="D618" s="8" t="s">
        <v>160</v>
      </c>
      <c r="E618" s="4">
        <v>38.979999999999997</v>
      </c>
    </row>
    <row r="619" spans="1:5" x14ac:dyDescent="0.2">
      <c r="A619" s="63" t="s">
        <v>1544</v>
      </c>
      <c r="B619" s="64" t="s">
        <v>1526</v>
      </c>
      <c r="C619" s="8" t="s">
        <v>136</v>
      </c>
      <c r="D619" s="8" t="s">
        <v>160</v>
      </c>
      <c r="E619" s="4">
        <v>38.979999999999997</v>
      </c>
    </row>
    <row r="620" spans="1:5" x14ac:dyDescent="0.2">
      <c r="A620" s="63" t="s">
        <v>1543</v>
      </c>
      <c r="B620" s="64" t="s">
        <v>1524</v>
      </c>
      <c r="C620" s="8" t="s">
        <v>136</v>
      </c>
      <c r="D620" s="8" t="s">
        <v>160</v>
      </c>
      <c r="E620" s="4">
        <v>54.03</v>
      </c>
    </row>
    <row r="621" spans="1:5" x14ac:dyDescent="0.2">
      <c r="A621" s="63" t="s">
        <v>1542</v>
      </c>
      <c r="B621" s="64" t="s">
        <v>1541</v>
      </c>
      <c r="C621" s="8" t="s">
        <v>136</v>
      </c>
      <c r="D621" s="8" t="s">
        <v>160</v>
      </c>
      <c r="E621" s="4">
        <v>66.03</v>
      </c>
    </row>
    <row r="622" spans="1:5" ht="25.5" x14ac:dyDescent="0.2">
      <c r="A622" s="63" t="s">
        <v>1540</v>
      </c>
      <c r="B622" s="64" t="s">
        <v>1539</v>
      </c>
      <c r="C622" s="8" t="s">
        <v>143</v>
      </c>
      <c r="D622" s="8" t="s">
        <v>160</v>
      </c>
      <c r="E622" s="4">
        <v>15.87</v>
      </c>
    </row>
    <row r="623" spans="1:5" x14ac:dyDescent="0.2">
      <c r="A623" s="63" t="s">
        <v>1538</v>
      </c>
      <c r="B623" s="64" t="s">
        <v>1520</v>
      </c>
      <c r="C623" s="8" t="s">
        <v>143</v>
      </c>
      <c r="D623" s="8" t="s">
        <v>160</v>
      </c>
      <c r="E623" s="4">
        <v>15.87</v>
      </c>
    </row>
    <row r="624" spans="1:5" x14ac:dyDescent="0.2">
      <c r="A624" s="63" t="s">
        <v>1537</v>
      </c>
      <c r="B624" s="64" t="s">
        <v>1536</v>
      </c>
      <c r="C624" s="8" t="s">
        <v>70</v>
      </c>
      <c r="D624" s="8" t="s">
        <v>173</v>
      </c>
      <c r="E624" s="4">
        <v>180.1</v>
      </c>
    </row>
    <row r="625" spans="1:5" ht="25.5" x14ac:dyDescent="0.2">
      <c r="A625" s="63" t="s">
        <v>1535</v>
      </c>
      <c r="B625" s="64" t="s">
        <v>1534</v>
      </c>
      <c r="C625" s="8" t="s">
        <v>136</v>
      </c>
      <c r="D625" s="8" t="s">
        <v>173</v>
      </c>
      <c r="E625" s="4">
        <v>45.11</v>
      </c>
    </row>
    <row r="626" spans="1:5" x14ac:dyDescent="0.2">
      <c r="A626" s="63" t="s">
        <v>1533</v>
      </c>
      <c r="B626" s="64" t="s">
        <v>1532</v>
      </c>
      <c r="C626" s="8" t="s">
        <v>136</v>
      </c>
      <c r="D626" s="8" t="s">
        <v>173</v>
      </c>
      <c r="E626" s="4">
        <v>27.01</v>
      </c>
    </row>
    <row r="627" spans="1:5" x14ac:dyDescent="0.2">
      <c r="A627" s="63" t="s">
        <v>1531</v>
      </c>
      <c r="B627" s="64" t="s">
        <v>1530</v>
      </c>
      <c r="C627" s="8" t="s">
        <v>136</v>
      </c>
      <c r="D627" s="8" t="s">
        <v>173</v>
      </c>
      <c r="E627" s="4">
        <v>30.01</v>
      </c>
    </row>
    <row r="628" spans="1:5" x14ac:dyDescent="0.2">
      <c r="A628" s="63" t="s">
        <v>1529</v>
      </c>
      <c r="B628" s="64" t="s">
        <v>1528</v>
      </c>
      <c r="C628" s="8" t="s">
        <v>136</v>
      </c>
      <c r="D628" s="8" t="s">
        <v>173</v>
      </c>
      <c r="E628" s="4">
        <v>25.32</v>
      </c>
    </row>
    <row r="629" spans="1:5" x14ac:dyDescent="0.2">
      <c r="A629" s="63" t="s">
        <v>1527</v>
      </c>
      <c r="B629" s="64" t="s">
        <v>1526</v>
      </c>
      <c r="C629" s="8" t="s">
        <v>136</v>
      </c>
      <c r="D629" s="8" t="s">
        <v>173</v>
      </c>
      <c r="E629" s="4">
        <v>22.82</v>
      </c>
    </row>
    <row r="630" spans="1:5" x14ac:dyDescent="0.2">
      <c r="A630" s="63" t="s">
        <v>1525</v>
      </c>
      <c r="B630" s="64" t="s">
        <v>1524</v>
      </c>
      <c r="C630" s="8" t="s">
        <v>136</v>
      </c>
      <c r="D630" s="8" t="s">
        <v>173</v>
      </c>
      <c r="E630" s="4">
        <v>39.049999999999997</v>
      </c>
    </row>
    <row r="631" spans="1:5" ht="25.5" x14ac:dyDescent="0.2">
      <c r="A631" s="63" t="s">
        <v>1523</v>
      </c>
      <c r="B631" s="64" t="s">
        <v>1522</v>
      </c>
      <c r="C631" s="8" t="s">
        <v>143</v>
      </c>
      <c r="D631" s="8" t="s">
        <v>173</v>
      </c>
      <c r="E631" s="4">
        <v>18.05</v>
      </c>
    </row>
    <row r="632" spans="1:5" x14ac:dyDescent="0.2">
      <c r="A632" s="63" t="s">
        <v>1521</v>
      </c>
      <c r="B632" s="64" t="s">
        <v>1520</v>
      </c>
      <c r="C632" s="8" t="s">
        <v>143</v>
      </c>
      <c r="D632" s="8" t="s">
        <v>173</v>
      </c>
      <c r="E632" s="4">
        <v>14.59</v>
      </c>
    </row>
    <row r="633" spans="1:5" x14ac:dyDescent="0.2">
      <c r="A633" s="63" t="s">
        <v>1519</v>
      </c>
      <c r="B633" s="64" t="s">
        <v>1518</v>
      </c>
      <c r="C633" s="8" t="s">
        <v>136</v>
      </c>
      <c r="D633" s="8" t="s">
        <v>173</v>
      </c>
      <c r="E633" s="4">
        <v>14.88</v>
      </c>
    </row>
    <row r="634" spans="1:5" x14ac:dyDescent="0.2">
      <c r="A634" s="63" t="s">
        <v>1517</v>
      </c>
      <c r="B634" s="64" t="s">
        <v>1516</v>
      </c>
      <c r="C634" s="8" t="s">
        <v>136</v>
      </c>
      <c r="D634" s="8" t="s">
        <v>173</v>
      </c>
      <c r="E634" s="4">
        <v>15.98</v>
      </c>
    </row>
    <row r="635" spans="1:5" ht="51" x14ac:dyDescent="0.2">
      <c r="A635" s="63" t="s">
        <v>1515</v>
      </c>
      <c r="B635" s="64" t="s">
        <v>1514</v>
      </c>
      <c r="C635" s="8" t="s">
        <v>136</v>
      </c>
      <c r="D635" s="8" t="s">
        <v>173</v>
      </c>
      <c r="E635" s="4">
        <v>55</v>
      </c>
    </row>
    <row r="636" spans="1:5" ht="51" x14ac:dyDescent="0.2">
      <c r="A636" s="63" t="s">
        <v>1513</v>
      </c>
      <c r="B636" s="64" t="s">
        <v>1512</v>
      </c>
      <c r="C636" s="8" t="s">
        <v>136</v>
      </c>
      <c r="D636" s="8" t="s">
        <v>173</v>
      </c>
      <c r="E636" s="4">
        <v>55</v>
      </c>
    </row>
    <row r="637" spans="1:5" x14ac:dyDescent="0.2">
      <c r="A637" s="7" t="s">
        <v>1511</v>
      </c>
      <c r="B637" s="6" t="s">
        <v>1510</v>
      </c>
      <c r="C637" s="5"/>
      <c r="D637" s="5"/>
      <c r="E637" s="4">
        <v>0</v>
      </c>
    </row>
    <row r="638" spans="1:5" ht="25.5" x14ac:dyDescent="0.2">
      <c r="A638" s="63" t="s">
        <v>1509</v>
      </c>
      <c r="B638" s="64" t="s">
        <v>1508</v>
      </c>
      <c r="C638" s="8" t="s">
        <v>136</v>
      </c>
      <c r="D638" s="8" t="s">
        <v>160</v>
      </c>
      <c r="E638" s="4">
        <v>61.23</v>
      </c>
    </row>
    <row r="639" spans="1:5" x14ac:dyDescent="0.2">
      <c r="A639" s="63" t="s">
        <v>1507</v>
      </c>
      <c r="B639" s="64" t="s">
        <v>1506</v>
      </c>
      <c r="C639" s="8" t="s">
        <v>136</v>
      </c>
      <c r="D639" s="8" t="s">
        <v>160</v>
      </c>
      <c r="E639" s="4">
        <v>43.21</v>
      </c>
    </row>
    <row r="640" spans="1:5" x14ac:dyDescent="0.2">
      <c r="A640" s="63" t="s">
        <v>1505</v>
      </c>
      <c r="B640" s="64" t="s">
        <v>1504</v>
      </c>
      <c r="C640" s="8" t="s">
        <v>136</v>
      </c>
      <c r="D640" s="8" t="s">
        <v>160</v>
      </c>
      <c r="E640" s="4">
        <v>48.02</v>
      </c>
    </row>
    <row r="641" spans="1:5" ht="25.5" x14ac:dyDescent="0.2">
      <c r="A641" s="63" t="s">
        <v>1503</v>
      </c>
      <c r="B641" s="64" t="s">
        <v>1502</v>
      </c>
      <c r="C641" s="8" t="s">
        <v>136</v>
      </c>
      <c r="D641" s="8" t="s">
        <v>173</v>
      </c>
      <c r="E641" s="4">
        <v>27.26</v>
      </c>
    </row>
    <row r="642" spans="1:5" ht="25.5" x14ac:dyDescent="0.2">
      <c r="A642" s="63" t="s">
        <v>1501</v>
      </c>
      <c r="B642" s="64" t="s">
        <v>1500</v>
      </c>
      <c r="C642" s="8" t="s">
        <v>143</v>
      </c>
      <c r="D642" s="8" t="s">
        <v>160</v>
      </c>
      <c r="E642" s="4">
        <v>55.7</v>
      </c>
    </row>
    <row r="643" spans="1:5" x14ac:dyDescent="0.2">
      <c r="A643" s="63" t="s">
        <v>1499</v>
      </c>
      <c r="B643" s="64" t="s">
        <v>1498</v>
      </c>
      <c r="C643" s="8" t="s">
        <v>143</v>
      </c>
      <c r="D643" s="8" t="s">
        <v>160</v>
      </c>
      <c r="E643" s="4">
        <v>9</v>
      </c>
    </row>
    <row r="644" spans="1:5" x14ac:dyDescent="0.2">
      <c r="A644" s="63" t="s">
        <v>1497</v>
      </c>
      <c r="B644" s="64" t="s">
        <v>1496</v>
      </c>
      <c r="C644" s="8" t="s">
        <v>143</v>
      </c>
      <c r="D644" s="8" t="s">
        <v>160</v>
      </c>
      <c r="E644" s="4">
        <v>3</v>
      </c>
    </row>
    <row r="645" spans="1:5" x14ac:dyDescent="0.2">
      <c r="A645" s="63" t="s">
        <v>1495</v>
      </c>
      <c r="B645" s="64" t="s">
        <v>1494</v>
      </c>
      <c r="C645" s="8" t="s">
        <v>143</v>
      </c>
      <c r="D645" s="8" t="s">
        <v>160</v>
      </c>
      <c r="E645" s="4">
        <v>6.47</v>
      </c>
    </row>
    <row r="646" spans="1:5" ht="38.25" x14ac:dyDescent="0.2">
      <c r="A646" s="63" t="s">
        <v>1493</v>
      </c>
      <c r="B646" s="64" t="s">
        <v>1492</v>
      </c>
      <c r="C646" s="8" t="s">
        <v>70</v>
      </c>
      <c r="D646" s="8" t="s">
        <v>160</v>
      </c>
      <c r="E646" s="4">
        <v>495</v>
      </c>
    </row>
    <row r="647" spans="1:5" x14ac:dyDescent="0.2">
      <c r="A647" s="63" t="s">
        <v>1491</v>
      </c>
      <c r="B647" s="64" t="s">
        <v>1490</v>
      </c>
      <c r="C647" s="8" t="s">
        <v>70</v>
      </c>
      <c r="D647" s="8" t="s">
        <v>160</v>
      </c>
      <c r="E647" s="4">
        <v>605</v>
      </c>
    </row>
    <row r="648" spans="1:5" x14ac:dyDescent="0.2">
      <c r="A648" s="63" t="s">
        <v>1489</v>
      </c>
      <c r="B648" s="64" t="s">
        <v>1488</v>
      </c>
      <c r="C648" s="8" t="s">
        <v>70</v>
      </c>
      <c r="D648" s="8" t="s">
        <v>160</v>
      </c>
      <c r="E648" s="4">
        <v>605</v>
      </c>
    </row>
    <row r="649" spans="1:5" ht="25.5" x14ac:dyDescent="0.2">
      <c r="A649" s="63" t="s">
        <v>1487</v>
      </c>
      <c r="B649" s="64" t="s">
        <v>1486</v>
      </c>
      <c r="C649" s="8" t="s">
        <v>1035</v>
      </c>
      <c r="D649" s="8" t="s">
        <v>173</v>
      </c>
      <c r="E649" s="4">
        <v>7.7</v>
      </c>
    </row>
    <row r="650" spans="1:5" x14ac:dyDescent="0.2">
      <c r="A650" s="63" t="s">
        <v>1485</v>
      </c>
      <c r="B650" s="64" t="s">
        <v>1484</v>
      </c>
      <c r="C650" s="8" t="s">
        <v>70</v>
      </c>
      <c r="D650" s="8" t="s">
        <v>173</v>
      </c>
      <c r="E650" s="4">
        <v>770</v>
      </c>
    </row>
    <row r="651" spans="1:5" x14ac:dyDescent="0.2">
      <c r="A651" s="63" t="s">
        <v>1483</v>
      </c>
      <c r="B651" s="64" t="s">
        <v>1482</v>
      </c>
      <c r="C651" s="8" t="s">
        <v>70</v>
      </c>
      <c r="D651" s="8" t="s">
        <v>173</v>
      </c>
      <c r="E651" s="4">
        <v>880</v>
      </c>
    </row>
    <row r="652" spans="1:5" ht="25.5" x14ac:dyDescent="0.2">
      <c r="A652" s="63" t="s">
        <v>1481</v>
      </c>
      <c r="B652" s="64" t="s">
        <v>1480</v>
      </c>
      <c r="C652" s="8" t="s">
        <v>70</v>
      </c>
      <c r="D652" s="8" t="s">
        <v>173</v>
      </c>
      <c r="E652" s="4">
        <v>1100</v>
      </c>
    </row>
    <row r="653" spans="1:5" ht="63.75" x14ac:dyDescent="0.2">
      <c r="A653" s="63" t="s">
        <v>1479</v>
      </c>
      <c r="B653" s="64" t="s">
        <v>1478</v>
      </c>
      <c r="C653" s="8" t="s">
        <v>70</v>
      </c>
      <c r="D653" s="8" t="s">
        <v>173</v>
      </c>
      <c r="E653" s="4">
        <v>1375</v>
      </c>
    </row>
    <row r="654" spans="1:5" ht="63.75" x14ac:dyDescent="0.2">
      <c r="A654" s="63" t="s">
        <v>1477</v>
      </c>
      <c r="B654" s="64" t="s">
        <v>1476</v>
      </c>
      <c r="C654" s="8" t="s">
        <v>70</v>
      </c>
      <c r="D654" s="8" t="s">
        <v>173</v>
      </c>
      <c r="E654" s="4">
        <v>1650</v>
      </c>
    </row>
    <row r="655" spans="1:5" x14ac:dyDescent="0.2">
      <c r="A655" s="7" t="s">
        <v>1475</v>
      </c>
      <c r="B655" s="6" t="s">
        <v>1474</v>
      </c>
      <c r="C655" s="5"/>
      <c r="D655" s="5"/>
      <c r="E655" s="4">
        <v>0</v>
      </c>
    </row>
    <row r="656" spans="1:5" ht="25.5" x14ac:dyDescent="0.2">
      <c r="A656" s="63" t="s">
        <v>1473</v>
      </c>
      <c r="B656" s="64" t="s">
        <v>1472</v>
      </c>
      <c r="C656" s="8" t="s">
        <v>136</v>
      </c>
      <c r="D656" s="8" t="s">
        <v>160</v>
      </c>
      <c r="E656" s="4">
        <v>210.11</v>
      </c>
    </row>
    <row r="657" spans="1:5" x14ac:dyDescent="0.2">
      <c r="A657" s="63" t="s">
        <v>1471</v>
      </c>
      <c r="B657" s="64" t="s">
        <v>1470</v>
      </c>
      <c r="C657" s="8" t="s">
        <v>136</v>
      </c>
      <c r="D657" s="8" t="s">
        <v>160</v>
      </c>
      <c r="E657" s="4">
        <v>138.44</v>
      </c>
    </row>
    <row r="658" spans="1:5" x14ac:dyDescent="0.2">
      <c r="A658" s="63" t="s">
        <v>1469</v>
      </c>
      <c r="B658" s="64" t="s">
        <v>1468</v>
      </c>
      <c r="C658" s="8" t="s">
        <v>136</v>
      </c>
      <c r="D658" s="8" t="s">
        <v>160</v>
      </c>
      <c r="E658" s="4">
        <v>150.08000000000001</v>
      </c>
    </row>
    <row r="659" spans="1:5" x14ac:dyDescent="0.2">
      <c r="A659" s="63" t="s">
        <v>1467</v>
      </c>
      <c r="B659" s="64" t="s">
        <v>1466</v>
      </c>
      <c r="C659" s="8" t="s">
        <v>136</v>
      </c>
      <c r="D659" s="8" t="s">
        <v>160</v>
      </c>
      <c r="E659" s="4">
        <v>360.19</v>
      </c>
    </row>
    <row r="660" spans="1:5" ht="25.5" x14ac:dyDescent="0.2">
      <c r="A660" s="63" t="s">
        <v>1465</v>
      </c>
      <c r="B660" s="64" t="s">
        <v>1464</v>
      </c>
      <c r="C660" s="8" t="s">
        <v>136</v>
      </c>
      <c r="D660" s="8" t="s">
        <v>160</v>
      </c>
      <c r="E660" s="4">
        <v>150.08000000000001</v>
      </c>
    </row>
    <row r="661" spans="1:5" ht="25.5" x14ac:dyDescent="0.2">
      <c r="A661" s="63" t="s">
        <v>1463</v>
      </c>
      <c r="B661" s="64" t="s">
        <v>1462</v>
      </c>
      <c r="C661" s="8" t="s">
        <v>136</v>
      </c>
      <c r="D661" s="8" t="s">
        <v>173</v>
      </c>
      <c r="E661" s="4">
        <v>150.08000000000001</v>
      </c>
    </row>
    <row r="662" spans="1:5" ht="25.5" x14ac:dyDescent="0.2">
      <c r="A662" s="63" t="s">
        <v>1461</v>
      </c>
      <c r="B662" s="64" t="s">
        <v>1460</v>
      </c>
      <c r="C662" s="8" t="s">
        <v>143</v>
      </c>
      <c r="D662" s="8" t="s">
        <v>160</v>
      </c>
      <c r="E662" s="4">
        <v>92.15</v>
      </c>
    </row>
    <row r="663" spans="1:5" x14ac:dyDescent="0.2">
      <c r="A663" s="63" t="s">
        <v>1459</v>
      </c>
      <c r="B663" s="64" t="s">
        <v>1458</v>
      </c>
      <c r="C663" s="8" t="s">
        <v>143</v>
      </c>
      <c r="D663" s="8" t="s">
        <v>160</v>
      </c>
      <c r="E663" s="4">
        <v>24.01</v>
      </c>
    </row>
    <row r="664" spans="1:5" ht="25.5" x14ac:dyDescent="0.2">
      <c r="A664" s="63" t="s">
        <v>1457</v>
      </c>
      <c r="B664" s="64" t="s">
        <v>1456</v>
      </c>
      <c r="C664" s="8" t="s">
        <v>136</v>
      </c>
      <c r="D664" s="8" t="s">
        <v>160</v>
      </c>
      <c r="E664" s="4">
        <v>240.13</v>
      </c>
    </row>
    <row r="665" spans="1:5" ht="25.5" x14ac:dyDescent="0.2">
      <c r="A665" s="63" t="s">
        <v>1455</v>
      </c>
      <c r="B665" s="64" t="s">
        <v>1454</v>
      </c>
      <c r="C665" s="8" t="s">
        <v>136</v>
      </c>
      <c r="D665" s="8" t="s">
        <v>160</v>
      </c>
      <c r="E665" s="4">
        <v>300.16000000000003</v>
      </c>
    </row>
    <row r="666" spans="1:5" x14ac:dyDescent="0.2">
      <c r="A666" s="63" t="s">
        <v>1453</v>
      </c>
      <c r="B666" s="64" t="s">
        <v>1452</v>
      </c>
      <c r="C666" s="8" t="s">
        <v>136</v>
      </c>
      <c r="D666" s="8" t="s">
        <v>160</v>
      </c>
      <c r="E666" s="4">
        <v>168.09</v>
      </c>
    </row>
    <row r="667" spans="1:5" x14ac:dyDescent="0.2">
      <c r="A667" s="63" t="s">
        <v>1451</v>
      </c>
      <c r="B667" s="64" t="s">
        <v>1450</v>
      </c>
      <c r="C667" s="8" t="s">
        <v>4</v>
      </c>
      <c r="D667" s="8" t="s">
        <v>173</v>
      </c>
      <c r="E667" s="4">
        <v>108.06</v>
      </c>
    </row>
    <row r="668" spans="1:5" x14ac:dyDescent="0.2">
      <c r="A668" s="63" t="s">
        <v>1449</v>
      </c>
      <c r="B668" s="64" t="s">
        <v>1448</v>
      </c>
      <c r="C668" s="8" t="s">
        <v>4</v>
      </c>
      <c r="D668" s="8" t="s">
        <v>173</v>
      </c>
      <c r="E668" s="4">
        <v>108.06</v>
      </c>
    </row>
    <row r="669" spans="1:5" x14ac:dyDescent="0.2">
      <c r="A669" s="7" t="s">
        <v>1447</v>
      </c>
      <c r="B669" s="6" t="s">
        <v>1446</v>
      </c>
      <c r="C669" s="5"/>
      <c r="D669" s="5"/>
      <c r="E669" s="4">
        <v>0</v>
      </c>
    </row>
    <row r="670" spans="1:5" ht="25.5" x14ac:dyDescent="0.2">
      <c r="A670" s="63" t="s">
        <v>1445</v>
      </c>
      <c r="B670" s="64" t="s">
        <v>1444</v>
      </c>
      <c r="C670" s="8" t="s">
        <v>136</v>
      </c>
      <c r="D670" s="8" t="s">
        <v>160</v>
      </c>
      <c r="E670" s="4">
        <v>168.09</v>
      </c>
    </row>
    <row r="671" spans="1:5" x14ac:dyDescent="0.2">
      <c r="A671" s="63" t="s">
        <v>1443</v>
      </c>
      <c r="B671" s="64" t="s">
        <v>1442</v>
      </c>
      <c r="C671" s="8" t="s">
        <v>136</v>
      </c>
      <c r="D671" s="8" t="s">
        <v>160</v>
      </c>
      <c r="E671" s="4">
        <v>192.1</v>
      </c>
    </row>
    <row r="672" spans="1:5" x14ac:dyDescent="0.2">
      <c r="A672" s="63" t="s">
        <v>1441</v>
      </c>
      <c r="B672" s="64" t="s">
        <v>1440</v>
      </c>
      <c r="C672" s="8" t="s">
        <v>136</v>
      </c>
      <c r="D672" s="8" t="s">
        <v>160</v>
      </c>
      <c r="E672" s="4">
        <v>192.1</v>
      </c>
    </row>
    <row r="673" spans="1:5" ht="25.5" x14ac:dyDescent="0.2">
      <c r="A673" s="63" t="s">
        <v>1439</v>
      </c>
      <c r="B673" s="64" t="s">
        <v>1438</v>
      </c>
      <c r="C673" s="8" t="s">
        <v>143</v>
      </c>
      <c r="D673" s="8" t="s">
        <v>173</v>
      </c>
      <c r="E673" s="4">
        <v>25.03</v>
      </c>
    </row>
    <row r="674" spans="1:5" x14ac:dyDescent="0.2">
      <c r="A674" s="7" t="s">
        <v>1437</v>
      </c>
      <c r="B674" s="6" t="s">
        <v>1436</v>
      </c>
      <c r="C674" s="5"/>
      <c r="D674" s="5"/>
      <c r="E674" s="4">
        <v>0</v>
      </c>
    </row>
    <row r="675" spans="1:5" ht="25.5" x14ac:dyDescent="0.2">
      <c r="A675" s="63" t="s">
        <v>1435</v>
      </c>
      <c r="B675" s="64" t="s">
        <v>1434</v>
      </c>
      <c r="C675" s="8" t="s">
        <v>4</v>
      </c>
      <c r="D675" s="8" t="s">
        <v>173</v>
      </c>
      <c r="E675" s="4">
        <v>42.02</v>
      </c>
    </row>
    <row r="676" spans="1:5" x14ac:dyDescent="0.2">
      <c r="A676" s="63" t="s">
        <v>1433</v>
      </c>
      <c r="B676" s="64" t="s">
        <v>1432</v>
      </c>
      <c r="C676" s="8" t="s">
        <v>4</v>
      </c>
      <c r="D676" s="8" t="s">
        <v>173</v>
      </c>
      <c r="E676" s="4">
        <v>42.02</v>
      </c>
    </row>
    <row r="677" spans="1:5" x14ac:dyDescent="0.2">
      <c r="A677" s="63" t="s">
        <v>1431</v>
      </c>
      <c r="B677" s="64" t="s">
        <v>1430</v>
      </c>
      <c r="C677" s="8" t="s">
        <v>4</v>
      </c>
      <c r="D677" s="8" t="s">
        <v>173</v>
      </c>
      <c r="E677" s="4">
        <v>43.5</v>
      </c>
    </row>
    <row r="678" spans="1:5" x14ac:dyDescent="0.2">
      <c r="A678" s="63" t="s">
        <v>1429</v>
      </c>
      <c r="B678" s="64" t="s">
        <v>1428</v>
      </c>
      <c r="C678" s="8" t="s">
        <v>4</v>
      </c>
      <c r="D678" s="8" t="s">
        <v>173</v>
      </c>
      <c r="E678" s="4">
        <v>32.840000000000003</v>
      </c>
    </row>
    <row r="679" spans="1:5" x14ac:dyDescent="0.2">
      <c r="A679" s="63" t="s">
        <v>1427</v>
      </c>
      <c r="B679" s="64" t="s">
        <v>1426</v>
      </c>
      <c r="C679" s="8" t="s">
        <v>4</v>
      </c>
      <c r="D679" s="8" t="s">
        <v>173</v>
      </c>
      <c r="E679" s="4">
        <v>32.630000000000003</v>
      </c>
    </row>
    <row r="680" spans="1:5" x14ac:dyDescent="0.2">
      <c r="A680" s="63" t="s">
        <v>1425</v>
      </c>
      <c r="B680" s="64" t="s">
        <v>1424</v>
      </c>
      <c r="C680" s="8" t="s">
        <v>4</v>
      </c>
      <c r="D680" s="8" t="s">
        <v>173</v>
      </c>
      <c r="E680" s="4">
        <v>22.27</v>
      </c>
    </row>
    <row r="681" spans="1:5" x14ac:dyDescent="0.2">
      <c r="A681" s="63" t="s">
        <v>1423</v>
      </c>
      <c r="B681" s="64" t="s">
        <v>1422</v>
      </c>
      <c r="C681" s="8" t="s">
        <v>4</v>
      </c>
      <c r="D681" s="8" t="s">
        <v>173</v>
      </c>
      <c r="E681" s="4">
        <v>47.62</v>
      </c>
    </row>
    <row r="682" spans="1:5" x14ac:dyDescent="0.2">
      <c r="A682" s="63" t="s">
        <v>1421</v>
      </c>
      <c r="B682" s="64" t="s">
        <v>1420</v>
      </c>
      <c r="C682" s="8" t="s">
        <v>4</v>
      </c>
      <c r="D682" s="8" t="s">
        <v>173</v>
      </c>
      <c r="E682" s="4">
        <v>33.409999999999997</v>
      </c>
    </row>
    <row r="683" spans="1:5" x14ac:dyDescent="0.2">
      <c r="A683" s="63" t="s">
        <v>1419</v>
      </c>
      <c r="B683" s="64" t="s">
        <v>1418</v>
      </c>
      <c r="C683" s="8" t="s">
        <v>4</v>
      </c>
      <c r="D683" s="8" t="s">
        <v>173</v>
      </c>
      <c r="E683" s="4">
        <v>42.02</v>
      </c>
    </row>
    <row r="684" spans="1:5" x14ac:dyDescent="0.2">
      <c r="A684" s="63" t="s">
        <v>1417</v>
      </c>
      <c r="B684" s="64" t="s">
        <v>1416</v>
      </c>
      <c r="C684" s="8" t="s">
        <v>4</v>
      </c>
      <c r="D684" s="8" t="s">
        <v>173</v>
      </c>
      <c r="E684" s="4">
        <v>23.81</v>
      </c>
    </row>
    <row r="685" spans="1:5" x14ac:dyDescent="0.2">
      <c r="A685" s="63" t="s">
        <v>1415</v>
      </c>
      <c r="B685" s="64" t="s">
        <v>1414</v>
      </c>
      <c r="C685" s="8" t="s">
        <v>4</v>
      </c>
      <c r="D685" s="8" t="s">
        <v>173</v>
      </c>
      <c r="E685" s="4">
        <v>31.75</v>
      </c>
    </row>
    <row r="686" spans="1:5" x14ac:dyDescent="0.2">
      <c r="A686" s="63" t="s">
        <v>1413</v>
      </c>
      <c r="B686" s="64" t="s">
        <v>1412</v>
      </c>
      <c r="C686" s="8" t="s">
        <v>4</v>
      </c>
      <c r="D686" s="8" t="s">
        <v>173</v>
      </c>
      <c r="E686" s="4">
        <v>31.75</v>
      </c>
    </row>
    <row r="687" spans="1:5" x14ac:dyDescent="0.2">
      <c r="A687" s="63" t="s">
        <v>1411</v>
      </c>
      <c r="B687" s="64" t="s">
        <v>1410</v>
      </c>
      <c r="C687" s="8" t="s">
        <v>4</v>
      </c>
      <c r="D687" s="8" t="s">
        <v>173</v>
      </c>
      <c r="E687" s="4">
        <v>16.5</v>
      </c>
    </row>
    <row r="688" spans="1:5" x14ac:dyDescent="0.2">
      <c r="A688" s="63" t="s">
        <v>1409</v>
      </c>
      <c r="B688" s="64" t="s">
        <v>1408</v>
      </c>
      <c r="C688" s="8" t="s">
        <v>4</v>
      </c>
      <c r="D688" s="8" t="s">
        <v>173</v>
      </c>
      <c r="E688" s="4">
        <v>80.959999999999994</v>
      </c>
    </row>
    <row r="689" spans="1:5" x14ac:dyDescent="0.2">
      <c r="A689" s="63" t="s">
        <v>1407</v>
      </c>
      <c r="B689" s="64" t="s">
        <v>1406</v>
      </c>
      <c r="C689" s="8" t="s">
        <v>4</v>
      </c>
      <c r="D689" s="8" t="s">
        <v>173</v>
      </c>
      <c r="E689" s="4">
        <v>108.06</v>
      </c>
    </row>
    <row r="690" spans="1:5" x14ac:dyDescent="0.2">
      <c r="A690" s="63" t="s">
        <v>1405</v>
      </c>
      <c r="B690" s="64" t="s">
        <v>1404</v>
      </c>
      <c r="C690" s="8" t="s">
        <v>4</v>
      </c>
      <c r="D690" s="8" t="s">
        <v>173</v>
      </c>
      <c r="E690" s="4">
        <v>66.03</v>
      </c>
    </row>
    <row r="691" spans="1:5" x14ac:dyDescent="0.2">
      <c r="A691" s="63" t="s">
        <v>1403</v>
      </c>
      <c r="B691" s="64" t="s">
        <v>1402</v>
      </c>
      <c r="C691" s="8" t="s">
        <v>4</v>
      </c>
      <c r="D691" s="8" t="s">
        <v>173</v>
      </c>
      <c r="E691" s="4">
        <v>84.05</v>
      </c>
    </row>
    <row r="692" spans="1:5" ht="25.5" x14ac:dyDescent="0.2">
      <c r="A692" s="63" t="s">
        <v>1401</v>
      </c>
      <c r="B692" s="64" t="s">
        <v>1400</v>
      </c>
      <c r="C692" s="8" t="s">
        <v>4</v>
      </c>
      <c r="D692" s="8" t="s">
        <v>173</v>
      </c>
      <c r="E692" s="4">
        <v>95.25</v>
      </c>
    </row>
    <row r="693" spans="1:5" ht="25.5" x14ac:dyDescent="0.2">
      <c r="A693" s="63" t="s">
        <v>1399</v>
      </c>
      <c r="B693" s="64" t="s">
        <v>1398</v>
      </c>
      <c r="C693" s="8" t="s">
        <v>4</v>
      </c>
      <c r="D693" s="8" t="s">
        <v>173</v>
      </c>
      <c r="E693" s="4">
        <v>108.06</v>
      </c>
    </row>
    <row r="694" spans="1:5" ht="25.5" x14ac:dyDescent="0.2">
      <c r="A694" s="63" t="s">
        <v>1397</v>
      </c>
      <c r="B694" s="64" t="s">
        <v>1396</v>
      </c>
      <c r="C694" s="8" t="s">
        <v>4</v>
      </c>
      <c r="D694" s="8" t="s">
        <v>173</v>
      </c>
      <c r="E694" s="4">
        <v>72.03</v>
      </c>
    </row>
    <row r="695" spans="1:5" ht="25.5" x14ac:dyDescent="0.2">
      <c r="A695" s="63" t="s">
        <v>1395</v>
      </c>
      <c r="B695" s="64" t="s">
        <v>1394</v>
      </c>
      <c r="C695" s="8" t="s">
        <v>4</v>
      </c>
      <c r="D695" s="8" t="s">
        <v>173</v>
      </c>
      <c r="E695" s="4">
        <v>122.5</v>
      </c>
    </row>
    <row r="696" spans="1:5" ht="38.25" x14ac:dyDescent="0.2">
      <c r="A696" s="63" t="s">
        <v>1393</v>
      </c>
      <c r="B696" s="64" t="s">
        <v>1392</v>
      </c>
      <c r="C696" s="8" t="s">
        <v>4</v>
      </c>
      <c r="D696" s="8" t="s">
        <v>173</v>
      </c>
      <c r="E696" s="4">
        <v>111.93</v>
      </c>
    </row>
    <row r="697" spans="1:5" ht="25.5" x14ac:dyDescent="0.2">
      <c r="A697" s="63" t="s">
        <v>1391</v>
      </c>
      <c r="B697" s="64" t="s">
        <v>1390</v>
      </c>
      <c r="C697" s="8" t="s">
        <v>4</v>
      </c>
      <c r="D697" s="8" t="s">
        <v>173</v>
      </c>
      <c r="E697" s="4">
        <v>78.040000000000006</v>
      </c>
    </row>
    <row r="698" spans="1:5" x14ac:dyDescent="0.2">
      <c r="A698" s="63" t="s">
        <v>1389</v>
      </c>
      <c r="B698" s="64" t="s">
        <v>1388</v>
      </c>
      <c r="C698" s="8" t="s">
        <v>4</v>
      </c>
      <c r="D698" s="8" t="s">
        <v>173</v>
      </c>
      <c r="E698" s="4">
        <v>39.69</v>
      </c>
    </row>
    <row r="699" spans="1:5" ht="89.25" x14ac:dyDescent="0.2">
      <c r="A699" s="63" t="s">
        <v>1387</v>
      </c>
      <c r="B699" s="64" t="s">
        <v>1386</v>
      </c>
      <c r="C699" s="8" t="s">
        <v>4</v>
      </c>
      <c r="D699" s="8" t="s">
        <v>173</v>
      </c>
      <c r="E699" s="4">
        <v>254</v>
      </c>
    </row>
    <row r="700" spans="1:5" ht="89.25" x14ac:dyDescent="0.2">
      <c r="A700" s="63" t="s">
        <v>1385</v>
      </c>
      <c r="B700" s="64" t="s">
        <v>1384</v>
      </c>
      <c r="C700" s="8" t="s">
        <v>4</v>
      </c>
      <c r="D700" s="8" t="s">
        <v>173</v>
      </c>
      <c r="E700" s="4">
        <v>385</v>
      </c>
    </row>
    <row r="701" spans="1:5" ht="25.5" x14ac:dyDescent="0.2">
      <c r="A701" s="63" t="s">
        <v>1383</v>
      </c>
      <c r="B701" s="64" t="s">
        <v>1382</v>
      </c>
      <c r="C701" s="8" t="s">
        <v>4</v>
      </c>
      <c r="D701" s="8" t="s">
        <v>173</v>
      </c>
      <c r="E701" s="4">
        <v>330</v>
      </c>
    </row>
    <row r="702" spans="1:5" x14ac:dyDescent="0.2">
      <c r="A702" s="63" t="s">
        <v>1381</v>
      </c>
      <c r="B702" s="64" t="s">
        <v>1380</v>
      </c>
      <c r="C702" s="8" t="s">
        <v>4</v>
      </c>
      <c r="D702" s="8" t="s">
        <v>173</v>
      </c>
      <c r="E702" s="4">
        <v>660</v>
      </c>
    </row>
    <row r="703" spans="1:5" x14ac:dyDescent="0.2">
      <c r="A703" s="63" t="s">
        <v>1379</v>
      </c>
      <c r="B703" s="64" t="s">
        <v>1378</v>
      </c>
      <c r="C703" s="8" t="s">
        <v>4</v>
      </c>
      <c r="D703" s="8" t="s">
        <v>173</v>
      </c>
      <c r="E703" s="4">
        <v>19.39</v>
      </c>
    </row>
    <row r="704" spans="1:5" x14ac:dyDescent="0.2">
      <c r="A704" s="63" t="s">
        <v>1377</v>
      </c>
      <c r="B704" s="64" t="s">
        <v>1376</v>
      </c>
      <c r="C704" s="8" t="s">
        <v>4</v>
      </c>
      <c r="D704" s="8" t="s">
        <v>173</v>
      </c>
      <c r="E704" s="4">
        <v>13.36</v>
      </c>
    </row>
    <row r="705" spans="1:5" x14ac:dyDescent="0.2">
      <c r="A705" s="63" t="s">
        <v>1375</v>
      </c>
      <c r="B705" s="64" t="s">
        <v>1374</v>
      </c>
      <c r="C705" s="8" t="s">
        <v>4</v>
      </c>
      <c r="D705" s="8" t="s">
        <v>173</v>
      </c>
      <c r="E705" s="4">
        <v>20.81</v>
      </c>
    </row>
    <row r="706" spans="1:5" x14ac:dyDescent="0.2">
      <c r="A706" s="63" t="s">
        <v>1373</v>
      </c>
      <c r="B706" s="64" t="s">
        <v>1372</v>
      </c>
      <c r="C706" s="8" t="s">
        <v>4</v>
      </c>
      <c r="D706" s="8" t="s">
        <v>173</v>
      </c>
      <c r="E706" s="4">
        <v>32.630000000000003</v>
      </c>
    </row>
    <row r="707" spans="1:5" x14ac:dyDescent="0.2">
      <c r="A707" s="63" t="s">
        <v>1371</v>
      </c>
      <c r="B707" s="64" t="s">
        <v>1370</v>
      </c>
      <c r="C707" s="8" t="s">
        <v>4</v>
      </c>
      <c r="D707" s="8" t="s">
        <v>173</v>
      </c>
      <c r="E707" s="4">
        <v>24.09</v>
      </c>
    </row>
    <row r="708" spans="1:5" x14ac:dyDescent="0.2">
      <c r="A708" s="63" t="s">
        <v>1369</v>
      </c>
      <c r="B708" s="64" t="s">
        <v>1368</v>
      </c>
      <c r="C708" s="8" t="s">
        <v>4</v>
      </c>
      <c r="D708" s="8" t="s">
        <v>173</v>
      </c>
      <c r="E708" s="4">
        <v>19.93</v>
      </c>
    </row>
    <row r="709" spans="1:5" x14ac:dyDescent="0.2">
      <c r="A709" s="63" t="s">
        <v>1367</v>
      </c>
      <c r="B709" s="64" t="s">
        <v>1366</v>
      </c>
      <c r="C709" s="8" t="s">
        <v>4</v>
      </c>
      <c r="D709" s="8" t="s">
        <v>173</v>
      </c>
      <c r="E709" s="4">
        <v>21.85</v>
      </c>
    </row>
    <row r="710" spans="1:5" x14ac:dyDescent="0.2">
      <c r="A710" s="63" t="s">
        <v>1365</v>
      </c>
      <c r="B710" s="64" t="s">
        <v>1364</v>
      </c>
      <c r="C710" s="8" t="s">
        <v>4</v>
      </c>
      <c r="D710" s="8" t="s">
        <v>173</v>
      </c>
      <c r="E710" s="4">
        <v>18.899999999999999</v>
      </c>
    </row>
    <row r="711" spans="1:5" x14ac:dyDescent="0.2">
      <c r="A711" s="63" t="s">
        <v>1363</v>
      </c>
      <c r="B711" s="64" t="s">
        <v>1362</v>
      </c>
      <c r="C711" s="8" t="s">
        <v>4</v>
      </c>
      <c r="D711" s="8" t="s">
        <v>173</v>
      </c>
      <c r="E711" s="4">
        <v>19.93</v>
      </c>
    </row>
    <row r="712" spans="1:5" x14ac:dyDescent="0.2">
      <c r="A712" s="63" t="s">
        <v>1361</v>
      </c>
      <c r="B712" s="64" t="s">
        <v>1360</v>
      </c>
      <c r="C712" s="8" t="s">
        <v>4</v>
      </c>
      <c r="D712" s="8" t="s">
        <v>173</v>
      </c>
      <c r="E712" s="4">
        <v>20.65</v>
      </c>
    </row>
    <row r="713" spans="1:5" x14ac:dyDescent="0.2">
      <c r="A713" s="63" t="s">
        <v>1359</v>
      </c>
      <c r="B713" s="64" t="s">
        <v>1358</v>
      </c>
      <c r="C713" s="8" t="s">
        <v>4</v>
      </c>
      <c r="D713" s="8" t="s">
        <v>173</v>
      </c>
      <c r="E713" s="4">
        <v>25.19</v>
      </c>
    </row>
    <row r="714" spans="1:5" ht="25.5" x14ac:dyDescent="0.2">
      <c r="A714" s="63" t="s">
        <v>1357</v>
      </c>
      <c r="B714" s="64" t="s">
        <v>1356</v>
      </c>
      <c r="C714" s="8" t="s">
        <v>4</v>
      </c>
      <c r="D714" s="8" t="s">
        <v>173</v>
      </c>
      <c r="E714" s="4">
        <v>120.06</v>
      </c>
    </row>
    <row r="715" spans="1:5" ht="25.5" x14ac:dyDescent="0.2">
      <c r="A715" s="63" t="s">
        <v>1355</v>
      </c>
      <c r="B715" s="64" t="s">
        <v>1354</v>
      </c>
      <c r="C715" s="8" t="s">
        <v>4</v>
      </c>
      <c r="D715" s="8" t="s">
        <v>173</v>
      </c>
      <c r="E715" s="4">
        <v>27.84</v>
      </c>
    </row>
    <row r="716" spans="1:5" ht="25.5" x14ac:dyDescent="0.2">
      <c r="A716" s="63" t="s">
        <v>1353</v>
      </c>
      <c r="B716" s="64" t="s">
        <v>1352</v>
      </c>
      <c r="C716" s="8" t="s">
        <v>4</v>
      </c>
      <c r="D716" s="8" t="s">
        <v>173</v>
      </c>
      <c r="E716" s="4">
        <v>29.69</v>
      </c>
    </row>
    <row r="717" spans="1:5" x14ac:dyDescent="0.2">
      <c r="A717" s="63" t="s">
        <v>1351</v>
      </c>
      <c r="B717" s="64" t="s">
        <v>1350</v>
      </c>
      <c r="C717" s="8" t="s">
        <v>4</v>
      </c>
      <c r="D717" s="8" t="s">
        <v>173</v>
      </c>
      <c r="E717" s="4">
        <v>9</v>
      </c>
    </row>
    <row r="718" spans="1:5" ht="25.5" x14ac:dyDescent="0.2">
      <c r="A718" s="63" t="s">
        <v>1349</v>
      </c>
      <c r="B718" s="64" t="s">
        <v>1348</v>
      </c>
      <c r="C718" s="8" t="s">
        <v>4</v>
      </c>
      <c r="D718" s="8" t="s">
        <v>173</v>
      </c>
      <c r="E718" s="4">
        <v>23.81</v>
      </c>
    </row>
    <row r="719" spans="1:5" ht="25.5" x14ac:dyDescent="0.2">
      <c r="A719" s="63" t="s">
        <v>1347</v>
      </c>
      <c r="B719" s="64" t="s">
        <v>1346</v>
      </c>
      <c r="C719" s="8" t="s">
        <v>4</v>
      </c>
      <c r="D719" s="8" t="s">
        <v>173</v>
      </c>
      <c r="E719" s="4">
        <v>80.569999999999993</v>
      </c>
    </row>
    <row r="720" spans="1:5" x14ac:dyDescent="0.2">
      <c r="A720" s="63" t="s">
        <v>1345</v>
      </c>
      <c r="B720" s="64" t="s">
        <v>1344</v>
      </c>
      <c r="C720" s="8" t="s">
        <v>4</v>
      </c>
      <c r="D720" s="8" t="s">
        <v>3</v>
      </c>
      <c r="E720" s="4">
        <v>19.2</v>
      </c>
    </row>
    <row r="721" spans="1:5" x14ac:dyDescent="0.2">
      <c r="A721" s="63" t="s">
        <v>1343</v>
      </c>
      <c r="B721" s="64" t="s">
        <v>1342</v>
      </c>
      <c r="C721" s="8" t="s">
        <v>4</v>
      </c>
      <c r="D721" s="8" t="s">
        <v>173</v>
      </c>
      <c r="E721" s="4">
        <v>28.82</v>
      </c>
    </row>
    <row r="722" spans="1:5" ht="38.25" x14ac:dyDescent="0.2">
      <c r="A722" s="63" t="s">
        <v>1341</v>
      </c>
      <c r="B722" s="64" t="s">
        <v>1340</v>
      </c>
      <c r="C722" s="8" t="s">
        <v>4</v>
      </c>
      <c r="D722" s="8" t="s">
        <v>173</v>
      </c>
      <c r="E722" s="4">
        <v>0.6</v>
      </c>
    </row>
    <row r="723" spans="1:5" ht="25.5" x14ac:dyDescent="0.2">
      <c r="A723" s="63" t="s">
        <v>1339</v>
      </c>
      <c r="B723" s="64" t="s">
        <v>1338</v>
      </c>
      <c r="C723" s="8" t="s">
        <v>4</v>
      </c>
      <c r="D723" s="8" t="s">
        <v>173</v>
      </c>
      <c r="E723" s="4">
        <v>2.72</v>
      </c>
    </row>
    <row r="724" spans="1:5" ht="25.5" x14ac:dyDescent="0.2">
      <c r="A724" s="63" t="s">
        <v>1337</v>
      </c>
      <c r="B724" s="64" t="s">
        <v>1336</v>
      </c>
      <c r="C724" s="8" t="s">
        <v>4</v>
      </c>
      <c r="D724" s="8" t="s">
        <v>173</v>
      </c>
      <c r="E724" s="4">
        <v>4.8</v>
      </c>
    </row>
    <row r="725" spans="1:5" ht="25.5" x14ac:dyDescent="0.2">
      <c r="A725" s="63" t="s">
        <v>1335</v>
      </c>
      <c r="B725" s="64" t="s">
        <v>1334</v>
      </c>
      <c r="C725" s="8" t="s">
        <v>4</v>
      </c>
      <c r="D725" s="8" t="s">
        <v>173</v>
      </c>
      <c r="E725" s="4">
        <v>9</v>
      </c>
    </row>
    <row r="726" spans="1:5" ht="25.5" x14ac:dyDescent="0.2">
      <c r="A726" s="63" t="s">
        <v>1333</v>
      </c>
      <c r="B726" s="64" t="s">
        <v>1332</v>
      </c>
      <c r="C726" s="8" t="s">
        <v>143</v>
      </c>
      <c r="D726" s="8" t="s">
        <v>173</v>
      </c>
      <c r="E726" s="4">
        <v>24.01</v>
      </c>
    </row>
    <row r="727" spans="1:5" ht="25.5" x14ac:dyDescent="0.2">
      <c r="A727" s="63" t="s">
        <v>1331</v>
      </c>
      <c r="B727" s="64" t="s">
        <v>1330</v>
      </c>
      <c r="C727" s="8" t="s">
        <v>4</v>
      </c>
      <c r="D727" s="8" t="s">
        <v>173</v>
      </c>
      <c r="E727" s="4">
        <v>44</v>
      </c>
    </row>
    <row r="728" spans="1:5" ht="25.5" x14ac:dyDescent="0.2">
      <c r="A728" s="63" t="s">
        <v>1329</v>
      </c>
      <c r="B728" s="64" t="s">
        <v>1328</v>
      </c>
      <c r="C728" s="8" t="s">
        <v>4</v>
      </c>
      <c r="D728" s="8" t="s">
        <v>173</v>
      </c>
      <c r="E728" s="4">
        <v>44</v>
      </c>
    </row>
    <row r="729" spans="1:5" ht="25.5" x14ac:dyDescent="0.2">
      <c r="A729" s="63" t="s">
        <v>1327</v>
      </c>
      <c r="B729" s="64" t="s">
        <v>1326</v>
      </c>
      <c r="C729" s="8" t="s">
        <v>4</v>
      </c>
      <c r="D729" s="8" t="s">
        <v>173</v>
      </c>
      <c r="E729" s="4">
        <v>55</v>
      </c>
    </row>
    <row r="730" spans="1:5" ht="25.5" x14ac:dyDescent="0.2">
      <c r="A730" s="63" t="s">
        <v>1325</v>
      </c>
      <c r="B730" s="64" t="s">
        <v>1324</v>
      </c>
      <c r="C730" s="8" t="s">
        <v>4</v>
      </c>
      <c r="D730" s="8" t="s">
        <v>173</v>
      </c>
      <c r="E730" s="4">
        <v>110</v>
      </c>
    </row>
    <row r="731" spans="1:5" x14ac:dyDescent="0.2">
      <c r="A731" s="63" t="s">
        <v>1323</v>
      </c>
      <c r="B731" s="64" t="s">
        <v>1322</v>
      </c>
      <c r="C731" s="8" t="s">
        <v>4</v>
      </c>
      <c r="D731" s="8" t="s">
        <v>173</v>
      </c>
      <c r="E731" s="4">
        <v>16.5</v>
      </c>
    </row>
    <row r="732" spans="1:5" x14ac:dyDescent="0.2">
      <c r="A732" s="63" t="s">
        <v>1321</v>
      </c>
      <c r="B732" s="64" t="s">
        <v>1320</v>
      </c>
      <c r="C732" s="8" t="s">
        <v>4</v>
      </c>
      <c r="D732" s="8" t="s">
        <v>3</v>
      </c>
      <c r="E732" s="4">
        <v>1.37</v>
      </c>
    </row>
    <row r="733" spans="1:5" x14ac:dyDescent="0.2">
      <c r="A733" s="63" t="s">
        <v>1319</v>
      </c>
      <c r="B733" s="64" t="s">
        <v>1318</v>
      </c>
      <c r="C733" s="8" t="s">
        <v>4</v>
      </c>
      <c r="D733" s="8" t="s">
        <v>3</v>
      </c>
      <c r="E733" s="4">
        <v>16.5</v>
      </c>
    </row>
    <row r="734" spans="1:5" x14ac:dyDescent="0.2">
      <c r="A734" s="63" t="s">
        <v>1317</v>
      </c>
      <c r="B734" s="64" t="s">
        <v>1316</v>
      </c>
      <c r="C734" s="8" t="s">
        <v>4</v>
      </c>
      <c r="D734" s="8" t="s">
        <v>3</v>
      </c>
      <c r="E734" s="4">
        <v>8.8000000000000007</v>
      </c>
    </row>
    <row r="735" spans="1:5" x14ac:dyDescent="0.2">
      <c r="A735" s="63" t="s">
        <v>1315</v>
      </c>
      <c r="B735" s="64" t="s">
        <v>1314</v>
      </c>
      <c r="C735" s="8" t="s">
        <v>4</v>
      </c>
      <c r="D735" s="8" t="s">
        <v>3</v>
      </c>
      <c r="E735" s="4">
        <v>8.8000000000000007</v>
      </c>
    </row>
    <row r="736" spans="1:5" x14ac:dyDescent="0.2">
      <c r="A736" s="7" t="s">
        <v>1313</v>
      </c>
      <c r="B736" s="6" t="s">
        <v>1312</v>
      </c>
      <c r="C736" s="5"/>
      <c r="D736" s="5"/>
      <c r="E736" s="4">
        <v>0</v>
      </c>
    </row>
    <row r="737" spans="1:5" ht="25.5" x14ac:dyDescent="0.2">
      <c r="A737" s="63" t="s">
        <v>1311</v>
      </c>
      <c r="B737" s="64" t="s">
        <v>1310</v>
      </c>
      <c r="C737" s="8" t="s">
        <v>136</v>
      </c>
      <c r="D737" s="8" t="s">
        <v>173</v>
      </c>
      <c r="E737" s="4">
        <v>36.020000000000003</v>
      </c>
    </row>
    <row r="738" spans="1:5" x14ac:dyDescent="0.2">
      <c r="A738" s="63" t="s">
        <v>1309</v>
      </c>
      <c r="B738" s="64" t="s">
        <v>1308</v>
      </c>
      <c r="C738" s="8" t="s">
        <v>136</v>
      </c>
      <c r="D738" s="8" t="s">
        <v>173</v>
      </c>
      <c r="E738" s="4">
        <v>36.020000000000003</v>
      </c>
    </row>
    <row r="739" spans="1:5" x14ac:dyDescent="0.2">
      <c r="A739" s="63" t="s">
        <v>1307</v>
      </c>
      <c r="B739" s="64" t="s">
        <v>1306</v>
      </c>
      <c r="C739" s="8" t="s">
        <v>136</v>
      </c>
      <c r="D739" s="8" t="s">
        <v>173</v>
      </c>
      <c r="E739" s="4">
        <v>30.01</v>
      </c>
    </row>
    <row r="740" spans="1:5" x14ac:dyDescent="0.2">
      <c r="A740" s="63" t="s">
        <v>1305</v>
      </c>
      <c r="B740" s="64" t="s">
        <v>1304</v>
      </c>
      <c r="C740" s="8" t="s">
        <v>136</v>
      </c>
      <c r="D740" s="8" t="s">
        <v>173</v>
      </c>
      <c r="E740" s="4">
        <v>30.01</v>
      </c>
    </row>
    <row r="741" spans="1:5" ht="25.5" x14ac:dyDescent="0.2">
      <c r="A741" s="63" t="s">
        <v>1303</v>
      </c>
      <c r="B741" s="64" t="s">
        <v>1302</v>
      </c>
      <c r="C741" s="8" t="s">
        <v>136</v>
      </c>
      <c r="D741" s="8" t="s">
        <v>173</v>
      </c>
      <c r="E741" s="4">
        <v>48.02</v>
      </c>
    </row>
    <row r="742" spans="1:5" ht="25.5" x14ac:dyDescent="0.2">
      <c r="A742" s="63" t="s">
        <v>1301</v>
      </c>
      <c r="B742" s="64" t="s">
        <v>1300</v>
      </c>
      <c r="C742" s="8" t="s">
        <v>136</v>
      </c>
      <c r="D742" s="8" t="s">
        <v>173</v>
      </c>
      <c r="E742" s="4">
        <v>48.02</v>
      </c>
    </row>
    <row r="743" spans="1:5" ht="25.5" x14ac:dyDescent="0.2">
      <c r="A743" s="63" t="s">
        <v>1299</v>
      </c>
      <c r="B743" s="64" t="s">
        <v>1298</v>
      </c>
      <c r="C743" s="8" t="s">
        <v>136</v>
      </c>
      <c r="D743" s="8" t="s">
        <v>173</v>
      </c>
      <c r="E743" s="4">
        <v>30.01</v>
      </c>
    </row>
    <row r="744" spans="1:5" x14ac:dyDescent="0.2">
      <c r="A744" s="63" t="s">
        <v>1297</v>
      </c>
      <c r="B744" s="64" t="s">
        <v>1290</v>
      </c>
      <c r="C744" s="8" t="s">
        <v>136</v>
      </c>
      <c r="D744" s="8" t="s">
        <v>173</v>
      </c>
      <c r="E744" s="4">
        <v>32.49</v>
      </c>
    </row>
    <row r="745" spans="1:5" x14ac:dyDescent="0.2">
      <c r="A745" s="63" t="s">
        <v>1296</v>
      </c>
      <c r="B745" s="64" t="s">
        <v>1288</v>
      </c>
      <c r="C745" s="8" t="s">
        <v>136</v>
      </c>
      <c r="D745" s="8" t="s">
        <v>173</v>
      </c>
      <c r="E745" s="4">
        <v>30.01</v>
      </c>
    </row>
    <row r="746" spans="1:5" x14ac:dyDescent="0.2">
      <c r="A746" s="63" t="s">
        <v>1295</v>
      </c>
      <c r="B746" s="64" t="s">
        <v>1286</v>
      </c>
      <c r="C746" s="8" t="s">
        <v>136</v>
      </c>
      <c r="D746" s="8" t="s">
        <v>173</v>
      </c>
      <c r="E746" s="4">
        <v>30.01</v>
      </c>
    </row>
    <row r="747" spans="1:5" x14ac:dyDescent="0.2">
      <c r="A747" s="63" t="s">
        <v>1294</v>
      </c>
      <c r="B747" s="64" t="s">
        <v>1284</v>
      </c>
      <c r="C747" s="8" t="s">
        <v>136</v>
      </c>
      <c r="D747" s="8" t="s">
        <v>173</v>
      </c>
      <c r="E747" s="4">
        <v>30.01</v>
      </c>
    </row>
    <row r="748" spans="1:5" ht="25.5" x14ac:dyDescent="0.2">
      <c r="A748" s="63" t="s">
        <v>1293</v>
      </c>
      <c r="B748" s="64" t="s">
        <v>1292</v>
      </c>
      <c r="C748" s="8" t="s">
        <v>136</v>
      </c>
      <c r="D748" s="8" t="s">
        <v>173</v>
      </c>
      <c r="E748" s="4">
        <v>48.02</v>
      </c>
    </row>
    <row r="749" spans="1:5" x14ac:dyDescent="0.2">
      <c r="A749" s="63" t="s">
        <v>1291</v>
      </c>
      <c r="B749" s="64" t="s">
        <v>1290</v>
      </c>
      <c r="C749" s="8" t="s">
        <v>136</v>
      </c>
      <c r="D749" s="8" t="s">
        <v>173</v>
      </c>
      <c r="E749" s="4">
        <v>48.02</v>
      </c>
    </row>
    <row r="750" spans="1:5" x14ac:dyDescent="0.2">
      <c r="A750" s="63" t="s">
        <v>1289</v>
      </c>
      <c r="B750" s="64" t="s">
        <v>1288</v>
      </c>
      <c r="C750" s="8" t="s">
        <v>136</v>
      </c>
      <c r="D750" s="8" t="s">
        <v>173</v>
      </c>
      <c r="E750" s="4">
        <v>48.02</v>
      </c>
    </row>
    <row r="751" spans="1:5" x14ac:dyDescent="0.2">
      <c r="A751" s="63" t="s">
        <v>1287</v>
      </c>
      <c r="B751" s="64" t="s">
        <v>1286</v>
      </c>
      <c r="C751" s="8" t="s">
        <v>136</v>
      </c>
      <c r="D751" s="8" t="s">
        <v>173</v>
      </c>
      <c r="E751" s="4">
        <v>48.02</v>
      </c>
    </row>
    <row r="752" spans="1:5" x14ac:dyDescent="0.2">
      <c r="A752" s="63" t="s">
        <v>1285</v>
      </c>
      <c r="B752" s="64" t="s">
        <v>1284</v>
      </c>
      <c r="C752" s="8" t="s">
        <v>136</v>
      </c>
      <c r="D752" s="8" t="s">
        <v>173</v>
      </c>
      <c r="E752" s="4">
        <v>48.02</v>
      </c>
    </row>
    <row r="753" spans="1:5" ht="25.5" x14ac:dyDescent="0.2">
      <c r="A753" s="63" t="s">
        <v>1283</v>
      </c>
      <c r="B753" s="64" t="s">
        <v>1282</v>
      </c>
      <c r="C753" s="8" t="s">
        <v>4</v>
      </c>
      <c r="D753" s="8" t="s">
        <v>173</v>
      </c>
      <c r="E753" s="4">
        <v>180.1</v>
      </c>
    </row>
    <row r="754" spans="1:5" x14ac:dyDescent="0.2">
      <c r="A754" s="63" t="s">
        <v>1281</v>
      </c>
      <c r="B754" s="64" t="s">
        <v>1280</v>
      </c>
      <c r="C754" s="8" t="s">
        <v>4</v>
      </c>
      <c r="D754" s="8" t="s">
        <v>173</v>
      </c>
      <c r="E754" s="4">
        <v>180.1</v>
      </c>
    </row>
    <row r="755" spans="1:5" x14ac:dyDescent="0.2">
      <c r="A755" s="63" t="s">
        <v>1279</v>
      </c>
      <c r="B755" s="64" t="s">
        <v>1278</v>
      </c>
      <c r="C755" s="8" t="s">
        <v>4</v>
      </c>
      <c r="D755" s="8" t="s">
        <v>173</v>
      </c>
      <c r="E755" s="4">
        <v>180.1</v>
      </c>
    </row>
    <row r="756" spans="1:5" x14ac:dyDescent="0.2">
      <c r="A756" s="63" t="s">
        <v>1277</v>
      </c>
      <c r="B756" s="64" t="s">
        <v>1276</v>
      </c>
      <c r="C756" s="8" t="s">
        <v>4</v>
      </c>
      <c r="D756" s="8" t="s">
        <v>173</v>
      </c>
      <c r="E756" s="4">
        <v>180.1</v>
      </c>
    </row>
    <row r="757" spans="1:5" ht="25.5" x14ac:dyDescent="0.2">
      <c r="A757" s="63" t="s">
        <v>1275</v>
      </c>
      <c r="B757" s="64" t="s">
        <v>1271</v>
      </c>
      <c r="C757" s="8" t="s">
        <v>136</v>
      </c>
      <c r="D757" s="8" t="s">
        <v>173</v>
      </c>
      <c r="E757" s="4">
        <v>39.01</v>
      </c>
    </row>
    <row r="758" spans="1:5" ht="25.5" x14ac:dyDescent="0.2">
      <c r="A758" s="63" t="s">
        <v>1274</v>
      </c>
      <c r="B758" s="64" t="s">
        <v>1273</v>
      </c>
      <c r="C758" s="8" t="s">
        <v>136</v>
      </c>
      <c r="D758" s="8" t="s">
        <v>173</v>
      </c>
      <c r="E758" s="4">
        <v>39.01</v>
      </c>
    </row>
    <row r="759" spans="1:5" ht="25.5" x14ac:dyDescent="0.2">
      <c r="A759" s="63" t="s">
        <v>1272</v>
      </c>
      <c r="B759" s="64" t="s">
        <v>1271</v>
      </c>
      <c r="C759" s="8" t="s">
        <v>136</v>
      </c>
      <c r="D759" s="8" t="s">
        <v>173</v>
      </c>
      <c r="E759" s="4">
        <v>39.01</v>
      </c>
    </row>
    <row r="760" spans="1:5" ht="25.5" x14ac:dyDescent="0.2">
      <c r="A760" s="63" t="s">
        <v>1270</v>
      </c>
      <c r="B760" s="64" t="s">
        <v>1269</v>
      </c>
      <c r="C760" s="8" t="s">
        <v>136</v>
      </c>
      <c r="D760" s="8" t="s">
        <v>173</v>
      </c>
      <c r="E760" s="4">
        <v>42.98</v>
      </c>
    </row>
    <row r="761" spans="1:5" x14ac:dyDescent="0.2">
      <c r="A761" s="63" t="s">
        <v>1268</v>
      </c>
      <c r="B761" s="64" t="s">
        <v>1267</v>
      </c>
      <c r="C761" s="8" t="s">
        <v>4</v>
      </c>
      <c r="D761" s="8" t="s">
        <v>173</v>
      </c>
      <c r="E761" s="4">
        <v>30.96</v>
      </c>
    </row>
    <row r="762" spans="1:5" x14ac:dyDescent="0.2">
      <c r="A762" s="7" t="s">
        <v>1266</v>
      </c>
      <c r="B762" s="6" t="s">
        <v>1265</v>
      </c>
      <c r="C762" s="5"/>
      <c r="D762" s="5"/>
      <c r="E762" s="4">
        <v>0</v>
      </c>
    </row>
    <row r="763" spans="1:5" ht="38.25" x14ac:dyDescent="0.2">
      <c r="A763" s="63" t="s">
        <v>1264</v>
      </c>
      <c r="B763" s="64" t="s">
        <v>1263</v>
      </c>
      <c r="C763" s="8" t="s">
        <v>4</v>
      </c>
      <c r="D763" s="8" t="s">
        <v>173</v>
      </c>
      <c r="E763" s="4">
        <v>42.02</v>
      </c>
    </row>
    <row r="764" spans="1:5" x14ac:dyDescent="0.2">
      <c r="A764" s="63" t="s">
        <v>1262</v>
      </c>
      <c r="B764" s="64" t="s">
        <v>1256</v>
      </c>
      <c r="C764" s="8" t="s">
        <v>4</v>
      </c>
      <c r="D764" s="8" t="s">
        <v>173</v>
      </c>
      <c r="E764" s="4">
        <v>53.02</v>
      </c>
    </row>
    <row r="765" spans="1:5" ht="25.5" x14ac:dyDescent="0.2">
      <c r="A765" s="63" t="s">
        <v>1261</v>
      </c>
      <c r="B765" s="64" t="s">
        <v>1260</v>
      </c>
      <c r="C765" s="8" t="s">
        <v>143</v>
      </c>
      <c r="D765" s="8" t="s">
        <v>173</v>
      </c>
      <c r="E765" s="4">
        <v>180.1</v>
      </c>
    </row>
    <row r="766" spans="1:5" ht="38.25" x14ac:dyDescent="0.2">
      <c r="A766" s="63" t="s">
        <v>1259</v>
      </c>
      <c r="B766" s="64" t="s">
        <v>1258</v>
      </c>
      <c r="C766" s="8" t="s">
        <v>4</v>
      </c>
      <c r="D766" s="8" t="s">
        <v>173</v>
      </c>
      <c r="E766" s="4">
        <v>21.01</v>
      </c>
    </row>
    <row r="767" spans="1:5" x14ac:dyDescent="0.2">
      <c r="A767" s="63" t="s">
        <v>1257</v>
      </c>
      <c r="B767" s="64" t="s">
        <v>1256</v>
      </c>
      <c r="C767" s="8" t="s">
        <v>4</v>
      </c>
      <c r="D767" s="8" t="s">
        <v>173</v>
      </c>
      <c r="E767" s="4">
        <v>32.01</v>
      </c>
    </row>
    <row r="768" spans="1:5" ht="25.5" x14ac:dyDescent="0.2">
      <c r="A768" s="63" t="s">
        <v>1255</v>
      </c>
      <c r="B768" s="64" t="s">
        <v>1254</v>
      </c>
      <c r="C768" s="8" t="s">
        <v>136</v>
      </c>
      <c r="D768" s="8" t="s">
        <v>173</v>
      </c>
      <c r="E768" s="4">
        <v>440</v>
      </c>
    </row>
    <row r="769" spans="1:5" ht="25.5" x14ac:dyDescent="0.2">
      <c r="A769" s="63" t="s">
        <v>1253</v>
      </c>
      <c r="B769" s="64" t="s">
        <v>1252</v>
      </c>
      <c r="C769" s="8" t="s">
        <v>4</v>
      </c>
      <c r="D769" s="8" t="s">
        <v>173</v>
      </c>
      <c r="E769" s="4">
        <v>25.17</v>
      </c>
    </row>
    <row r="770" spans="1:5" x14ac:dyDescent="0.2">
      <c r="A770" s="63" t="s">
        <v>1251</v>
      </c>
      <c r="B770" s="64" t="s">
        <v>1250</v>
      </c>
      <c r="C770" s="8" t="s">
        <v>4</v>
      </c>
      <c r="D770" s="8" t="s">
        <v>173</v>
      </c>
      <c r="E770" s="4">
        <v>42.02</v>
      </c>
    </row>
    <row r="771" spans="1:5" x14ac:dyDescent="0.2">
      <c r="A771" s="63" t="s">
        <v>1249</v>
      </c>
      <c r="B771" s="64" t="s">
        <v>1248</v>
      </c>
      <c r="C771" s="8" t="s">
        <v>4</v>
      </c>
      <c r="D771" s="8" t="s">
        <v>173</v>
      </c>
      <c r="E771" s="4">
        <v>44.54</v>
      </c>
    </row>
    <row r="772" spans="1:5" ht="25.5" x14ac:dyDescent="0.2">
      <c r="A772" s="63" t="s">
        <v>1247</v>
      </c>
      <c r="B772" s="64" t="s">
        <v>1246</v>
      </c>
      <c r="C772" s="8" t="s">
        <v>4</v>
      </c>
      <c r="D772" s="8" t="s">
        <v>160</v>
      </c>
      <c r="E772" s="4">
        <v>54.03</v>
      </c>
    </row>
    <row r="773" spans="1:5" ht="25.5" x14ac:dyDescent="0.2">
      <c r="A773" s="63" t="s">
        <v>1245</v>
      </c>
      <c r="B773" s="64" t="s">
        <v>1244</v>
      </c>
      <c r="C773" s="8" t="s">
        <v>4</v>
      </c>
      <c r="D773" s="8" t="s">
        <v>160</v>
      </c>
      <c r="E773" s="4">
        <v>24.01</v>
      </c>
    </row>
    <row r="774" spans="1:5" ht="38.25" x14ac:dyDescent="0.2">
      <c r="A774" s="63" t="s">
        <v>1243</v>
      </c>
      <c r="B774" s="64" t="s">
        <v>1242</v>
      </c>
      <c r="C774" s="8" t="s">
        <v>4</v>
      </c>
      <c r="D774" s="8" t="s">
        <v>173</v>
      </c>
      <c r="E774" s="4">
        <v>240.13</v>
      </c>
    </row>
    <row r="775" spans="1:5" ht="25.5" x14ac:dyDescent="0.2">
      <c r="A775" s="63" t="s">
        <v>1241</v>
      </c>
      <c r="B775" s="64" t="s">
        <v>1240</v>
      </c>
      <c r="C775" s="8" t="s">
        <v>4</v>
      </c>
      <c r="D775" s="8" t="s">
        <v>173</v>
      </c>
      <c r="E775" s="4">
        <v>9.07</v>
      </c>
    </row>
    <row r="776" spans="1:5" x14ac:dyDescent="0.2">
      <c r="A776" s="63" t="s">
        <v>1239</v>
      </c>
      <c r="B776" s="64" t="s">
        <v>1238</v>
      </c>
      <c r="C776" s="8" t="s">
        <v>4</v>
      </c>
      <c r="D776" s="8" t="s">
        <v>173</v>
      </c>
      <c r="E776" s="4">
        <v>17.89</v>
      </c>
    </row>
    <row r="777" spans="1:5" ht="25.5" x14ac:dyDescent="0.2">
      <c r="A777" s="63" t="s">
        <v>1237</v>
      </c>
      <c r="B777" s="64" t="s">
        <v>1236</v>
      </c>
      <c r="C777" s="8" t="s">
        <v>4</v>
      </c>
      <c r="D777" s="8" t="s">
        <v>173</v>
      </c>
      <c r="E777" s="4">
        <v>24.01</v>
      </c>
    </row>
    <row r="778" spans="1:5" x14ac:dyDescent="0.2">
      <c r="A778" s="63" t="s">
        <v>1235</v>
      </c>
      <c r="B778" s="64" t="s">
        <v>1234</v>
      </c>
      <c r="C778" s="8" t="s">
        <v>4</v>
      </c>
      <c r="D778" s="8" t="s">
        <v>173</v>
      </c>
      <c r="E778" s="4">
        <v>24.01</v>
      </c>
    </row>
    <row r="779" spans="1:5" x14ac:dyDescent="0.2">
      <c r="A779" s="63" t="s">
        <v>1233</v>
      </c>
      <c r="B779" s="64" t="s">
        <v>1232</v>
      </c>
      <c r="C779" s="8" t="s">
        <v>4</v>
      </c>
      <c r="D779" s="8" t="s">
        <v>173</v>
      </c>
      <c r="E779" s="4">
        <v>24.01</v>
      </c>
    </row>
    <row r="780" spans="1:5" ht="25.5" x14ac:dyDescent="0.2">
      <c r="A780" s="63" t="s">
        <v>1231</v>
      </c>
      <c r="B780" s="64" t="s">
        <v>1230</v>
      </c>
      <c r="C780" s="8" t="s">
        <v>4</v>
      </c>
      <c r="D780" s="8" t="s">
        <v>173</v>
      </c>
      <c r="E780" s="4">
        <v>18</v>
      </c>
    </row>
    <row r="781" spans="1:5" ht="102" x14ac:dyDescent="0.2">
      <c r="A781" s="63" t="s">
        <v>1229</v>
      </c>
      <c r="B781" s="64" t="s">
        <v>1228</v>
      </c>
      <c r="C781" s="8" t="s">
        <v>4</v>
      </c>
      <c r="D781" s="8" t="s">
        <v>160</v>
      </c>
      <c r="E781" s="4">
        <v>119.06</v>
      </c>
    </row>
    <row r="782" spans="1:5" ht="114.75" x14ac:dyDescent="0.2">
      <c r="A782" s="63" t="s">
        <v>1227</v>
      </c>
      <c r="B782" s="64" t="s">
        <v>1226</v>
      </c>
      <c r="C782" s="8" t="s">
        <v>4</v>
      </c>
      <c r="D782" s="8" t="s">
        <v>160</v>
      </c>
      <c r="E782" s="4">
        <v>119.06</v>
      </c>
    </row>
    <row r="783" spans="1:5" ht="102" x14ac:dyDescent="0.2">
      <c r="A783" s="63" t="s">
        <v>1225</v>
      </c>
      <c r="B783" s="64" t="s">
        <v>1224</v>
      </c>
      <c r="C783" s="8" t="s">
        <v>4</v>
      </c>
      <c r="D783" s="8" t="s">
        <v>160</v>
      </c>
      <c r="E783" s="4">
        <v>119.06</v>
      </c>
    </row>
    <row r="784" spans="1:5" x14ac:dyDescent="0.2">
      <c r="A784" s="7" t="s">
        <v>1223</v>
      </c>
      <c r="B784" s="6" t="s">
        <v>1222</v>
      </c>
      <c r="C784" s="5"/>
      <c r="D784" s="5"/>
      <c r="E784" s="4">
        <v>0</v>
      </c>
    </row>
    <row r="785" spans="1:5" ht="25.5" x14ac:dyDescent="0.2">
      <c r="A785" s="63" t="s">
        <v>1221</v>
      </c>
      <c r="B785" s="64" t="s">
        <v>1220</v>
      </c>
      <c r="C785" s="8" t="s">
        <v>136</v>
      </c>
      <c r="D785" s="8" t="s">
        <v>160</v>
      </c>
      <c r="E785" s="4">
        <v>48.02</v>
      </c>
    </row>
    <row r="786" spans="1:5" x14ac:dyDescent="0.2">
      <c r="A786" s="63" t="s">
        <v>1219</v>
      </c>
      <c r="B786" s="64" t="s">
        <v>1209</v>
      </c>
      <c r="C786" s="8" t="s">
        <v>136</v>
      </c>
      <c r="D786" s="8" t="s">
        <v>160</v>
      </c>
      <c r="E786" s="4">
        <v>54.03</v>
      </c>
    </row>
    <row r="787" spans="1:5" x14ac:dyDescent="0.2">
      <c r="A787" s="63" t="s">
        <v>1218</v>
      </c>
      <c r="B787" s="64" t="s">
        <v>1207</v>
      </c>
      <c r="C787" s="8" t="s">
        <v>136</v>
      </c>
      <c r="D787" s="8" t="s">
        <v>160</v>
      </c>
      <c r="E787" s="4">
        <v>60.03</v>
      </c>
    </row>
    <row r="788" spans="1:5" x14ac:dyDescent="0.2">
      <c r="A788" s="63" t="s">
        <v>1217</v>
      </c>
      <c r="B788" s="64" t="s">
        <v>1205</v>
      </c>
      <c r="C788" s="8" t="s">
        <v>136</v>
      </c>
      <c r="D788" s="8" t="s">
        <v>160</v>
      </c>
      <c r="E788" s="4">
        <v>72.03</v>
      </c>
    </row>
    <row r="789" spans="1:5" x14ac:dyDescent="0.2">
      <c r="A789" s="63" t="s">
        <v>1216</v>
      </c>
      <c r="B789" s="64" t="s">
        <v>1203</v>
      </c>
      <c r="C789" s="8" t="s">
        <v>136</v>
      </c>
      <c r="D789" s="8" t="s">
        <v>160</v>
      </c>
      <c r="E789" s="4">
        <v>48.02</v>
      </c>
    </row>
    <row r="790" spans="1:5" x14ac:dyDescent="0.2">
      <c r="A790" s="63" t="s">
        <v>1215</v>
      </c>
      <c r="B790" s="64" t="s">
        <v>1201</v>
      </c>
      <c r="C790" s="8" t="s">
        <v>136</v>
      </c>
      <c r="D790" s="8" t="s">
        <v>160</v>
      </c>
      <c r="E790" s="4">
        <v>48.02</v>
      </c>
    </row>
    <row r="791" spans="1:5" x14ac:dyDescent="0.2">
      <c r="A791" s="63" t="s">
        <v>1214</v>
      </c>
      <c r="B791" s="64" t="s">
        <v>1199</v>
      </c>
      <c r="C791" s="8" t="s">
        <v>136</v>
      </c>
      <c r="D791" s="8" t="s">
        <v>160</v>
      </c>
      <c r="E791" s="4">
        <v>54.03</v>
      </c>
    </row>
    <row r="792" spans="1:5" x14ac:dyDescent="0.2">
      <c r="A792" s="63" t="s">
        <v>1213</v>
      </c>
      <c r="B792" s="64" t="s">
        <v>1197</v>
      </c>
      <c r="C792" s="8" t="s">
        <v>136</v>
      </c>
      <c r="D792" s="8" t="s">
        <v>160</v>
      </c>
      <c r="E792" s="4">
        <v>54.03</v>
      </c>
    </row>
    <row r="793" spans="1:5" ht="25.5" x14ac:dyDescent="0.2">
      <c r="A793" s="63" t="s">
        <v>1212</v>
      </c>
      <c r="B793" s="64" t="s">
        <v>1211</v>
      </c>
      <c r="C793" s="8" t="s">
        <v>136</v>
      </c>
      <c r="D793" s="8" t="s">
        <v>160</v>
      </c>
      <c r="E793" s="4">
        <v>35.99</v>
      </c>
    </row>
    <row r="794" spans="1:5" x14ac:dyDescent="0.2">
      <c r="A794" s="63" t="s">
        <v>1210</v>
      </c>
      <c r="B794" s="64" t="s">
        <v>1209</v>
      </c>
      <c r="C794" s="8" t="s">
        <v>136</v>
      </c>
      <c r="D794" s="8" t="s">
        <v>160</v>
      </c>
      <c r="E794" s="4">
        <v>50.47</v>
      </c>
    </row>
    <row r="795" spans="1:5" x14ac:dyDescent="0.2">
      <c r="A795" s="63" t="s">
        <v>1208</v>
      </c>
      <c r="B795" s="64" t="s">
        <v>1207</v>
      </c>
      <c r="C795" s="8" t="s">
        <v>136</v>
      </c>
      <c r="D795" s="8" t="s">
        <v>160</v>
      </c>
      <c r="E795" s="4">
        <v>57.35</v>
      </c>
    </row>
    <row r="796" spans="1:5" x14ac:dyDescent="0.2">
      <c r="A796" s="63" t="s">
        <v>1206</v>
      </c>
      <c r="B796" s="64" t="s">
        <v>1205</v>
      </c>
      <c r="C796" s="8" t="s">
        <v>136</v>
      </c>
      <c r="D796" s="8" t="s">
        <v>160</v>
      </c>
      <c r="E796" s="4">
        <v>69.05</v>
      </c>
    </row>
    <row r="797" spans="1:5" x14ac:dyDescent="0.2">
      <c r="A797" s="63" t="s">
        <v>1204</v>
      </c>
      <c r="B797" s="64" t="s">
        <v>1203</v>
      </c>
      <c r="C797" s="8" t="s">
        <v>136</v>
      </c>
      <c r="D797" s="8" t="s">
        <v>160</v>
      </c>
      <c r="E797" s="4">
        <v>44.11</v>
      </c>
    </row>
    <row r="798" spans="1:5" x14ac:dyDescent="0.2">
      <c r="A798" s="63" t="s">
        <v>1202</v>
      </c>
      <c r="B798" s="64" t="s">
        <v>1201</v>
      </c>
      <c r="C798" s="8" t="s">
        <v>136</v>
      </c>
      <c r="D798" s="8" t="s">
        <v>160</v>
      </c>
      <c r="E798" s="4">
        <v>31.1</v>
      </c>
    </row>
    <row r="799" spans="1:5" x14ac:dyDescent="0.2">
      <c r="A799" s="63" t="s">
        <v>1200</v>
      </c>
      <c r="B799" s="64" t="s">
        <v>1199</v>
      </c>
      <c r="C799" s="8" t="s">
        <v>136</v>
      </c>
      <c r="D799" s="8" t="s">
        <v>160</v>
      </c>
      <c r="E799" s="4">
        <v>42.75</v>
      </c>
    </row>
    <row r="800" spans="1:5" x14ac:dyDescent="0.2">
      <c r="A800" s="63" t="s">
        <v>1198</v>
      </c>
      <c r="B800" s="64" t="s">
        <v>1197</v>
      </c>
      <c r="C800" s="8" t="s">
        <v>136</v>
      </c>
      <c r="D800" s="8" t="s">
        <v>160</v>
      </c>
      <c r="E800" s="4">
        <v>51.41</v>
      </c>
    </row>
    <row r="801" spans="1:5" ht="25.5" x14ac:dyDescent="0.2">
      <c r="A801" s="63" t="s">
        <v>1196</v>
      </c>
      <c r="B801" s="64" t="s">
        <v>1195</v>
      </c>
      <c r="C801" s="8" t="s">
        <v>136</v>
      </c>
      <c r="D801" s="8" t="s">
        <v>160</v>
      </c>
      <c r="E801" s="4">
        <v>89.47</v>
      </c>
    </row>
    <row r="802" spans="1:5" x14ac:dyDescent="0.2">
      <c r="A802" s="63" t="s">
        <v>1194</v>
      </c>
      <c r="B802" s="64" t="s">
        <v>1185</v>
      </c>
      <c r="C802" s="8" t="s">
        <v>136</v>
      </c>
      <c r="D802" s="8" t="s">
        <v>160</v>
      </c>
      <c r="E802" s="4">
        <v>108.06</v>
      </c>
    </row>
    <row r="803" spans="1:5" x14ac:dyDescent="0.2">
      <c r="A803" s="63" t="s">
        <v>1193</v>
      </c>
      <c r="B803" s="64" t="s">
        <v>1183</v>
      </c>
      <c r="C803" s="8" t="s">
        <v>136</v>
      </c>
      <c r="D803" s="8" t="s">
        <v>160</v>
      </c>
      <c r="E803" s="4">
        <v>84.05</v>
      </c>
    </row>
    <row r="804" spans="1:5" x14ac:dyDescent="0.2">
      <c r="A804" s="63" t="s">
        <v>1192</v>
      </c>
      <c r="B804" s="64" t="s">
        <v>1181</v>
      </c>
      <c r="C804" s="8" t="s">
        <v>136</v>
      </c>
      <c r="D804" s="8" t="s">
        <v>160</v>
      </c>
      <c r="E804" s="4">
        <v>90.04</v>
      </c>
    </row>
    <row r="805" spans="1:5" x14ac:dyDescent="0.2">
      <c r="A805" s="63" t="s">
        <v>1191</v>
      </c>
      <c r="B805" s="64" t="s">
        <v>1179</v>
      </c>
      <c r="C805" s="8" t="s">
        <v>136</v>
      </c>
      <c r="D805" s="8" t="s">
        <v>160</v>
      </c>
      <c r="E805" s="4">
        <v>96.05</v>
      </c>
    </row>
    <row r="806" spans="1:5" ht="25.5" x14ac:dyDescent="0.2">
      <c r="A806" s="63" t="s">
        <v>1190</v>
      </c>
      <c r="B806" s="64" t="s">
        <v>1189</v>
      </c>
      <c r="C806" s="8" t="s">
        <v>136</v>
      </c>
      <c r="D806" s="8" t="s">
        <v>160</v>
      </c>
      <c r="E806" s="4">
        <v>33</v>
      </c>
    </row>
    <row r="807" spans="1:5" x14ac:dyDescent="0.2">
      <c r="A807" s="63" t="s">
        <v>1188</v>
      </c>
      <c r="B807" s="64" t="s">
        <v>1187</v>
      </c>
      <c r="C807" s="8" t="s">
        <v>136</v>
      </c>
      <c r="D807" s="8" t="s">
        <v>160</v>
      </c>
      <c r="E807" s="4">
        <v>70.53</v>
      </c>
    </row>
    <row r="808" spans="1:5" x14ac:dyDescent="0.2">
      <c r="A808" s="63" t="s">
        <v>1186</v>
      </c>
      <c r="B808" s="64" t="s">
        <v>1185</v>
      </c>
      <c r="C808" s="8" t="s">
        <v>136</v>
      </c>
      <c r="D808" s="8" t="s">
        <v>160</v>
      </c>
      <c r="E808" s="4">
        <v>78.81</v>
      </c>
    </row>
    <row r="809" spans="1:5" x14ac:dyDescent="0.2">
      <c r="A809" s="63" t="s">
        <v>1184</v>
      </c>
      <c r="B809" s="64" t="s">
        <v>1183</v>
      </c>
      <c r="C809" s="8" t="s">
        <v>136</v>
      </c>
      <c r="D809" s="8" t="s">
        <v>160</v>
      </c>
      <c r="E809" s="4">
        <v>62.22</v>
      </c>
    </row>
    <row r="810" spans="1:5" x14ac:dyDescent="0.2">
      <c r="A810" s="63" t="s">
        <v>1182</v>
      </c>
      <c r="B810" s="64" t="s">
        <v>1181</v>
      </c>
      <c r="C810" s="8" t="s">
        <v>136</v>
      </c>
      <c r="D810" s="8" t="s">
        <v>160</v>
      </c>
      <c r="E810" s="4">
        <v>66.88</v>
      </c>
    </row>
    <row r="811" spans="1:5" x14ac:dyDescent="0.2">
      <c r="A811" s="63" t="s">
        <v>1180</v>
      </c>
      <c r="B811" s="64" t="s">
        <v>1179</v>
      </c>
      <c r="C811" s="8" t="s">
        <v>136</v>
      </c>
      <c r="D811" s="8" t="s">
        <v>160</v>
      </c>
      <c r="E811" s="4">
        <v>71.53</v>
      </c>
    </row>
    <row r="812" spans="1:5" ht="25.5" x14ac:dyDescent="0.2">
      <c r="A812" s="63" t="s">
        <v>1178</v>
      </c>
      <c r="B812" s="64" t="s">
        <v>1177</v>
      </c>
      <c r="C812" s="8" t="s">
        <v>136</v>
      </c>
      <c r="D812" s="8" t="s">
        <v>160</v>
      </c>
      <c r="E812" s="4">
        <v>50.74</v>
      </c>
    </row>
    <row r="813" spans="1:5" ht="25.5" x14ac:dyDescent="0.2">
      <c r="A813" s="63" t="s">
        <v>1176</v>
      </c>
      <c r="B813" s="64" t="s">
        <v>1175</v>
      </c>
      <c r="C813" s="8" t="s">
        <v>136</v>
      </c>
      <c r="D813" s="8" t="s">
        <v>160</v>
      </c>
      <c r="E813" s="4">
        <v>57.75</v>
      </c>
    </row>
    <row r="814" spans="1:5" ht="25.5" x14ac:dyDescent="0.2">
      <c r="A814" s="63" t="s">
        <v>1174</v>
      </c>
      <c r="B814" s="64" t="s">
        <v>1173</v>
      </c>
      <c r="C814" s="8" t="s">
        <v>136</v>
      </c>
      <c r="D814" s="8" t="s">
        <v>160</v>
      </c>
      <c r="E814" s="4">
        <v>14.54</v>
      </c>
    </row>
    <row r="815" spans="1:5" ht="25.5" x14ac:dyDescent="0.2">
      <c r="A815" s="63" t="s">
        <v>1172</v>
      </c>
      <c r="B815" s="64" t="s">
        <v>1171</v>
      </c>
      <c r="C815" s="8" t="s">
        <v>136</v>
      </c>
      <c r="D815" s="8" t="s">
        <v>160</v>
      </c>
      <c r="E815" s="4">
        <v>38.5</v>
      </c>
    </row>
    <row r="816" spans="1:5" ht="25.5" x14ac:dyDescent="0.2">
      <c r="A816" s="63" t="s">
        <v>1170</v>
      </c>
      <c r="B816" s="64" t="s">
        <v>1169</v>
      </c>
      <c r="C816" s="8" t="s">
        <v>136</v>
      </c>
      <c r="D816" s="8" t="s">
        <v>160</v>
      </c>
      <c r="E816" s="4">
        <v>38.5</v>
      </c>
    </row>
    <row r="817" spans="1:5" ht="25.5" x14ac:dyDescent="0.2">
      <c r="A817" s="63" t="s">
        <v>1168</v>
      </c>
      <c r="B817" s="64" t="s">
        <v>1167</v>
      </c>
      <c r="C817" s="8" t="s">
        <v>136</v>
      </c>
      <c r="D817" s="8" t="s">
        <v>160</v>
      </c>
      <c r="E817" s="4">
        <v>38.5</v>
      </c>
    </row>
    <row r="818" spans="1:5" ht="25.5" x14ac:dyDescent="0.2">
      <c r="A818" s="63" t="s">
        <v>1166</v>
      </c>
      <c r="B818" s="64" t="s">
        <v>1165</v>
      </c>
      <c r="C818" s="8" t="s">
        <v>136</v>
      </c>
      <c r="D818" s="8" t="s">
        <v>160</v>
      </c>
      <c r="E818" s="4">
        <v>38.5</v>
      </c>
    </row>
    <row r="819" spans="1:5" ht="25.5" x14ac:dyDescent="0.2">
      <c r="A819" s="63" t="s">
        <v>1164</v>
      </c>
      <c r="B819" s="64" t="s">
        <v>1163</v>
      </c>
      <c r="C819" s="8" t="s">
        <v>136</v>
      </c>
      <c r="D819" s="8" t="s">
        <v>160</v>
      </c>
      <c r="E819" s="4">
        <v>38.5</v>
      </c>
    </row>
    <row r="820" spans="1:5" ht="25.5" x14ac:dyDescent="0.2">
      <c r="A820" s="63" t="s">
        <v>1162</v>
      </c>
      <c r="B820" s="64" t="s">
        <v>1161</v>
      </c>
      <c r="C820" s="8" t="s">
        <v>136</v>
      </c>
      <c r="D820" s="8" t="s">
        <v>160</v>
      </c>
      <c r="E820" s="4">
        <v>38.5</v>
      </c>
    </row>
    <row r="821" spans="1:5" ht="51" x14ac:dyDescent="0.2">
      <c r="A821" s="63" t="s">
        <v>1160</v>
      </c>
      <c r="B821" s="64" t="s">
        <v>1159</v>
      </c>
      <c r="C821" s="8" t="s">
        <v>136</v>
      </c>
      <c r="D821" s="8" t="s">
        <v>160</v>
      </c>
      <c r="E821" s="4">
        <v>48.02</v>
      </c>
    </row>
    <row r="822" spans="1:5" x14ac:dyDescent="0.2">
      <c r="A822" s="63" t="s">
        <v>1158</v>
      </c>
      <c r="B822" s="64" t="s">
        <v>1157</v>
      </c>
      <c r="C822" s="8" t="s">
        <v>136</v>
      </c>
      <c r="D822" s="8" t="s">
        <v>160</v>
      </c>
      <c r="E822" s="4">
        <v>72.03</v>
      </c>
    </row>
    <row r="823" spans="1:5" x14ac:dyDescent="0.2">
      <c r="A823" s="63" t="s">
        <v>1156</v>
      </c>
      <c r="B823" s="64" t="s">
        <v>1155</v>
      </c>
      <c r="C823" s="8" t="s">
        <v>136</v>
      </c>
      <c r="D823" s="8" t="s">
        <v>160</v>
      </c>
      <c r="E823" s="4">
        <v>96.05</v>
      </c>
    </row>
    <row r="824" spans="1:5" x14ac:dyDescent="0.2">
      <c r="A824" s="63" t="s">
        <v>1154</v>
      </c>
      <c r="B824" s="64" t="s">
        <v>1153</v>
      </c>
      <c r="C824" s="8" t="s">
        <v>136</v>
      </c>
      <c r="D824" s="8" t="s">
        <v>160</v>
      </c>
      <c r="E824" s="4">
        <v>120.06</v>
      </c>
    </row>
    <row r="825" spans="1:5" x14ac:dyDescent="0.2">
      <c r="A825" s="63" t="s">
        <v>1152</v>
      </c>
      <c r="B825" s="64" t="s">
        <v>1151</v>
      </c>
      <c r="C825" s="8" t="s">
        <v>136</v>
      </c>
      <c r="D825" s="8" t="s">
        <v>160</v>
      </c>
      <c r="E825" s="4">
        <v>165</v>
      </c>
    </row>
    <row r="826" spans="1:5" ht="25.5" x14ac:dyDescent="0.2">
      <c r="A826" s="63" t="s">
        <v>1150</v>
      </c>
      <c r="B826" s="64" t="s">
        <v>1149</v>
      </c>
      <c r="C826" s="8" t="s">
        <v>4</v>
      </c>
      <c r="D826" s="8" t="s">
        <v>160</v>
      </c>
      <c r="E826" s="4">
        <v>5.53</v>
      </c>
    </row>
    <row r="827" spans="1:5" ht="51" x14ac:dyDescent="0.2">
      <c r="A827" s="63" t="s">
        <v>1148</v>
      </c>
      <c r="B827" s="64" t="s">
        <v>1147</v>
      </c>
      <c r="C827" s="8" t="s">
        <v>136</v>
      </c>
      <c r="D827" s="8" t="s">
        <v>160</v>
      </c>
      <c r="E827" s="4">
        <v>336.05</v>
      </c>
    </row>
    <row r="828" spans="1:5" x14ac:dyDescent="0.2">
      <c r="A828" s="63" t="s">
        <v>1146</v>
      </c>
      <c r="B828" s="64" t="s">
        <v>1145</v>
      </c>
      <c r="C828" s="8" t="s">
        <v>136</v>
      </c>
      <c r="D828" s="8" t="s">
        <v>160</v>
      </c>
      <c r="E828" s="4">
        <v>336.05</v>
      </c>
    </row>
    <row r="829" spans="1:5" x14ac:dyDescent="0.2">
      <c r="A829" s="63" t="s">
        <v>1144</v>
      </c>
      <c r="B829" s="64" t="s">
        <v>1143</v>
      </c>
      <c r="C829" s="8" t="s">
        <v>136</v>
      </c>
      <c r="D829" s="8" t="s">
        <v>160</v>
      </c>
      <c r="E829" s="4">
        <v>336.05</v>
      </c>
    </row>
    <row r="830" spans="1:5" ht="89.25" x14ac:dyDescent="0.2">
      <c r="A830" s="63" t="s">
        <v>1142</v>
      </c>
      <c r="B830" s="64" t="s">
        <v>1141</v>
      </c>
      <c r="C830" s="8" t="s">
        <v>136</v>
      </c>
      <c r="D830" s="8" t="s">
        <v>160</v>
      </c>
      <c r="E830" s="4">
        <v>1430</v>
      </c>
    </row>
    <row r="831" spans="1:5" ht="114.75" x14ac:dyDescent="0.2">
      <c r="A831" s="63" t="s">
        <v>1140</v>
      </c>
      <c r="B831" s="64" t="s">
        <v>1139</v>
      </c>
      <c r="C831" s="8" t="s">
        <v>136</v>
      </c>
      <c r="D831" s="8" t="s">
        <v>160</v>
      </c>
      <c r="E831" s="4">
        <v>1650</v>
      </c>
    </row>
    <row r="832" spans="1:5" ht="51" x14ac:dyDescent="0.2">
      <c r="A832" s="63" t="s">
        <v>1138</v>
      </c>
      <c r="B832" s="64" t="s">
        <v>1137</v>
      </c>
      <c r="C832" s="8" t="s">
        <v>136</v>
      </c>
      <c r="D832" s="8" t="s">
        <v>160</v>
      </c>
      <c r="E832" s="4">
        <v>180.1</v>
      </c>
    </row>
    <row r="833" spans="1:5" ht="63.75" x14ac:dyDescent="0.2">
      <c r="A833" s="63" t="s">
        <v>1136</v>
      </c>
      <c r="B833" s="64" t="s">
        <v>1135</v>
      </c>
      <c r="C833" s="8" t="s">
        <v>136</v>
      </c>
      <c r="D833" s="8" t="s">
        <v>160</v>
      </c>
      <c r="E833" s="4">
        <v>1503.38</v>
      </c>
    </row>
    <row r="834" spans="1:5" ht="51" x14ac:dyDescent="0.2">
      <c r="A834" s="63" t="s">
        <v>1134</v>
      </c>
      <c r="B834" s="64" t="s">
        <v>1133</v>
      </c>
      <c r="C834" s="8" t="s">
        <v>136</v>
      </c>
      <c r="D834" s="8" t="s">
        <v>160</v>
      </c>
      <c r="E834" s="4">
        <v>440</v>
      </c>
    </row>
    <row r="835" spans="1:5" ht="51" x14ac:dyDescent="0.2">
      <c r="A835" s="63" t="s">
        <v>1132</v>
      </c>
      <c r="B835" s="64" t="s">
        <v>1131</v>
      </c>
      <c r="C835" s="8" t="s">
        <v>136</v>
      </c>
      <c r="D835" s="8" t="s">
        <v>160</v>
      </c>
      <c r="E835" s="4">
        <v>55</v>
      </c>
    </row>
    <row r="836" spans="1:5" ht="51" x14ac:dyDescent="0.2">
      <c r="A836" s="63" t="s">
        <v>1130</v>
      </c>
      <c r="B836" s="64" t="s">
        <v>1129</v>
      </c>
      <c r="C836" s="8" t="s">
        <v>136</v>
      </c>
      <c r="D836" s="8" t="s">
        <v>160</v>
      </c>
      <c r="E836" s="4">
        <v>82.5</v>
      </c>
    </row>
    <row r="837" spans="1:5" ht="25.5" x14ac:dyDescent="0.2">
      <c r="A837" s="63" t="s">
        <v>1128</v>
      </c>
      <c r="B837" s="64" t="s">
        <v>1127</v>
      </c>
      <c r="C837" s="8" t="s">
        <v>136</v>
      </c>
      <c r="D837" s="8" t="s">
        <v>160</v>
      </c>
      <c r="E837" s="4">
        <v>38.5</v>
      </c>
    </row>
    <row r="838" spans="1:5" x14ac:dyDescent="0.2">
      <c r="A838" s="63" t="s">
        <v>1126</v>
      </c>
      <c r="B838" s="64" t="s">
        <v>1108</v>
      </c>
      <c r="C838" s="8" t="s">
        <v>136</v>
      </c>
      <c r="D838" s="8" t="s">
        <v>160</v>
      </c>
      <c r="E838" s="4">
        <v>44</v>
      </c>
    </row>
    <row r="839" spans="1:5" x14ac:dyDescent="0.2">
      <c r="A839" s="63" t="s">
        <v>1125</v>
      </c>
      <c r="B839" s="64" t="s">
        <v>1106</v>
      </c>
      <c r="C839" s="8" t="s">
        <v>136</v>
      </c>
      <c r="D839" s="8" t="s">
        <v>160</v>
      </c>
      <c r="E839" s="4">
        <v>55</v>
      </c>
    </row>
    <row r="840" spans="1:5" x14ac:dyDescent="0.2">
      <c r="A840" s="63" t="s">
        <v>1124</v>
      </c>
      <c r="B840" s="64" t="s">
        <v>1104</v>
      </c>
      <c r="C840" s="8" t="s">
        <v>136</v>
      </c>
      <c r="D840" s="8" t="s">
        <v>160</v>
      </c>
      <c r="E840" s="4">
        <v>66</v>
      </c>
    </row>
    <row r="841" spans="1:5" x14ac:dyDescent="0.2">
      <c r="A841" s="63" t="s">
        <v>1123</v>
      </c>
      <c r="B841" s="64" t="s">
        <v>1122</v>
      </c>
      <c r="C841" s="8" t="s">
        <v>136</v>
      </c>
      <c r="D841" s="8" t="s">
        <v>160</v>
      </c>
      <c r="E841" s="4">
        <v>110</v>
      </c>
    </row>
    <row r="842" spans="1:5" x14ac:dyDescent="0.2">
      <c r="A842" s="63" t="s">
        <v>1121</v>
      </c>
      <c r="B842" s="64" t="s">
        <v>1120</v>
      </c>
      <c r="C842" s="8" t="s">
        <v>136</v>
      </c>
      <c r="D842" s="8" t="s">
        <v>160</v>
      </c>
      <c r="E842" s="4">
        <v>55</v>
      </c>
    </row>
    <row r="843" spans="1:5" x14ac:dyDescent="0.2">
      <c r="A843" s="63" t="s">
        <v>1119</v>
      </c>
      <c r="B843" s="64" t="s">
        <v>1118</v>
      </c>
      <c r="C843" s="8" t="s">
        <v>136</v>
      </c>
      <c r="D843" s="8" t="s">
        <v>160</v>
      </c>
      <c r="E843" s="4">
        <v>66</v>
      </c>
    </row>
    <row r="844" spans="1:5" x14ac:dyDescent="0.2">
      <c r="A844" s="63" t="s">
        <v>1117</v>
      </c>
      <c r="B844" s="64" t="s">
        <v>1116</v>
      </c>
      <c r="C844" s="8" t="s">
        <v>136</v>
      </c>
      <c r="D844" s="8" t="s">
        <v>160</v>
      </c>
      <c r="E844" s="4">
        <v>77</v>
      </c>
    </row>
    <row r="845" spans="1:5" x14ac:dyDescent="0.2">
      <c r="A845" s="63" t="s">
        <v>1115</v>
      </c>
      <c r="B845" s="64" t="s">
        <v>1114</v>
      </c>
      <c r="C845" s="8" t="s">
        <v>136</v>
      </c>
      <c r="D845" s="8" t="s">
        <v>160</v>
      </c>
      <c r="E845" s="4">
        <v>55</v>
      </c>
    </row>
    <row r="846" spans="1:5" x14ac:dyDescent="0.2">
      <c r="A846" s="63" t="s">
        <v>1113</v>
      </c>
      <c r="B846" s="64" t="s">
        <v>1112</v>
      </c>
      <c r="C846" s="8" t="s">
        <v>136</v>
      </c>
      <c r="D846" s="8" t="s">
        <v>160</v>
      </c>
      <c r="E846" s="4">
        <v>66</v>
      </c>
    </row>
    <row r="847" spans="1:5" ht="51" x14ac:dyDescent="0.2">
      <c r="A847" s="63" t="s">
        <v>1111</v>
      </c>
      <c r="B847" s="64" t="s">
        <v>1110</v>
      </c>
      <c r="C847" s="8" t="s">
        <v>136</v>
      </c>
      <c r="D847" s="8" t="s">
        <v>160</v>
      </c>
      <c r="E847" s="4">
        <v>44</v>
      </c>
    </row>
    <row r="848" spans="1:5" x14ac:dyDescent="0.2">
      <c r="A848" s="63" t="s">
        <v>1109</v>
      </c>
      <c r="B848" s="64" t="s">
        <v>1108</v>
      </c>
      <c r="C848" s="8" t="s">
        <v>136</v>
      </c>
      <c r="D848" s="8" t="s">
        <v>160</v>
      </c>
      <c r="E848" s="4">
        <v>55</v>
      </c>
    </row>
    <row r="849" spans="1:5" x14ac:dyDescent="0.2">
      <c r="A849" s="63" t="s">
        <v>1107</v>
      </c>
      <c r="B849" s="64" t="s">
        <v>1106</v>
      </c>
      <c r="C849" s="8" t="s">
        <v>136</v>
      </c>
      <c r="D849" s="8" t="s">
        <v>160</v>
      </c>
      <c r="E849" s="4">
        <v>82.5</v>
      </c>
    </row>
    <row r="850" spans="1:5" x14ac:dyDescent="0.2">
      <c r="A850" s="63" t="s">
        <v>1105</v>
      </c>
      <c r="B850" s="64" t="s">
        <v>1104</v>
      </c>
      <c r="C850" s="8" t="s">
        <v>136</v>
      </c>
      <c r="D850" s="8" t="s">
        <v>160</v>
      </c>
      <c r="E850" s="4">
        <v>110</v>
      </c>
    </row>
    <row r="851" spans="1:5" ht="25.5" x14ac:dyDescent="0.2">
      <c r="A851" s="63" t="s">
        <v>1103</v>
      </c>
      <c r="B851" s="64" t="s">
        <v>1102</v>
      </c>
      <c r="C851" s="8" t="s">
        <v>136</v>
      </c>
      <c r="D851" s="8" t="s">
        <v>160</v>
      </c>
      <c r="E851" s="4">
        <v>1100</v>
      </c>
    </row>
    <row r="852" spans="1:5" ht="25.5" x14ac:dyDescent="0.2">
      <c r="A852" s="63" t="s">
        <v>1101</v>
      </c>
      <c r="B852" s="64" t="s">
        <v>1100</v>
      </c>
      <c r="C852" s="8" t="s">
        <v>136</v>
      </c>
      <c r="D852" s="8" t="s">
        <v>160</v>
      </c>
      <c r="E852" s="4">
        <v>192.5</v>
      </c>
    </row>
    <row r="853" spans="1:5" ht="25.5" x14ac:dyDescent="0.2">
      <c r="A853" s="63" t="s">
        <v>1099</v>
      </c>
      <c r="B853" s="64" t="s">
        <v>1098</v>
      </c>
      <c r="C853" s="8" t="s">
        <v>136</v>
      </c>
      <c r="D853" s="8" t="s">
        <v>160</v>
      </c>
      <c r="E853" s="4">
        <v>44</v>
      </c>
    </row>
    <row r="854" spans="1:5" x14ac:dyDescent="0.2">
      <c r="A854" s="63" t="s">
        <v>1097</v>
      </c>
      <c r="B854" s="64" t="s">
        <v>1096</v>
      </c>
      <c r="C854" s="8" t="s">
        <v>136</v>
      </c>
      <c r="D854" s="8" t="s">
        <v>160</v>
      </c>
      <c r="E854" s="4">
        <v>66</v>
      </c>
    </row>
    <row r="855" spans="1:5" x14ac:dyDescent="0.2">
      <c r="A855" s="7" t="s">
        <v>1095</v>
      </c>
      <c r="B855" s="6" t="s">
        <v>1094</v>
      </c>
      <c r="C855" s="5"/>
      <c r="D855" s="5"/>
      <c r="E855" s="4">
        <v>0</v>
      </c>
    </row>
    <row r="856" spans="1:5" ht="63.75" x14ac:dyDescent="0.2">
      <c r="A856" s="63" t="s">
        <v>1093</v>
      </c>
      <c r="B856" s="64" t="s">
        <v>1092</v>
      </c>
      <c r="C856" s="8" t="s">
        <v>136</v>
      </c>
      <c r="D856" s="8" t="s">
        <v>160</v>
      </c>
      <c r="E856" s="4">
        <v>270.14</v>
      </c>
    </row>
    <row r="857" spans="1:5" ht="25.5" x14ac:dyDescent="0.2">
      <c r="A857" s="63" t="s">
        <v>1091</v>
      </c>
      <c r="B857" s="64" t="s">
        <v>1090</v>
      </c>
      <c r="C857" s="8" t="s">
        <v>136</v>
      </c>
      <c r="D857" s="8" t="s">
        <v>160</v>
      </c>
      <c r="E857" s="4">
        <v>270.14</v>
      </c>
    </row>
    <row r="858" spans="1:5" ht="25.5" x14ac:dyDescent="0.2">
      <c r="A858" s="63" t="s">
        <v>1089</v>
      </c>
      <c r="B858" s="64" t="s">
        <v>1088</v>
      </c>
      <c r="C858" s="8" t="s">
        <v>136</v>
      </c>
      <c r="D858" s="8" t="s">
        <v>160</v>
      </c>
      <c r="E858" s="4">
        <v>270.14</v>
      </c>
    </row>
    <row r="859" spans="1:5" ht="25.5" x14ac:dyDescent="0.2">
      <c r="A859" s="63" t="s">
        <v>1087</v>
      </c>
      <c r="B859" s="64" t="s">
        <v>1086</v>
      </c>
      <c r="C859" s="8" t="s">
        <v>136</v>
      </c>
      <c r="D859" s="8" t="s">
        <v>160</v>
      </c>
      <c r="E859" s="4">
        <v>270.14</v>
      </c>
    </row>
    <row r="860" spans="1:5" ht="38.25" x14ac:dyDescent="0.2">
      <c r="A860" s="63" t="s">
        <v>1085</v>
      </c>
      <c r="B860" s="64" t="s">
        <v>1084</v>
      </c>
      <c r="C860" s="8" t="s">
        <v>136</v>
      </c>
      <c r="D860" s="8" t="s">
        <v>160</v>
      </c>
      <c r="E860" s="4">
        <v>420.23</v>
      </c>
    </row>
    <row r="861" spans="1:5" x14ac:dyDescent="0.2">
      <c r="A861" s="63" t="s">
        <v>1083</v>
      </c>
      <c r="B861" s="64" t="s">
        <v>1082</v>
      </c>
      <c r="C861" s="8" t="s">
        <v>136</v>
      </c>
      <c r="D861" s="8" t="s">
        <v>160</v>
      </c>
      <c r="E861" s="4">
        <v>420.23</v>
      </c>
    </row>
    <row r="862" spans="1:5" ht="25.5" x14ac:dyDescent="0.2">
      <c r="A862" s="63" t="s">
        <v>1081</v>
      </c>
      <c r="B862" s="64" t="s">
        <v>1080</v>
      </c>
      <c r="C862" s="8" t="s">
        <v>136</v>
      </c>
      <c r="D862" s="8" t="s">
        <v>160</v>
      </c>
      <c r="E862" s="4">
        <v>330.18</v>
      </c>
    </row>
    <row r="863" spans="1:5" ht="25.5" x14ac:dyDescent="0.2">
      <c r="A863" s="63" t="s">
        <v>1079</v>
      </c>
      <c r="B863" s="64" t="s">
        <v>1078</v>
      </c>
      <c r="C863" s="8" t="s">
        <v>136</v>
      </c>
      <c r="D863" s="8" t="s">
        <v>160</v>
      </c>
      <c r="E863" s="4">
        <v>168.09</v>
      </c>
    </row>
    <row r="864" spans="1:5" x14ac:dyDescent="0.2">
      <c r="A864" s="63" t="s">
        <v>1077</v>
      </c>
      <c r="B864" s="64" t="s">
        <v>1076</v>
      </c>
      <c r="C864" s="8" t="s">
        <v>136</v>
      </c>
      <c r="D864" s="8" t="s">
        <v>160</v>
      </c>
      <c r="E864" s="4">
        <v>192.1</v>
      </c>
    </row>
    <row r="865" spans="1:5" ht="25.5" x14ac:dyDescent="0.2">
      <c r="A865" s="63" t="s">
        <v>1075</v>
      </c>
      <c r="B865" s="64" t="s">
        <v>1074</v>
      </c>
      <c r="C865" s="8" t="s">
        <v>136</v>
      </c>
      <c r="D865" s="8" t="s">
        <v>160</v>
      </c>
      <c r="E865" s="4">
        <v>91.61</v>
      </c>
    </row>
    <row r="866" spans="1:5" ht="38.25" x14ac:dyDescent="0.2">
      <c r="A866" s="63" t="s">
        <v>1073</v>
      </c>
      <c r="B866" s="64" t="s">
        <v>1072</v>
      </c>
      <c r="C866" s="8" t="s">
        <v>136</v>
      </c>
      <c r="D866" s="8" t="s">
        <v>160</v>
      </c>
      <c r="E866" s="4">
        <v>132</v>
      </c>
    </row>
    <row r="867" spans="1:5" ht="25.5" x14ac:dyDescent="0.2">
      <c r="A867" s="63" t="s">
        <v>1071</v>
      </c>
      <c r="B867" s="64" t="s">
        <v>1070</v>
      </c>
      <c r="C867" s="8" t="s">
        <v>136</v>
      </c>
      <c r="D867" s="8" t="s">
        <v>160</v>
      </c>
      <c r="E867" s="4">
        <v>192.1</v>
      </c>
    </row>
    <row r="868" spans="1:5" ht="25.5" x14ac:dyDescent="0.2">
      <c r="A868" s="63" t="s">
        <v>1069</v>
      </c>
      <c r="B868" s="64" t="s">
        <v>1068</v>
      </c>
      <c r="C868" s="8" t="s">
        <v>136</v>
      </c>
      <c r="D868" s="8" t="s">
        <v>160</v>
      </c>
      <c r="E868" s="4">
        <v>192.1</v>
      </c>
    </row>
    <row r="869" spans="1:5" x14ac:dyDescent="0.2">
      <c r="A869" s="63" t="s">
        <v>1067</v>
      </c>
      <c r="B869" s="64" t="s">
        <v>1066</v>
      </c>
      <c r="C869" s="8" t="s">
        <v>136</v>
      </c>
      <c r="D869" s="8" t="s">
        <v>160</v>
      </c>
      <c r="E869" s="4">
        <v>216.11</v>
      </c>
    </row>
    <row r="870" spans="1:5" ht="89.25" x14ac:dyDescent="0.2">
      <c r="A870" s="63" t="s">
        <v>1065</v>
      </c>
      <c r="B870" s="64" t="s">
        <v>1064</v>
      </c>
      <c r="C870" s="8" t="s">
        <v>136</v>
      </c>
      <c r="D870" s="8" t="s">
        <v>160</v>
      </c>
      <c r="E870" s="4">
        <v>450.25</v>
      </c>
    </row>
    <row r="871" spans="1:5" ht="25.5" x14ac:dyDescent="0.2">
      <c r="A871" s="63" t="s">
        <v>1063</v>
      </c>
      <c r="B871" s="64" t="s">
        <v>1062</v>
      </c>
      <c r="C871" s="8" t="s">
        <v>136</v>
      </c>
      <c r="D871" s="8" t="s">
        <v>173</v>
      </c>
      <c r="E871" s="4">
        <v>42.02</v>
      </c>
    </row>
    <row r="872" spans="1:5" ht="25.5" x14ac:dyDescent="0.2">
      <c r="A872" s="63" t="s">
        <v>1061</v>
      </c>
      <c r="B872" s="64" t="s">
        <v>1060</v>
      </c>
      <c r="C872" s="8" t="s">
        <v>136</v>
      </c>
      <c r="D872" s="8" t="s">
        <v>173</v>
      </c>
      <c r="E872" s="4">
        <v>108.06</v>
      </c>
    </row>
    <row r="873" spans="1:5" x14ac:dyDescent="0.2">
      <c r="A873" s="63" t="s">
        <v>1059</v>
      </c>
      <c r="B873" s="64" t="s">
        <v>1058</v>
      </c>
      <c r="C873" s="8" t="s">
        <v>136</v>
      </c>
      <c r="D873" s="8" t="s">
        <v>173</v>
      </c>
      <c r="E873" s="4">
        <v>66.03</v>
      </c>
    </row>
    <row r="874" spans="1:5" ht="38.25" x14ac:dyDescent="0.2">
      <c r="A874" s="63" t="s">
        <v>1057</v>
      </c>
      <c r="B874" s="64" t="s">
        <v>1056</v>
      </c>
      <c r="C874" s="8" t="s">
        <v>1035</v>
      </c>
      <c r="D874" s="8" t="s">
        <v>160</v>
      </c>
      <c r="E874" s="4">
        <v>3.34</v>
      </c>
    </row>
    <row r="875" spans="1:5" ht="63.75" x14ac:dyDescent="0.2">
      <c r="A875" s="63" t="s">
        <v>1055</v>
      </c>
      <c r="B875" s="64" t="s">
        <v>1054</v>
      </c>
      <c r="C875" s="8" t="s">
        <v>143</v>
      </c>
      <c r="D875" s="8" t="s">
        <v>160</v>
      </c>
      <c r="E875" s="4">
        <v>83.52</v>
      </c>
    </row>
    <row r="876" spans="1:5" ht="63.75" x14ac:dyDescent="0.2">
      <c r="A876" s="63" t="s">
        <v>1053</v>
      </c>
      <c r="B876" s="64" t="s">
        <v>1052</v>
      </c>
      <c r="C876" s="8" t="s">
        <v>143</v>
      </c>
      <c r="D876" s="8" t="s">
        <v>160</v>
      </c>
      <c r="E876" s="4">
        <v>89.09</v>
      </c>
    </row>
    <row r="877" spans="1:5" ht="63.75" x14ac:dyDescent="0.2">
      <c r="A877" s="63" t="s">
        <v>1051</v>
      </c>
      <c r="B877" s="64" t="s">
        <v>1050</v>
      </c>
      <c r="C877" s="8" t="s">
        <v>136</v>
      </c>
      <c r="D877" s="8" t="s">
        <v>160</v>
      </c>
      <c r="E877" s="4">
        <v>114.05</v>
      </c>
    </row>
    <row r="878" spans="1:5" ht="38.25" x14ac:dyDescent="0.2">
      <c r="A878" s="63" t="s">
        <v>1049</v>
      </c>
      <c r="B878" s="64" t="s">
        <v>1048</v>
      </c>
      <c r="C878" s="8" t="s">
        <v>143</v>
      </c>
      <c r="D878" s="8" t="s">
        <v>160</v>
      </c>
      <c r="E878" s="4">
        <v>100.23</v>
      </c>
    </row>
    <row r="879" spans="1:5" ht="51" x14ac:dyDescent="0.2">
      <c r="A879" s="63" t="s">
        <v>1047</v>
      </c>
      <c r="B879" s="64" t="s">
        <v>1046</v>
      </c>
      <c r="C879" s="8" t="s">
        <v>143</v>
      </c>
      <c r="D879" s="8" t="s">
        <v>160</v>
      </c>
      <c r="E879" s="4">
        <v>44.54</v>
      </c>
    </row>
    <row r="880" spans="1:5" ht="38.25" x14ac:dyDescent="0.2">
      <c r="A880" s="63" t="s">
        <v>1045</v>
      </c>
      <c r="B880" s="64" t="s">
        <v>1044</v>
      </c>
      <c r="C880" s="8" t="s">
        <v>143</v>
      </c>
      <c r="D880" s="8" t="s">
        <v>160</v>
      </c>
      <c r="E880" s="4">
        <v>100.23</v>
      </c>
    </row>
    <row r="881" spans="1:5" ht="51" x14ac:dyDescent="0.2">
      <c r="A881" s="63" t="s">
        <v>1043</v>
      </c>
      <c r="B881" s="64" t="s">
        <v>1042</v>
      </c>
      <c r="C881" s="8" t="s">
        <v>143</v>
      </c>
      <c r="D881" s="8" t="s">
        <v>160</v>
      </c>
      <c r="E881" s="4">
        <v>44.54450812650348</v>
      </c>
    </row>
    <row r="882" spans="1:5" ht="76.5" x14ac:dyDescent="0.2">
      <c r="A882" s="63" t="s">
        <v>1041</v>
      </c>
      <c r="B882" s="64" t="s">
        <v>1040</v>
      </c>
      <c r="C882" s="8" t="s">
        <v>143</v>
      </c>
      <c r="D882" s="8" t="s">
        <v>160</v>
      </c>
      <c r="E882" s="4">
        <v>204.11</v>
      </c>
    </row>
    <row r="883" spans="1:5" ht="89.25" x14ac:dyDescent="0.2">
      <c r="A883" s="63" t="s">
        <v>1039</v>
      </c>
      <c r="B883" s="64" t="s">
        <v>1038</v>
      </c>
      <c r="C883" s="8" t="s">
        <v>143</v>
      </c>
      <c r="D883" s="8" t="s">
        <v>160</v>
      </c>
      <c r="E883" s="4">
        <v>133.63</v>
      </c>
    </row>
    <row r="884" spans="1:5" ht="38.25" x14ac:dyDescent="0.2">
      <c r="A884" s="63" t="s">
        <v>1037</v>
      </c>
      <c r="B884" s="64" t="s">
        <v>1036</v>
      </c>
      <c r="C884" s="8" t="s">
        <v>1035</v>
      </c>
      <c r="D884" s="8" t="s">
        <v>160</v>
      </c>
      <c r="E884" s="4">
        <v>6.12</v>
      </c>
    </row>
    <row r="885" spans="1:5" ht="38.25" x14ac:dyDescent="0.2">
      <c r="A885" s="63" t="s">
        <v>1034</v>
      </c>
      <c r="B885" s="64" t="s">
        <v>1033</v>
      </c>
      <c r="C885" s="8" t="s">
        <v>136</v>
      </c>
      <c r="D885" s="8" t="s">
        <v>160</v>
      </c>
      <c r="E885" s="4">
        <v>480.27</v>
      </c>
    </row>
    <row r="886" spans="1:5" x14ac:dyDescent="0.2">
      <c r="A886" s="63" t="s">
        <v>1032</v>
      </c>
      <c r="B886" s="64" t="s">
        <v>1031</v>
      </c>
      <c r="C886" s="8" t="s">
        <v>136</v>
      </c>
      <c r="D886" s="8" t="s">
        <v>160</v>
      </c>
      <c r="E886" s="4">
        <v>480.27</v>
      </c>
    </row>
    <row r="887" spans="1:5" x14ac:dyDescent="0.2">
      <c r="A887" s="63" t="s">
        <v>1030</v>
      </c>
      <c r="B887" s="64" t="s">
        <v>1029</v>
      </c>
      <c r="C887" s="8" t="s">
        <v>136</v>
      </c>
      <c r="D887" s="8" t="s">
        <v>160</v>
      </c>
      <c r="E887" s="4">
        <v>480.27</v>
      </c>
    </row>
    <row r="888" spans="1:5" x14ac:dyDescent="0.2">
      <c r="A888" s="63" t="s">
        <v>1028</v>
      </c>
      <c r="B888" s="64" t="s">
        <v>1027</v>
      </c>
      <c r="C888" s="8" t="s">
        <v>136</v>
      </c>
      <c r="D888" s="8" t="s">
        <v>160</v>
      </c>
      <c r="E888" s="4">
        <v>434.6</v>
      </c>
    </row>
    <row r="889" spans="1:5" x14ac:dyDescent="0.2">
      <c r="A889" s="63" t="s">
        <v>1026</v>
      </c>
      <c r="B889" s="64" t="s">
        <v>1025</v>
      </c>
      <c r="C889" s="8" t="s">
        <v>136</v>
      </c>
      <c r="D889" s="8" t="s">
        <v>160</v>
      </c>
      <c r="E889" s="4">
        <v>434.6</v>
      </c>
    </row>
    <row r="890" spans="1:5" x14ac:dyDescent="0.2">
      <c r="A890" s="63" t="s">
        <v>1024</v>
      </c>
      <c r="B890" s="64" t="s">
        <v>1023</v>
      </c>
      <c r="C890" s="8" t="s">
        <v>136</v>
      </c>
      <c r="D890" s="8" t="s">
        <v>160</v>
      </c>
      <c r="E890" s="4">
        <v>480.27</v>
      </c>
    </row>
    <row r="891" spans="1:5" x14ac:dyDescent="0.2">
      <c r="A891" s="63" t="s">
        <v>1022</v>
      </c>
      <c r="B891" s="64" t="s">
        <v>1021</v>
      </c>
      <c r="C891" s="8" t="s">
        <v>136</v>
      </c>
      <c r="D891" s="8" t="s">
        <v>160</v>
      </c>
      <c r="E891" s="4">
        <v>480.27</v>
      </c>
    </row>
    <row r="892" spans="1:5" x14ac:dyDescent="0.2">
      <c r="A892" s="63" t="s">
        <v>1020</v>
      </c>
      <c r="B892" s="64" t="s">
        <v>1019</v>
      </c>
      <c r="C892" s="8" t="s">
        <v>136</v>
      </c>
      <c r="D892" s="8" t="s">
        <v>160</v>
      </c>
      <c r="E892" s="4">
        <v>480.27</v>
      </c>
    </row>
    <row r="893" spans="1:5" x14ac:dyDescent="0.2">
      <c r="A893" s="63" t="s">
        <v>1018</v>
      </c>
      <c r="B893" s="64" t="s">
        <v>1017</v>
      </c>
      <c r="C893" s="8" t="s">
        <v>136</v>
      </c>
      <c r="D893" s="8" t="s">
        <v>160</v>
      </c>
      <c r="E893" s="4">
        <v>480.27</v>
      </c>
    </row>
    <row r="894" spans="1:5" x14ac:dyDescent="0.2">
      <c r="A894" s="63" t="s">
        <v>1016</v>
      </c>
      <c r="B894" s="64" t="s">
        <v>1015</v>
      </c>
      <c r="C894" s="8" t="s">
        <v>136</v>
      </c>
      <c r="D894" s="8" t="s">
        <v>160</v>
      </c>
      <c r="E894" s="4">
        <v>480.27</v>
      </c>
    </row>
    <row r="895" spans="1:5" x14ac:dyDescent="0.2">
      <c r="A895" s="63" t="s">
        <v>1014</v>
      </c>
      <c r="B895" s="64" t="s">
        <v>1013</v>
      </c>
      <c r="C895" s="8" t="s">
        <v>136</v>
      </c>
      <c r="D895" s="8" t="s">
        <v>160</v>
      </c>
      <c r="E895" s="4">
        <v>480.27</v>
      </c>
    </row>
    <row r="896" spans="1:5" x14ac:dyDescent="0.2">
      <c r="A896" s="63" t="s">
        <v>1012</v>
      </c>
      <c r="B896" s="64" t="s">
        <v>1011</v>
      </c>
      <c r="C896" s="8" t="s">
        <v>136</v>
      </c>
      <c r="D896" s="8" t="s">
        <v>160</v>
      </c>
      <c r="E896" s="4">
        <v>434.6</v>
      </c>
    </row>
    <row r="897" spans="1:5" x14ac:dyDescent="0.2">
      <c r="A897" s="63" t="s">
        <v>1010</v>
      </c>
      <c r="B897" s="64" t="s">
        <v>1009</v>
      </c>
      <c r="C897" s="8" t="s">
        <v>136</v>
      </c>
      <c r="D897" s="8" t="s">
        <v>160</v>
      </c>
      <c r="E897" s="4">
        <v>434.6</v>
      </c>
    </row>
    <row r="898" spans="1:5" x14ac:dyDescent="0.2">
      <c r="A898" s="63" t="s">
        <v>1008</v>
      </c>
      <c r="B898" s="64" t="s">
        <v>1007</v>
      </c>
      <c r="C898" s="8" t="s">
        <v>136</v>
      </c>
      <c r="D898" s="8" t="s">
        <v>160</v>
      </c>
      <c r="E898" s="4">
        <v>480.27</v>
      </c>
    </row>
    <row r="899" spans="1:5" x14ac:dyDescent="0.2">
      <c r="A899" s="63" t="s">
        <v>1006</v>
      </c>
      <c r="B899" s="64" t="s">
        <v>1005</v>
      </c>
      <c r="C899" s="8" t="s">
        <v>136</v>
      </c>
      <c r="D899" s="8" t="s">
        <v>160</v>
      </c>
      <c r="E899" s="4">
        <v>480.27</v>
      </c>
    </row>
    <row r="900" spans="1:5" x14ac:dyDescent="0.2">
      <c r="A900" s="63" t="s">
        <v>1004</v>
      </c>
      <c r="B900" s="64" t="s">
        <v>1003</v>
      </c>
      <c r="C900" s="8" t="s">
        <v>136</v>
      </c>
      <c r="D900" s="8" t="s">
        <v>160</v>
      </c>
      <c r="E900" s="4">
        <v>480.27</v>
      </c>
    </row>
    <row r="901" spans="1:5" x14ac:dyDescent="0.2">
      <c r="A901" s="63" t="s">
        <v>1002</v>
      </c>
      <c r="B901" s="64" t="s">
        <v>1001</v>
      </c>
      <c r="C901" s="8" t="s">
        <v>136</v>
      </c>
      <c r="D901" s="8" t="s">
        <v>160</v>
      </c>
      <c r="E901" s="4">
        <v>480.27</v>
      </c>
    </row>
    <row r="902" spans="1:5" x14ac:dyDescent="0.2">
      <c r="A902" s="63" t="s">
        <v>1000</v>
      </c>
      <c r="B902" s="64" t="s">
        <v>999</v>
      </c>
      <c r="C902" s="8" t="s">
        <v>136</v>
      </c>
      <c r="D902" s="8" t="s">
        <v>160</v>
      </c>
      <c r="E902" s="4">
        <v>480.27</v>
      </c>
    </row>
    <row r="903" spans="1:5" x14ac:dyDescent="0.2">
      <c r="A903" s="63" t="s">
        <v>998</v>
      </c>
      <c r="B903" s="64" t="s">
        <v>997</v>
      </c>
      <c r="C903" s="8" t="s">
        <v>136</v>
      </c>
      <c r="D903" s="8" t="s">
        <v>160</v>
      </c>
      <c r="E903" s="4">
        <v>480.27</v>
      </c>
    </row>
    <row r="904" spans="1:5" x14ac:dyDescent="0.2">
      <c r="A904" s="63" t="s">
        <v>996</v>
      </c>
      <c r="B904" s="64" t="s">
        <v>995</v>
      </c>
      <c r="C904" s="8" t="s">
        <v>136</v>
      </c>
      <c r="D904" s="8" t="s">
        <v>160</v>
      </c>
      <c r="E904" s="4">
        <v>434.6</v>
      </c>
    </row>
    <row r="905" spans="1:5" ht="25.5" x14ac:dyDescent="0.2">
      <c r="A905" s="63" t="s">
        <v>994</v>
      </c>
      <c r="B905" s="64" t="s">
        <v>993</v>
      </c>
      <c r="C905" s="8" t="s">
        <v>4</v>
      </c>
      <c r="D905" s="8" t="s">
        <v>160</v>
      </c>
      <c r="E905" s="4">
        <v>240.13</v>
      </c>
    </row>
    <row r="906" spans="1:5" ht="25.5" x14ac:dyDescent="0.2">
      <c r="A906" s="63" t="s">
        <v>992</v>
      </c>
      <c r="B906" s="64" t="s">
        <v>991</v>
      </c>
      <c r="C906" s="8" t="s">
        <v>143</v>
      </c>
      <c r="D906" s="8" t="s">
        <v>160</v>
      </c>
      <c r="E906" s="4">
        <v>114.05</v>
      </c>
    </row>
    <row r="907" spans="1:5" ht="25.5" x14ac:dyDescent="0.2">
      <c r="A907" s="63" t="s">
        <v>990</v>
      </c>
      <c r="B907" s="64" t="s">
        <v>989</v>
      </c>
      <c r="C907" s="8" t="s">
        <v>143</v>
      </c>
      <c r="D907" s="8" t="s">
        <v>160</v>
      </c>
      <c r="E907" s="4">
        <v>78.040000000000006</v>
      </c>
    </row>
    <row r="908" spans="1:5" ht="38.25" x14ac:dyDescent="0.2">
      <c r="A908" s="63" t="s">
        <v>988</v>
      </c>
      <c r="B908" s="64" t="s">
        <v>987</v>
      </c>
      <c r="C908" s="8" t="s">
        <v>136</v>
      </c>
      <c r="D908" s="8" t="s">
        <v>160</v>
      </c>
      <c r="E908" s="4">
        <v>564.30999999999995</v>
      </c>
    </row>
    <row r="909" spans="1:5" ht="25.5" x14ac:dyDescent="0.2">
      <c r="A909" s="63" t="s">
        <v>986</v>
      </c>
      <c r="B909" s="64" t="s">
        <v>985</v>
      </c>
      <c r="C909" s="8" t="s">
        <v>136</v>
      </c>
      <c r="D909" s="8" t="s">
        <v>160</v>
      </c>
      <c r="E909" s="4">
        <v>259.63</v>
      </c>
    </row>
    <row r="910" spans="1:5" ht="25.5" x14ac:dyDescent="0.2">
      <c r="A910" s="63" t="s">
        <v>984</v>
      </c>
      <c r="B910" s="64" t="s">
        <v>983</v>
      </c>
      <c r="C910" s="8" t="s">
        <v>136</v>
      </c>
      <c r="D910" s="8" t="s">
        <v>173</v>
      </c>
      <c r="E910" s="4">
        <v>120.06</v>
      </c>
    </row>
    <row r="911" spans="1:5" ht="102" x14ac:dyDescent="0.2">
      <c r="A911" s="63" t="s">
        <v>982</v>
      </c>
      <c r="B911" s="64" t="s">
        <v>981</v>
      </c>
      <c r="C911" s="8" t="s">
        <v>143</v>
      </c>
      <c r="D911" s="8" t="s">
        <v>160</v>
      </c>
      <c r="E911" s="4">
        <v>156.09</v>
      </c>
    </row>
    <row r="912" spans="1:5" ht="51" x14ac:dyDescent="0.2">
      <c r="A912" s="63" t="s">
        <v>980</v>
      </c>
      <c r="B912" s="64" t="s">
        <v>979</v>
      </c>
      <c r="C912" s="8" t="s">
        <v>4</v>
      </c>
      <c r="D912" s="8" t="s">
        <v>160</v>
      </c>
      <c r="E912" s="4">
        <v>44</v>
      </c>
    </row>
    <row r="913" spans="1:5" ht="38.25" x14ac:dyDescent="0.2">
      <c r="A913" s="63" t="s">
        <v>978</v>
      </c>
      <c r="B913" s="64" t="s">
        <v>977</v>
      </c>
      <c r="C913" s="8" t="s">
        <v>4</v>
      </c>
      <c r="D913" s="8" t="s">
        <v>160</v>
      </c>
      <c r="E913" s="4">
        <v>55</v>
      </c>
    </row>
    <row r="914" spans="1:5" ht="38.25" x14ac:dyDescent="0.2">
      <c r="A914" s="63" t="s">
        <v>976</v>
      </c>
      <c r="B914" s="64" t="s">
        <v>975</v>
      </c>
      <c r="C914" s="8" t="s">
        <v>4</v>
      </c>
      <c r="D914" s="8" t="s">
        <v>160</v>
      </c>
      <c r="E914" s="4">
        <v>55</v>
      </c>
    </row>
    <row r="915" spans="1:5" ht="25.5" x14ac:dyDescent="0.2">
      <c r="A915" s="63" t="s">
        <v>974</v>
      </c>
      <c r="B915" s="64" t="s">
        <v>973</v>
      </c>
      <c r="C915" s="8" t="s">
        <v>143</v>
      </c>
      <c r="D915" s="8" t="s">
        <v>173</v>
      </c>
      <c r="E915" s="4">
        <v>27.5</v>
      </c>
    </row>
    <row r="916" spans="1:5" ht="25.5" x14ac:dyDescent="0.2">
      <c r="A916" s="63" t="s">
        <v>972</v>
      </c>
      <c r="B916" s="64" t="s">
        <v>971</v>
      </c>
      <c r="C916" s="8" t="s">
        <v>143</v>
      </c>
      <c r="D916" s="8" t="s">
        <v>173</v>
      </c>
      <c r="E916" s="4">
        <v>11</v>
      </c>
    </row>
    <row r="917" spans="1:5" x14ac:dyDescent="0.2">
      <c r="A917" s="7" t="s">
        <v>970</v>
      </c>
      <c r="B917" s="6" t="s">
        <v>969</v>
      </c>
      <c r="C917" s="5"/>
      <c r="D917" s="5"/>
      <c r="E917" s="4">
        <v>0</v>
      </c>
    </row>
    <row r="918" spans="1:5" ht="38.25" x14ac:dyDescent="0.2">
      <c r="A918" s="63" t="s">
        <v>968</v>
      </c>
      <c r="B918" s="64" t="s">
        <v>967</v>
      </c>
      <c r="C918" s="8" t="s">
        <v>136</v>
      </c>
      <c r="D918" s="8" t="s">
        <v>173</v>
      </c>
      <c r="E918" s="4">
        <v>22.27</v>
      </c>
    </row>
    <row r="919" spans="1:5" ht="25.5" x14ac:dyDescent="0.2">
      <c r="A919" s="63" t="s">
        <v>966</v>
      </c>
      <c r="B919" s="64" t="s">
        <v>965</v>
      </c>
      <c r="C919" s="8" t="s">
        <v>4</v>
      </c>
      <c r="D919" s="8" t="s">
        <v>173</v>
      </c>
      <c r="E919" s="4">
        <v>835.21</v>
      </c>
    </row>
    <row r="920" spans="1:5" ht="25.5" x14ac:dyDescent="0.2">
      <c r="A920" s="63" t="s">
        <v>964</v>
      </c>
      <c r="B920" s="64" t="s">
        <v>963</v>
      </c>
      <c r="C920" s="8" t="s">
        <v>4</v>
      </c>
      <c r="D920" s="8" t="s">
        <v>173</v>
      </c>
      <c r="E920" s="4">
        <v>210.11</v>
      </c>
    </row>
    <row r="921" spans="1:5" ht="38.25" x14ac:dyDescent="0.2">
      <c r="A921" s="63" t="s">
        <v>962</v>
      </c>
      <c r="B921" s="64" t="s">
        <v>961</v>
      </c>
      <c r="C921" s="8" t="s">
        <v>4</v>
      </c>
      <c r="D921" s="8" t="s">
        <v>173</v>
      </c>
      <c r="E921" s="4">
        <v>111.36</v>
      </c>
    </row>
    <row r="922" spans="1:5" ht="25.5" x14ac:dyDescent="0.2">
      <c r="A922" s="63" t="s">
        <v>960</v>
      </c>
      <c r="B922" s="64" t="s">
        <v>959</v>
      </c>
      <c r="C922" s="8" t="s">
        <v>4</v>
      </c>
      <c r="D922" s="8" t="s">
        <v>173</v>
      </c>
      <c r="E922" s="4">
        <v>118.83</v>
      </c>
    </row>
    <row r="923" spans="1:5" ht="38.25" x14ac:dyDescent="0.2">
      <c r="A923" s="63" t="s">
        <v>958</v>
      </c>
      <c r="B923" s="64" t="s">
        <v>957</v>
      </c>
      <c r="C923" s="8" t="s">
        <v>4</v>
      </c>
      <c r="D923" s="8" t="s">
        <v>173</v>
      </c>
      <c r="E923" s="4">
        <v>177.73</v>
      </c>
    </row>
    <row r="924" spans="1:5" ht="38.25" x14ac:dyDescent="0.2">
      <c r="A924" s="63" t="s">
        <v>956</v>
      </c>
      <c r="B924" s="64" t="s">
        <v>955</v>
      </c>
      <c r="C924" s="8" t="s">
        <v>4</v>
      </c>
      <c r="D924" s="8" t="s">
        <v>173</v>
      </c>
      <c r="E924" s="4">
        <v>89.09</v>
      </c>
    </row>
    <row r="925" spans="1:5" ht="25.5" x14ac:dyDescent="0.2">
      <c r="A925" s="63" t="s">
        <v>954</v>
      </c>
      <c r="B925" s="64" t="s">
        <v>953</v>
      </c>
      <c r="C925" s="8" t="s">
        <v>4</v>
      </c>
      <c r="D925" s="8" t="s">
        <v>3</v>
      </c>
      <c r="E925" s="4">
        <v>37.880000000000003</v>
      </c>
    </row>
    <row r="926" spans="1:5" ht="51" x14ac:dyDescent="0.2">
      <c r="A926" s="63" t="s">
        <v>952</v>
      </c>
      <c r="B926" s="64" t="s">
        <v>951</v>
      </c>
      <c r="C926" s="8" t="s">
        <v>4</v>
      </c>
      <c r="D926" s="8" t="s">
        <v>173</v>
      </c>
      <c r="E926" s="4">
        <v>206.37</v>
      </c>
    </row>
    <row r="927" spans="1:5" x14ac:dyDescent="0.2">
      <c r="A927" s="63" t="s">
        <v>950</v>
      </c>
      <c r="B927" s="64" t="s">
        <v>949</v>
      </c>
      <c r="C927" s="8" t="s">
        <v>4</v>
      </c>
      <c r="D927" s="8" t="s">
        <v>173</v>
      </c>
      <c r="E927" s="4">
        <v>330</v>
      </c>
    </row>
    <row r="928" spans="1:5" ht="38.25" x14ac:dyDescent="0.2">
      <c r="A928" s="63" t="s">
        <v>948</v>
      </c>
      <c r="B928" s="64" t="s">
        <v>947</v>
      </c>
      <c r="C928" s="8" t="s">
        <v>4</v>
      </c>
      <c r="D928" s="8" t="s">
        <v>173</v>
      </c>
      <c r="E928" s="4">
        <v>397.24</v>
      </c>
    </row>
    <row r="929" spans="1:5" ht="38.25" x14ac:dyDescent="0.2">
      <c r="A929" s="63" t="s">
        <v>946</v>
      </c>
      <c r="B929" s="64" t="s">
        <v>945</v>
      </c>
      <c r="C929" s="8" t="s">
        <v>4</v>
      </c>
      <c r="D929" s="8" t="s">
        <v>173</v>
      </c>
      <c r="E929" s="4">
        <v>632.29999999999995</v>
      </c>
    </row>
    <row r="930" spans="1:5" ht="25.5" x14ac:dyDescent="0.2">
      <c r="A930" s="63" t="s">
        <v>944</v>
      </c>
      <c r="B930" s="64" t="s">
        <v>943</v>
      </c>
      <c r="C930" s="8" t="s">
        <v>4</v>
      </c>
      <c r="D930" s="8" t="s">
        <v>173</v>
      </c>
      <c r="E930" s="4">
        <v>62.17</v>
      </c>
    </row>
    <row r="931" spans="1:5" x14ac:dyDescent="0.2">
      <c r="A931" s="63" t="s">
        <v>942</v>
      </c>
      <c r="B931" s="64" t="s">
        <v>941</v>
      </c>
      <c r="C931" s="8" t="s">
        <v>4</v>
      </c>
      <c r="D931" s="8" t="s">
        <v>173</v>
      </c>
      <c r="E931" s="4">
        <v>165</v>
      </c>
    </row>
    <row r="932" spans="1:5" x14ac:dyDescent="0.2">
      <c r="A932" s="63" t="s">
        <v>940</v>
      </c>
      <c r="B932" s="64" t="s">
        <v>939</v>
      </c>
      <c r="C932" s="8" t="s">
        <v>4</v>
      </c>
      <c r="D932" s="8" t="s">
        <v>173</v>
      </c>
      <c r="E932" s="4">
        <v>110</v>
      </c>
    </row>
    <row r="933" spans="1:5" x14ac:dyDescent="0.2">
      <c r="A933" s="63" t="s">
        <v>938</v>
      </c>
      <c r="B933" s="64" t="s">
        <v>937</v>
      </c>
      <c r="C933" s="8" t="s">
        <v>4</v>
      </c>
      <c r="D933" s="8" t="s">
        <v>173</v>
      </c>
      <c r="E933" s="4">
        <v>82.5</v>
      </c>
    </row>
    <row r="934" spans="1:5" ht="38.25" x14ac:dyDescent="0.2">
      <c r="A934" s="63" t="s">
        <v>936</v>
      </c>
      <c r="B934" s="64" t="s">
        <v>935</v>
      </c>
      <c r="C934" s="8" t="s">
        <v>4</v>
      </c>
      <c r="D934" s="8" t="s">
        <v>173</v>
      </c>
      <c r="E934" s="4">
        <v>72.03</v>
      </c>
    </row>
    <row r="935" spans="1:5" ht="51" x14ac:dyDescent="0.2">
      <c r="A935" s="63" t="s">
        <v>934</v>
      </c>
      <c r="B935" s="64" t="s">
        <v>933</v>
      </c>
      <c r="C935" s="8" t="s">
        <v>4</v>
      </c>
      <c r="D935" s="8" t="s">
        <v>173</v>
      </c>
      <c r="E935" s="4">
        <v>33.340000000000003</v>
      </c>
    </row>
    <row r="936" spans="1:5" x14ac:dyDescent="0.2">
      <c r="A936" s="63" t="s">
        <v>932</v>
      </c>
      <c r="B936" s="64" t="s">
        <v>928</v>
      </c>
      <c r="C936" s="8" t="s">
        <v>4</v>
      </c>
      <c r="D936" s="8" t="s">
        <v>173</v>
      </c>
      <c r="E936" s="4">
        <v>55.68</v>
      </c>
    </row>
    <row r="937" spans="1:5" ht="51" x14ac:dyDescent="0.2">
      <c r="A937" s="63" t="s">
        <v>931</v>
      </c>
      <c r="B937" s="64" t="s">
        <v>930</v>
      </c>
      <c r="C937" s="8" t="s">
        <v>4</v>
      </c>
      <c r="D937" s="8" t="s">
        <v>173</v>
      </c>
      <c r="E937" s="4">
        <v>150.08000000000001</v>
      </c>
    </row>
    <row r="938" spans="1:5" x14ac:dyDescent="0.2">
      <c r="A938" s="63" t="s">
        <v>929</v>
      </c>
      <c r="B938" s="64" t="s">
        <v>928</v>
      </c>
      <c r="C938" s="8" t="s">
        <v>4</v>
      </c>
      <c r="D938" s="8" t="s">
        <v>173</v>
      </c>
      <c r="E938" s="4">
        <v>120.06</v>
      </c>
    </row>
    <row r="939" spans="1:5" ht="25.5" x14ac:dyDescent="0.2">
      <c r="A939" s="63" t="s">
        <v>927</v>
      </c>
      <c r="B939" s="64" t="s">
        <v>926</v>
      </c>
      <c r="C939" s="8" t="s">
        <v>143</v>
      </c>
      <c r="D939" s="8" t="s">
        <v>173</v>
      </c>
      <c r="E939" s="4">
        <v>23.81</v>
      </c>
    </row>
    <row r="940" spans="1:5" x14ac:dyDescent="0.2">
      <c r="A940" s="63" t="s">
        <v>925</v>
      </c>
      <c r="B940" s="64" t="s">
        <v>924</v>
      </c>
      <c r="C940" s="8" t="s">
        <v>143</v>
      </c>
      <c r="D940" s="8" t="s">
        <v>173</v>
      </c>
      <c r="E940" s="4">
        <v>31.75</v>
      </c>
    </row>
    <row r="941" spans="1:5" x14ac:dyDescent="0.2">
      <c r="A941" s="63" t="s">
        <v>923</v>
      </c>
      <c r="B941" s="64" t="s">
        <v>922</v>
      </c>
      <c r="C941" s="8" t="s">
        <v>143</v>
      </c>
      <c r="D941" s="8" t="s">
        <v>173</v>
      </c>
      <c r="E941" s="4">
        <v>39.69</v>
      </c>
    </row>
    <row r="942" spans="1:5" ht="25.5" x14ac:dyDescent="0.2">
      <c r="A942" s="63" t="s">
        <v>921</v>
      </c>
      <c r="B942" s="64" t="s">
        <v>920</v>
      </c>
      <c r="C942" s="8" t="s">
        <v>4</v>
      </c>
      <c r="D942" s="8" t="s">
        <v>173</v>
      </c>
      <c r="E942" s="4">
        <v>133.63</v>
      </c>
    </row>
    <row r="943" spans="1:5" ht="25.5" x14ac:dyDescent="0.2">
      <c r="A943" s="63" t="s">
        <v>919</v>
      </c>
      <c r="B943" s="64" t="s">
        <v>918</v>
      </c>
      <c r="C943" s="8" t="s">
        <v>4</v>
      </c>
      <c r="D943" s="8" t="s">
        <v>173</v>
      </c>
      <c r="E943" s="4">
        <v>167.04</v>
      </c>
    </row>
    <row r="944" spans="1:5" x14ac:dyDescent="0.2">
      <c r="A944" s="63" t="s">
        <v>917</v>
      </c>
      <c r="B944" s="64" t="s">
        <v>916</v>
      </c>
      <c r="C944" s="8" t="s">
        <v>4</v>
      </c>
      <c r="D944" s="8" t="s">
        <v>3</v>
      </c>
      <c r="E944" s="4">
        <v>11</v>
      </c>
    </row>
    <row r="945" spans="1:5" ht="25.5" x14ac:dyDescent="0.2">
      <c r="A945" s="63" t="s">
        <v>915</v>
      </c>
      <c r="B945" s="64" t="s">
        <v>914</v>
      </c>
      <c r="C945" s="8" t="s">
        <v>136</v>
      </c>
      <c r="D945" s="8" t="s">
        <v>160</v>
      </c>
      <c r="E945" s="4">
        <v>102.05</v>
      </c>
    </row>
    <row r="946" spans="1:5" ht="51" x14ac:dyDescent="0.2">
      <c r="A946" s="7" t="s">
        <v>913</v>
      </c>
      <c r="B946" s="6" t="s">
        <v>912</v>
      </c>
      <c r="C946" s="5"/>
      <c r="D946" s="5"/>
      <c r="E946" s="4">
        <v>0</v>
      </c>
    </row>
    <row r="947" spans="1:5" x14ac:dyDescent="0.2">
      <c r="A947" s="7" t="s">
        <v>911</v>
      </c>
      <c r="B947" s="6" t="s">
        <v>910</v>
      </c>
      <c r="C947" s="5"/>
      <c r="D947" s="5"/>
      <c r="E947" s="4">
        <v>0</v>
      </c>
    </row>
    <row r="948" spans="1:5" ht="25.5" x14ac:dyDescent="0.2">
      <c r="A948" s="63" t="s">
        <v>909</v>
      </c>
      <c r="B948" s="64" t="s">
        <v>908</v>
      </c>
      <c r="C948" s="8" t="s">
        <v>136</v>
      </c>
      <c r="D948" s="8" t="s">
        <v>160</v>
      </c>
      <c r="E948" s="4">
        <v>8.4</v>
      </c>
    </row>
    <row r="949" spans="1:5" ht="25.5" x14ac:dyDescent="0.2">
      <c r="A949" s="63" t="s">
        <v>907</v>
      </c>
      <c r="B949" s="64" t="s">
        <v>906</v>
      </c>
      <c r="C949" s="8" t="s">
        <v>136</v>
      </c>
      <c r="D949" s="8" t="s">
        <v>160</v>
      </c>
      <c r="E949" s="4">
        <v>7.79</v>
      </c>
    </row>
    <row r="950" spans="1:5" x14ac:dyDescent="0.2">
      <c r="A950" s="63" t="s">
        <v>905</v>
      </c>
      <c r="B950" s="64" t="s">
        <v>897</v>
      </c>
      <c r="C950" s="8" t="s">
        <v>136</v>
      </c>
      <c r="D950" s="8" t="s">
        <v>160</v>
      </c>
      <c r="E950" s="4">
        <v>9.6</v>
      </c>
    </row>
    <row r="951" spans="1:5" x14ac:dyDescent="0.2">
      <c r="A951" s="63" t="s">
        <v>904</v>
      </c>
      <c r="B951" s="64" t="s">
        <v>895</v>
      </c>
      <c r="C951" s="8" t="s">
        <v>136</v>
      </c>
      <c r="D951" s="8" t="s">
        <v>160</v>
      </c>
      <c r="E951" s="4">
        <v>9.6</v>
      </c>
    </row>
    <row r="952" spans="1:5" x14ac:dyDescent="0.2">
      <c r="A952" s="63" t="s">
        <v>903</v>
      </c>
      <c r="B952" s="64" t="s">
        <v>893</v>
      </c>
      <c r="C952" s="8" t="s">
        <v>136</v>
      </c>
      <c r="D952" s="8" t="s">
        <v>160</v>
      </c>
      <c r="E952" s="4">
        <v>8.4</v>
      </c>
    </row>
    <row r="953" spans="1:5" x14ac:dyDescent="0.2">
      <c r="A953" s="63" t="s">
        <v>902</v>
      </c>
      <c r="B953" s="64" t="s">
        <v>891</v>
      </c>
      <c r="C953" s="8" t="s">
        <v>136</v>
      </c>
      <c r="D953" s="8" t="s">
        <v>160</v>
      </c>
      <c r="E953" s="4">
        <v>11.89</v>
      </c>
    </row>
    <row r="954" spans="1:5" x14ac:dyDescent="0.2">
      <c r="A954" s="63" t="s">
        <v>901</v>
      </c>
      <c r="B954" s="64" t="s">
        <v>889</v>
      </c>
      <c r="C954" s="8" t="s">
        <v>136</v>
      </c>
      <c r="D954" s="8" t="s">
        <v>160</v>
      </c>
      <c r="E954" s="4">
        <v>7.8</v>
      </c>
    </row>
    <row r="955" spans="1:5" ht="25.5" x14ac:dyDescent="0.2">
      <c r="A955" s="63" t="s">
        <v>900</v>
      </c>
      <c r="B955" s="64" t="s">
        <v>899</v>
      </c>
      <c r="C955" s="8" t="s">
        <v>136</v>
      </c>
      <c r="D955" s="8" t="s">
        <v>160</v>
      </c>
      <c r="E955" s="4">
        <v>5.4</v>
      </c>
    </row>
    <row r="956" spans="1:5" x14ac:dyDescent="0.2">
      <c r="A956" s="63" t="s">
        <v>898</v>
      </c>
      <c r="B956" s="64" t="s">
        <v>897</v>
      </c>
      <c r="C956" s="8" t="s">
        <v>136</v>
      </c>
      <c r="D956" s="8" t="s">
        <v>160</v>
      </c>
      <c r="E956" s="4">
        <v>6.68</v>
      </c>
    </row>
    <row r="957" spans="1:5" x14ac:dyDescent="0.2">
      <c r="A957" s="63" t="s">
        <v>896</v>
      </c>
      <c r="B957" s="64" t="s">
        <v>895</v>
      </c>
      <c r="C957" s="8" t="s">
        <v>136</v>
      </c>
      <c r="D957" s="8" t="s">
        <v>160</v>
      </c>
      <c r="E957" s="4">
        <v>7.56</v>
      </c>
    </row>
    <row r="958" spans="1:5" x14ac:dyDescent="0.2">
      <c r="A958" s="63" t="s">
        <v>894</v>
      </c>
      <c r="B958" s="64" t="s">
        <v>893</v>
      </c>
      <c r="C958" s="8" t="s">
        <v>136</v>
      </c>
      <c r="D958" s="8" t="s">
        <v>160</v>
      </c>
      <c r="E958" s="4">
        <v>6</v>
      </c>
    </row>
    <row r="959" spans="1:5" x14ac:dyDescent="0.2">
      <c r="A959" s="63" t="s">
        <v>892</v>
      </c>
      <c r="B959" s="64" t="s">
        <v>891</v>
      </c>
      <c r="C959" s="8" t="s">
        <v>136</v>
      </c>
      <c r="D959" s="8" t="s">
        <v>160</v>
      </c>
      <c r="E959" s="4">
        <v>9.52</v>
      </c>
    </row>
    <row r="960" spans="1:5" x14ac:dyDescent="0.2">
      <c r="A960" s="63" t="s">
        <v>890</v>
      </c>
      <c r="B960" s="64" t="s">
        <v>889</v>
      </c>
      <c r="C960" s="8" t="s">
        <v>136</v>
      </c>
      <c r="D960" s="8" t="s">
        <v>160</v>
      </c>
      <c r="E960" s="4">
        <v>6</v>
      </c>
    </row>
    <row r="961" spans="1:5" x14ac:dyDescent="0.2">
      <c r="A961" s="7" t="s">
        <v>888</v>
      </c>
      <c r="B961" s="6" t="s">
        <v>887</v>
      </c>
      <c r="C961" s="5"/>
      <c r="D961" s="5"/>
      <c r="E961" s="4">
        <v>0</v>
      </c>
    </row>
    <row r="962" spans="1:5" ht="25.5" x14ac:dyDescent="0.2">
      <c r="A962" s="63" t="s">
        <v>886</v>
      </c>
      <c r="B962" s="64" t="s">
        <v>885</v>
      </c>
      <c r="C962" s="8" t="s">
        <v>136</v>
      </c>
      <c r="D962" s="8" t="s">
        <v>160</v>
      </c>
      <c r="E962" s="4">
        <v>12.01</v>
      </c>
    </row>
    <row r="963" spans="1:5" x14ac:dyDescent="0.2">
      <c r="A963" s="63" t="s">
        <v>884</v>
      </c>
      <c r="B963" s="64" t="s">
        <v>883</v>
      </c>
      <c r="C963" s="8" t="s">
        <v>136</v>
      </c>
      <c r="D963" s="8" t="s">
        <v>160</v>
      </c>
      <c r="E963" s="4">
        <v>8.4</v>
      </c>
    </row>
    <row r="964" spans="1:5" x14ac:dyDescent="0.2">
      <c r="A964" s="63" t="s">
        <v>882</v>
      </c>
      <c r="B964" s="64" t="s">
        <v>881</v>
      </c>
      <c r="C964" s="8" t="s">
        <v>136</v>
      </c>
      <c r="D964" s="8" t="s">
        <v>160</v>
      </c>
      <c r="E964" s="4">
        <v>14.41</v>
      </c>
    </row>
    <row r="965" spans="1:5" ht="25.5" x14ac:dyDescent="0.2">
      <c r="A965" s="63" t="s">
        <v>880</v>
      </c>
      <c r="B965" s="64" t="s">
        <v>879</v>
      </c>
      <c r="C965" s="8" t="s">
        <v>136</v>
      </c>
      <c r="D965" s="8" t="s">
        <v>3</v>
      </c>
      <c r="E965" s="4">
        <v>4.45</v>
      </c>
    </row>
    <row r="966" spans="1:5" ht="25.5" x14ac:dyDescent="0.2">
      <c r="A966" s="63" t="s">
        <v>878</v>
      </c>
      <c r="B966" s="64" t="s">
        <v>877</v>
      </c>
      <c r="C966" s="8" t="s">
        <v>136</v>
      </c>
      <c r="D966" s="8" t="s">
        <v>160</v>
      </c>
      <c r="E966" s="4">
        <v>12.01</v>
      </c>
    </row>
    <row r="967" spans="1:5" ht="25.5" x14ac:dyDescent="0.2">
      <c r="A967" s="63" t="s">
        <v>876</v>
      </c>
      <c r="B967" s="64" t="s">
        <v>875</v>
      </c>
      <c r="C967" s="8" t="s">
        <v>136</v>
      </c>
      <c r="D967" s="8" t="s">
        <v>160</v>
      </c>
      <c r="E967" s="4">
        <v>7.2</v>
      </c>
    </row>
    <row r="968" spans="1:5" x14ac:dyDescent="0.2">
      <c r="A968" s="63" t="s">
        <v>874</v>
      </c>
      <c r="B968" s="64" t="s">
        <v>873</v>
      </c>
      <c r="C968" s="8" t="s">
        <v>136</v>
      </c>
      <c r="D968" s="8" t="s">
        <v>160</v>
      </c>
      <c r="E968" s="4">
        <v>9.6</v>
      </c>
    </row>
    <row r="969" spans="1:5" x14ac:dyDescent="0.2">
      <c r="A969" s="63" t="s">
        <v>872</v>
      </c>
      <c r="B969" s="64" t="s">
        <v>871</v>
      </c>
      <c r="C969" s="8" t="s">
        <v>4</v>
      </c>
      <c r="D969" s="8" t="s">
        <v>160</v>
      </c>
      <c r="E969" s="4">
        <v>14.57</v>
      </c>
    </row>
    <row r="970" spans="1:5" ht="38.25" x14ac:dyDescent="0.2">
      <c r="A970" s="63" t="s">
        <v>870</v>
      </c>
      <c r="B970" s="64" t="s">
        <v>869</v>
      </c>
      <c r="C970" s="8" t="s">
        <v>136</v>
      </c>
      <c r="D970" s="8" t="s">
        <v>160</v>
      </c>
      <c r="E970" s="4">
        <v>18</v>
      </c>
    </row>
    <row r="971" spans="1:5" x14ac:dyDescent="0.2">
      <c r="A971" s="63" t="s">
        <v>868</v>
      </c>
      <c r="B971" s="64" t="s">
        <v>867</v>
      </c>
      <c r="C971" s="8" t="s">
        <v>136</v>
      </c>
      <c r="D971" s="8" t="s">
        <v>160</v>
      </c>
      <c r="E971" s="4">
        <v>19.2</v>
      </c>
    </row>
    <row r="972" spans="1:5" ht="38.25" x14ac:dyDescent="0.2">
      <c r="A972" s="63" t="s">
        <v>866</v>
      </c>
      <c r="B972" s="64" t="s">
        <v>865</v>
      </c>
      <c r="C972" s="8" t="s">
        <v>136</v>
      </c>
      <c r="D972" s="8" t="s">
        <v>160</v>
      </c>
      <c r="E972" s="4">
        <v>18</v>
      </c>
    </row>
    <row r="973" spans="1:5" x14ac:dyDescent="0.2">
      <c r="A973" s="63" t="s">
        <v>864</v>
      </c>
      <c r="B973" s="64" t="s">
        <v>863</v>
      </c>
      <c r="C973" s="8" t="s">
        <v>136</v>
      </c>
      <c r="D973" s="8" t="s">
        <v>160</v>
      </c>
      <c r="E973" s="4">
        <v>19.2</v>
      </c>
    </row>
    <row r="974" spans="1:5" x14ac:dyDescent="0.2">
      <c r="A974" s="63" t="s">
        <v>862</v>
      </c>
      <c r="B974" s="64" t="s">
        <v>861</v>
      </c>
      <c r="C974" s="8" t="s">
        <v>136</v>
      </c>
      <c r="D974" s="8" t="s">
        <v>160</v>
      </c>
      <c r="E974" s="4">
        <v>18.93</v>
      </c>
    </row>
    <row r="975" spans="1:5" ht="25.5" x14ac:dyDescent="0.2">
      <c r="A975" s="63" t="s">
        <v>860</v>
      </c>
      <c r="B975" s="64" t="s">
        <v>859</v>
      </c>
      <c r="C975" s="8" t="s">
        <v>136</v>
      </c>
      <c r="D975" s="8" t="s">
        <v>160</v>
      </c>
      <c r="E975" s="4">
        <v>24.01</v>
      </c>
    </row>
    <row r="976" spans="1:5" x14ac:dyDescent="0.2">
      <c r="A976" s="7" t="s">
        <v>858</v>
      </c>
      <c r="B976" s="6" t="s">
        <v>857</v>
      </c>
      <c r="C976" s="5"/>
      <c r="D976" s="5"/>
      <c r="E976" s="4">
        <v>0</v>
      </c>
    </row>
    <row r="977" spans="1:5" ht="25.5" x14ac:dyDescent="0.2">
      <c r="A977" s="63" t="s">
        <v>856</v>
      </c>
      <c r="B977" s="64" t="s">
        <v>855</v>
      </c>
      <c r="C977" s="8" t="s">
        <v>143</v>
      </c>
      <c r="D977" s="8" t="s">
        <v>173</v>
      </c>
      <c r="E977" s="4">
        <v>4.76</v>
      </c>
    </row>
    <row r="978" spans="1:5" x14ac:dyDescent="0.2">
      <c r="A978" s="63" t="s">
        <v>854</v>
      </c>
      <c r="B978" s="64" t="s">
        <v>853</v>
      </c>
      <c r="C978" s="8" t="s">
        <v>4</v>
      </c>
      <c r="D978" s="8" t="s">
        <v>160</v>
      </c>
      <c r="E978" s="4">
        <v>4.76</v>
      </c>
    </row>
    <row r="979" spans="1:5" x14ac:dyDescent="0.2">
      <c r="A979" s="63" t="s">
        <v>852</v>
      </c>
      <c r="B979" s="64" t="s">
        <v>851</v>
      </c>
      <c r="C979" s="8" t="s">
        <v>143</v>
      </c>
      <c r="D979" s="8" t="s">
        <v>160</v>
      </c>
      <c r="E979" s="4">
        <v>12.01</v>
      </c>
    </row>
    <row r="980" spans="1:5" ht="25.5" x14ac:dyDescent="0.2">
      <c r="A980" s="63" t="s">
        <v>850</v>
      </c>
      <c r="B980" s="64" t="s">
        <v>849</v>
      </c>
      <c r="C980" s="8" t="s">
        <v>136</v>
      </c>
      <c r="D980" s="8" t="s">
        <v>160</v>
      </c>
      <c r="E980" s="4">
        <v>14.41</v>
      </c>
    </row>
    <row r="981" spans="1:5" ht="25.5" x14ac:dyDescent="0.2">
      <c r="A981" s="63" t="s">
        <v>848</v>
      </c>
      <c r="B981" s="64" t="s">
        <v>847</v>
      </c>
      <c r="C981" s="8" t="s">
        <v>136</v>
      </c>
      <c r="D981" s="8" t="s">
        <v>160</v>
      </c>
      <c r="E981" s="4">
        <v>18</v>
      </c>
    </row>
    <row r="982" spans="1:5" ht="25.5" x14ac:dyDescent="0.2">
      <c r="A982" s="63" t="s">
        <v>846</v>
      </c>
      <c r="B982" s="64" t="s">
        <v>845</v>
      </c>
      <c r="C982" s="8" t="s">
        <v>136</v>
      </c>
      <c r="D982" s="8" t="s">
        <v>160</v>
      </c>
      <c r="E982" s="4">
        <v>20.41</v>
      </c>
    </row>
    <row r="983" spans="1:5" ht="38.25" x14ac:dyDescent="0.2">
      <c r="A983" s="63" t="s">
        <v>844</v>
      </c>
      <c r="B983" s="64" t="s">
        <v>843</v>
      </c>
      <c r="C983" s="8" t="s">
        <v>136</v>
      </c>
      <c r="D983" s="8" t="s">
        <v>160</v>
      </c>
      <c r="E983" s="4">
        <v>18</v>
      </c>
    </row>
    <row r="984" spans="1:5" ht="25.5" x14ac:dyDescent="0.2">
      <c r="A984" s="63" t="s">
        <v>842</v>
      </c>
      <c r="B984" s="64" t="s">
        <v>841</v>
      </c>
      <c r="C984" s="8" t="s">
        <v>136</v>
      </c>
      <c r="D984" s="8" t="s">
        <v>160</v>
      </c>
      <c r="E984" s="4">
        <v>36.020000000000003</v>
      </c>
    </row>
    <row r="985" spans="1:5" x14ac:dyDescent="0.2">
      <c r="A985" s="7" t="s">
        <v>840</v>
      </c>
      <c r="B985" s="6" t="s">
        <v>839</v>
      </c>
      <c r="C985" s="5"/>
      <c r="D985" s="5"/>
      <c r="E985" s="4">
        <v>0</v>
      </c>
    </row>
    <row r="986" spans="1:5" x14ac:dyDescent="0.2">
      <c r="A986" s="63" t="s">
        <v>838</v>
      </c>
      <c r="B986" s="64" t="s">
        <v>837</v>
      </c>
      <c r="C986" s="8" t="s">
        <v>136</v>
      </c>
      <c r="D986" s="8" t="s">
        <v>173</v>
      </c>
      <c r="E986" s="4">
        <v>12.3</v>
      </c>
    </row>
    <row r="987" spans="1:5" x14ac:dyDescent="0.2">
      <c r="A987" s="63" t="s">
        <v>836</v>
      </c>
      <c r="B987" s="64" t="s">
        <v>835</v>
      </c>
      <c r="C987" s="8" t="s">
        <v>136</v>
      </c>
      <c r="D987" s="8" t="s">
        <v>160</v>
      </c>
      <c r="E987" s="4">
        <v>12.81</v>
      </c>
    </row>
    <row r="988" spans="1:5" x14ac:dyDescent="0.2">
      <c r="A988" s="63" t="s">
        <v>834</v>
      </c>
      <c r="B988" s="64" t="s">
        <v>833</v>
      </c>
      <c r="C988" s="8" t="s">
        <v>136</v>
      </c>
      <c r="D988" s="8" t="s">
        <v>160</v>
      </c>
      <c r="E988" s="4">
        <v>16.8</v>
      </c>
    </row>
    <row r="989" spans="1:5" ht="25.5" x14ac:dyDescent="0.2">
      <c r="A989" s="63" t="s">
        <v>832</v>
      </c>
      <c r="B989" s="64" t="s">
        <v>831</v>
      </c>
      <c r="C989" s="8" t="s">
        <v>136</v>
      </c>
      <c r="D989" s="8" t="s">
        <v>160</v>
      </c>
      <c r="E989" s="4">
        <v>12.81</v>
      </c>
    </row>
    <row r="990" spans="1:5" x14ac:dyDescent="0.2">
      <c r="A990" s="63" t="s">
        <v>830</v>
      </c>
      <c r="B990" s="64" t="s">
        <v>829</v>
      </c>
      <c r="C990" s="8" t="s">
        <v>136</v>
      </c>
      <c r="D990" s="8" t="s">
        <v>160</v>
      </c>
      <c r="E990" s="4">
        <v>17.27</v>
      </c>
    </row>
    <row r="991" spans="1:5" x14ac:dyDescent="0.2">
      <c r="A991" s="63" t="s">
        <v>828</v>
      </c>
      <c r="B991" s="64" t="s">
        <v>827</v>
      </c>
      <c r="C991" s="8" t="s">
        <v>136</v>
      </c>
      <c r="D991" s="8" t="s">
        <v>160</v>
      </c>
      <c r="E991" s="4">
        <v>22.44</v>
      </c>
    </row>
    <row r="992" spans="1:5" ht="25.5" x14ac:dyDescent="0.2">
      <c r="A992" s="63" t="s">
        <v>826</v>
      </c>
      <c r="B992" s="64" t="s">
        <v>825</v>
      </c>
      <c r="C992" s="8" t="s">
        <v>136</v>
      </c>
      <c r="D992" s="8" t="s">
        <v>160</v>
      </c>
      <c r="E992" s="4">
        <v>10.28</v>
      </c>
    </row>
    <row r="993" spans="1:5" x14ac:dyDescent="0.2">
      <c r="A993" s="63" t="s">
        <v>824</v>
      </c>
      <c r="B993" s="64" t="s">
        <v>823</v>
      </c>
      <c r="C993" s="8" t="s">
        <v>136</v>
      </c>
      <c r="D993" s="8" t="s">
        <v>160</v>
      </c>
      <c r="E993" s="4">
        <v>16.55</v>
      </c>
    </row>
    <row r="994" spans="1:5" ht="25.5" x14ac:dyDescent="0.2">
      <c r="A994" s="7" t="s">
        <v>822</v>
      </c>
      <c r="B994" s="6" t="s">
        <v>821</v>
      </c>
      <c r="C994" s="5"/>
      <c r="D994" s="5"/>
      <c r="E994" s="4">
        <v>0</v>
      </c>
    </row>
    <row r="995" spans="1:5" x14ac:dyDescent="0.2">
      <c r="A995" s="7" t="s">
        <v>820</v>
      </c>
      <c r="B995" s="6" t="s">
        <v>819</v>
      </c>
      <c r="C995" s="5"/>
      <c r="D995" s="5"/>
      <c r="E995" s="4">
        <v>0</v>
      </c>
    </row>
    <row r="996" spans="1:5" ht="25.5" x14ac:dyDescent="0.2">
      <c r="A996" s="63" t="s">
        <v>818</v>
      </c>
      <c r="B996" s="64" t="s">
        <v>817</v>
      </c>
      <c r="C996" s="8" t="s">
        <v>143</v>
      </c>
      <c r="D996" s="8" t="s">
        <v>160</v>
      </c>
      <c r="E996" s="4">
        <v>66</v>
      </c>
    </row>
    <row r="997" spans="1:5" ht="25.5" x14ac:dyDescent="0.2">
      <c r="A997" s="63" t="s">
        <v>816</v>
      </c>
      <c r="B997" s="64" t="s">
        <v>815</v>
      </c>
      <c r="C997" s="8" t="s">
        <v>143</v>
      </c>
      <c r="D997" s="8" t="s">
        <v>160</v>
      </c>
      <c r="E997" s="4">
        <v>47.7</v>
      </c>
    </row>
    <row r="998" spans="1:5" x14ac:dyDescent="0.2">
      <c r="A998" s="63" t="s">
        <v>814</v>
      </c>
      <c r="B998" s="64" t="s">
        <v>355</v>
      </c>
      <c r="C998" s="8" t="s">
        <v>143</v>
      </c>
      <c r="D998" s="8" t="s">
        <v>160</v>
      </c>
      <c r="E998" s="4">
        <v>30.26</v>
      </c>
    </row>
    <row r="999" spans="1:5" x14ac:dyDescent="0.2">
      <c r="A999" s="63" t="s">
        <v>813</v>
      </c>
      <c r="B999" s="64" t="s">
        <v>600</v>
      </c>
      <c r="C999" s="8" t="s">
        <v>143</v>
      </c>
      <c r="D999" s="8" t="s">
        <v>160</v>
      </c>
      <c r="E999" s="4">
        <v>21.65</v>
      </c>
    </row>
    <row r="1000" spans="1:5" x14ac:dyDescent="0.2">
      <c r="A1000" s="63" t="s">
        <v>812</v>
      </c>
      <c r="B1000" s="64" t="s">
        <v>802</v>
      </c>
      <c r="C1000" s="8" t="s">
        <v>143</v>
      </c>
      <c r="D1000" s="8" t="s">
        <v>160</v>
      </c>
      <c r="E1000" s="4">
        <v>18.64</v>
      </c>
    </row>
    <row r="1001" spans="1:5" x14ac:dyDescent="0.2">
      <c r="A1001" s="63" t="s">
        <v>811</v>
      </c>
      <c r="B1001" s="64" t="s">
        <v>359</v>
      </c>
      <c r="C1001" s="8" t="s">
        <v>143</v>
      </c>
      <c r="D1001" s="8" t="s">
        <v>160</v>
      </c>
      <c r="E1001" s="4">
        <v>14.6</v>
      </c>
    </row>
    <row r="1002" spans="1:5" x14ac:dyDescent="0.2">
      <c r="A1002" s="63" t="s">
        <v>810</v>
      </c>
      <c r="B1002" s="64" t="s">
        <v>361</v>
      </c>
      <c r="C1002" s="8" t="s">
        <v>143</v>
      </c>
      <c r="D1002" s="8" t="s">
        <v>160</v>
      </c>
      <c r="E1002" s="4">
        <v>9.81</v>
      </c>
    </row>
    <row r="1003" spans="1:5" x14ac:dyDescent="0.2">
      <c r="A1003" s="63" t="s">
        <v>809</v>
      </c>
      <c r="B1003" s="64" t="s">
        <v>729</v>
      </c>
      <c r="C1003" s="8" t="s">
        <v>143</v>
      </c>
      <c r="D1003" s="8" t="s">
        <v>160</v>
      </c>
      <c r="E1003" s="4">
        <v>8.06</v>
      </c>
    </row>
    <row r="1004" spans="1:5" ht="25.5" x14ac:dyDescent="0.2">
      <c r="A1004" s="63" t="s">
        <v>808</v>
      </c>
      <c r="B1004" s="64" t="s">
        <v>807</v>
      </c>
      <c r="C1004" s="8" t="s">
        <v>4</v>
      </c>
      <c r="D1004" s="8" t="s">
        <v>160</v>
      </c>
      <c r="E1004" s="4">
        <v>5.5</v>
      </c>
    </row>
    <row r="1005" spans="1:5" x14ac:dyDescent="0.2">
      <c r="A1005" s="63" t="s">
        <v>806</v>
      </c>
      <c r="B1005" s="64" t="s">
        <v>805</v>
      </c>
      <c r="C1005" s="8" t="s">
        <v>4</v>
      </c>
      <c r="D1005" s="8" t="s">
        <v>160</v>
      </c>
      <c r="E1005" s="4">
        <v>5.5</v>
      </c>
    </row>
    <row r="1006" spans="1:5" x14ac:dyDescent="0.2">
      <c r="A1006" s="63" t="s">
        <v>804</v>
      </c>
      <c r="B1006" s="64" t="s">
        <v>600</v>
      </c>
      <c r="C1006" s="8" t="s">
        <v>4</v>
      </c>
      <c r="D1006" s="8" t="s">
        <v>160</v>
      </c>
      <c r="E1006" s="4">
        <v>4.4000000000000004</v>
      </c>
    </row>
    <row r="1007" spans="1:5" x14ac:dyDescent="0.2">
      <c r="A1007" s="63" t="s">
        <v>803</v>
      </c>
      <c r="B1007" s="64" t="s">
        <v>802</v>
      </c>
      <c r="C1007" s="8" t="s">
        <v>4</v>
      </c>
      <c r="D1007" s="8" t="s">
        <v>160</v>
      </c>
      <c r="E1007" s="4">
        <v>4.4000000000000004</v>
      </c>
    </row>
    <row r="1008" spans="1:5" x14ac:dyDescent="0.2">
      <c r="A1008" s="63" t="s">
        <v>801</v>
      </c>
      <c r="B1008" s="64" t="s">
        <v>359</v>
      </c>
      <c r="C1008" s="8" t="s">
        <v>4</v>
      </c>
      <c r="D1008" s="8" t="s">
        <v>160</v>
      </c>
      <c r="E1008" s="4">
        <v>3.3</v>
      </c>
    </row>
    <row r="1009" spans="1:5" x14ac:dyDescent="0.2">
      <c r="A1009" s="63" t="s">
        <v>800</v>
      </c>
      <c r="B1009" s="64" t="s">
        <v>361</v>
      </c>
      <c r="C1009" s="8" t="s">
        <v>4</v>
      </c>
      <c r="D1009" s="8" t="s">
        <v>160</v>
      </c>
      <c r="E1009" s="4">
        <v>3.3</v>
      </c>
    </row>
    <row r="1010" spans="1:5" x14ac:dyDescent="0.2">
      <c r="A1010" s="63" t="s">
        <v>799</v>
      </c>
      <c r="B1010" s="64" t="s">
        <v>729</v>
      </c>
      <c r="C1010" s="8" t="s">
        <v>4</v>
      </c>
      <c r="D1010" s="8" t="s">
        <v>160</v>
      </c>
      <c r="E1010" s="4">
        <v>2.2000000000000002</v>
      </c>
    </row>
    <row r="1011" spans="1:5" ht="25.5" x14ac:dyDescent="0.2">
      <c r="A1011" s="63" t="s">
        <v>798</v>
      </c>
      <c r="B1011" s="64" t="s">
        <v>797</v>
      </c>
      <c r="C1011" s="8" t="s">
        <v>143</v>
      </c>
      <c r="D1011" s="8" t="s">
        <v>160</v>
      </c>
      <c r="E1011" s="4">
        <v>10.8</v>
      </c>
    </row>
    <row r="1012" spans="1:5" x14ac:dyDescent="0.2">
      <c r="A1012" s="63" t="s">
        <v>796</v>
      </c>
      <c r="B1012" s="64" t="s">
        <v>650</v>
      </c>
      <c r="C1012" s="8" t="s">
        <v>143</v>
      </c>
      <c r="D1012" s="8" t="s">
        <v>160</v>
      </c>
      <c r="E1012" s="4">
        <v>12.01</v>
      </c>
    </row>
    <row r="1013" spans="1:5" x14ac:dyDescent="0.2">
      <c r="A1013" s="63" t="s">
        <v>795</v>
      </c>
      <c r="B1013" s="64" t="s">
        <v>648</v>
      </c>
      <c r="C1013" s="8" t="s">
        <v>143</v>
      </c>
      <c r="D1013" s="8" t="s">
        <v>160</v>
      </c>
      <c r="E1013" s="4">
        <v>13.21</v>
      </c>
    </row>
    <row r="1014" spans="1:5" x14ac:dyDescent="0.2">
      <c r="A1014" s="63" t="s">
        <v>794</v>
      </c>
      <c r="B1014" s="64" t="s">
        <v>787</v>
      </c>
      <c r="C1014" s="8" t="s">
        <v>143</v>
      </c>
      <c r="D1014" s="8" t="s">
        <v>160</v>
      </c>
      <c r="E1014" s="4">
        <v>14.41</v>
      </c>
    </row>
    <row r="1015" spans="1:5" x14ac:dyDescent="0.2">
      <c r="A1015" s="63" t="s">
        <v>793</v>
      </c>
      <c r="B1015" s="64" t="s">
        <v>646</v>
      </c>
      <c r="C1015" s="8" t="s">
        <v>143</v>
      </c>
      <c r="D1015" s="8" t="s">
        <v>160</v>
      </c>
      <c r="E1015" s="4">
        <v>16.8</v>
      </c>
    </row>
    <row r="1016" spans="1:5" ht="25.5" x14ac:dyDescent="0.2">
      <c r="A1016" s="63" t="s">
        <v>792</v>
      </c>
      <c r="B1016" s="64" t="s">
        <v>791</v>
      </c>
      <c r="C1016" s="8" t="s">
        <v>4</v>
      </c>
      <c r="D1016" s="8" t="s">
        <v>160</v>
      </c>
      <c r="E1016" s="4">
        <v>5.5</v>
      </c>
    </row>
    <row r="1017" spans="1:5" x14ac:dyDescent="0.2">
      <c r="A1017" s="63" t="s">
        <v>790</v>
      </c>
      <c r="B1017" s="64" t="s">
        <v>650</v>
      </c>
      <c r="C1017" s="8" t="s">
        <v>4</v>
      </c>
      <c r="D1017" s="8" t="s">
        <v>160</v>
      </c>
      <c r="E1017" s="4">
        <v>5.5</v>
      </c>
    </row>
    <row r="1018" spans="1:5" x14ac:dyDescent="0.2">
      <c r="A1018" s="63" t="s">
        <v>789</v>
      </c>
      <c r="B1018" s="64" t="s">
        <v>648</v>
      </c>
      <c r="C1018" s="8" t="s">
        <v>4</v>
      </c>
      <c r="D1018" s="8" t="s">
        <v>160</v>
      </c>
      <c r="E1018" s="4">
        <v>4.4000000000000004</v>
      </c>
    </row>
    <row r="1019" spans="1:5" x14ac:dyDescent="0.2">
      <c r="A1019" s="63" t="s">
        <v>788</v>
      </c>
      <c r="B1019" s="64" t="s">
        <v>787</v>
      </c>
      <c r="C1019" s="8" t="s">
        <v>4</v>
      </c>
      <c r="D1019" s="8" t="s">
        <v>160</v>
      </c>
      <c r="E1019" s="4">
        <v>4.4000000000000004</v>
      </c>
    </row>
    <row r="1020" spans="1:5" x14ac:dyDescent="0.2">
      <c r="A1020" s="63" t="s">
        <v>786</v>
      </c>
      <c r="B1020" s="64" t="s">
        <v>646</v>
      </c>
      <c r="C1020" s="8" t="s">
        <v>4</v>
      </c>
      <c r="D1020" s="8" t="s">
        <v>160</v>
      </c>
      <c r="E1020" s="4">
        <v>3.3</v>
      </c>
    </row>
    <row r="1021" spans="1:5" x14ac:dyDescent="0.2">
      <c r="A1021" s="63" t="s">
        <v>785</v>
      </c>
      <c r="B1021" s="64" t="s">
        <v>784</v>
      </c>
      <c r="C1021" s="8" t="s">
        <v>143</v>
      </c>
      <c r="D1021" s="8" t="s">
        <v>160</v>
      </c>
      <c r="E1021" s="4">
        <v>25.21</v>
      </c>
    </row>
    <row r="1022" spans="1:5" x14ac:dyDescent="0.2">
      <c r="A1022" s="63" t="s">
        <v>783</v>
      </c>
      <c r="B1022" s="64" t="s">
        <v>766</v>
      </c>
      <c r="C1022" s="8" t="s">
        <v>143</v>
      </c>
      <c r="D1022" s="8" t="s">
        <v>160</v>
      </c>
      <c r="E1022" s="4">
        <v>10.16</v>
      </c>
    </row>
    <row r="1023" spans="1:5" x14ac:dyDescent="0.2">
      <c r="A1023" s="63" t="s">
        <v>782</v>
      </c>
      <c r="B1023" s="64" t="s">
        <v>764</v>
      </c>
      <c r="C1023" s="8" t="s">
        <v>143</v>
      </c>
      <c r="D1023" s="8" t="s">
        <v>160</v>
      </c>
      <c r="E1023" s="4">
        <v>11.75</v>
      </c>
    </row>
    <row r="1024" spans="1:5" x14ac:dyDescent="0.2">
      <c r="A1024" s="63" t="s">
        <v>781</v>
      </c>
      <c r="B1024" s="64" t="s">
        <v>762</v>
      </c>
      <c r="C1024" s="8" t="s">
        <v>143</v>
      </c>
      <c r="D1024" s="8" t="s">
        <v>160</v>
      </c>
      <c r="E1024" s="4">
        <v>26.41</v>
      </c>
    </row>
    <row r="1025" spans="1:5" x14ac:dyDescent="0.2">
      <c r="A1025" s="63" t="s">
        <v>780</v>
      </c>
      <c r="B1025" s="64" t="s">
        <v>760</v>
      </c>
      <c r="C1025" s="8" t="s">
        <v>143</v>
      </c>
      <c r="D1025" s="8" t="s">
        <v>160</v>
      </c>
      <c r="E1025" s="4">
        <v>20.73</v>
      </c>
    </row>
    <row r="1026" spans="1:5" x14ac:dyDescent="0.2">
      <c r="A1026" s="63" t="s">
        <v>779</v>
      </c>
      <c r="B1026" s="64" t="s">
        <v>758</v>
      </c>
      <c r="C1026" s="8" t="s">
        <v>143</v>
      </c>
      <c r="D1026" s="8" t="s">
        <v>160</v>
      </c>
      <c r="E1026" s="4">
        <v>17.46</v>
      </c>
    </row>
    <row r="1027" spans="1:5" x14ac:dyDescent="0.2">
      <c r="A1027" s="63" t="s">
        <v>778</v>
      </c>
      <c r="B1027" s="64" t="s">
        <v>756</v>
      </c>
      <c r="C1027" s="8" t="s">
        <v>143</v>
      </c>
      <c r="D1027" s="8" t="s">
        <v>160</v>
      </c>
      <c r="E1027" s="4">
        <v>11.75</v>
      </c>
    </row>
    <row r="1028" spans="1:5" ht="25.5" x14ac:dyDescent="0.2">
      <c r="A1028" s="63" t="s">
        <v>777</v>
      </c>
      <c r="B1028" s="64" t="s">
        <v>776</v>
      </c>
      <c r="C1028" s="8" t="s">
        <v>143</v>
      </c>
      <c r="D1028" s="8" t="s">
        <v>160</v>
      </c>
      <c r="E1028" s="4">
        <v>5.5</v>
      </c>
    </row>
    <row r="1029" spans="1:5" x14ac:dyDescent="0.2">
      <c r="A1029" s="63" t="s">
        <v>775</v>
      </c>
      <c r="B1029" s="64" t="s">
        <v>766</v>
      </c>
      <c r="C1029" s="8" t="s">
        <v>143</v>
      </c>
      <c r="D1029" s="8" t="s">
        <v>160</v>
      </c>
      <c r="E1029" s="4">
        <v>5.5</v>
      </c>
    </row>
    <row r="1030" spans="1:5" x14ac:dyDescent="0.2">
      <c r="A1030" s="63" t="s">
        <v>774</v>
      </c>
      <c r="B1030" s="64" t="s">
        <v>764</v>
      </c>
      <c r="C1030" s="8" t="s">
        <v>143</v>
      </c>
      <c r="D1030" s="8" t="s">
        <v>160</v>
      </c>
      <c r="E1030" s="4">
        <v>4.4000000000000004</v>
      </c>
    </row>
    <row r="1031" spans="1:5" x14ac:dyDescent="0.2">
      <c r="A1031" s="63" t="s">
        <v>773</v>
      </c>
      <c r="B1031" s="64" t="s">
        <v>762</v>
      </c>
      <c r="C1031" s="8" t="s">
        <v>143</v>
      </c>
      <c r="D1031" s="8" t="s">
        <v>160</v>
      </c>
      <c r="E1031" s="4">
        <v>4.4000000000000004</v>
      </c>
    </row>
    <row r="1032" spans="1:5" x14ac:dyDescent="0.2">
      <c r="A1032" s="63" t="s">
        <v>772</v>
      </c>
      <c r="B1032" s="64" t="s">
        <v>760</v>
      </c>
      <c r="C1032" s="8" t="s">
        <v>143</v>
      </c>
      <c r="D1032" s="8" t="s">
        <v>160</v>
      </c>
      <c r="E1032" s="4">
        <v>3.3</v>
      </c>
    </row>
    <row r="1033" spans="1:5" x14ac:dyDescent="0.2">
      <c r="A1033" s="63" t="s">
        <v>771</v>
      </c>
      <c r="B1033" s="64" t="s">
        <v>758</v>
      </c>
      <c r="C1033" s="8" t="s">
        <v>143</v>
      </c>
      <c r="D1033" s="8" t="s">
        <v>160</v>
      </c>
      <c r="E1033" s="4">
        <v>3.3</v>
      </c>
    </row>
    <row r="1034" spans="1:5" x14ac:dyDescent="0.2">
      <c r="A1034" s="63" t="s">
        <v>770</v>
      </c>
      <c r="B1034" s="64" t="s">
        <v>756</v>
      </c>
      <c r="C1034" s="8" t="s">
        <v>143</v>
      </c>
      <c r="D1034" s="8" t="s">
        <v>160</v>
      </c>
      <c r="E1034" s="4">
        <v>2.2000000000000002</v>
      </c>
    </row>
    <row r="1035" spans="1:5" ht="25.5" x14ac:dyDescent="0.2">
      <c r="A1035" s="63" t="s">
        <v>769</v>
      </c>
      <c r="B1035" s="64" t="s">
        <v>768</v>
      </c>
      <c r="C1035" s="8" t="s">
        <v>4</v>
      </c>
      <c r="D1035" s="8" t="s">
        <v>160</v>
      </c>
      <c r="E1035" s="4">
        <v>5.5</v>
      </c>
    </row>
    <row r="1036" spans="1:5" x14ac:dyDescent="0.2">
      <c r="A1036" s="63" t="s">
        <v>767</v>
      </c>
      <c r="B1036" s="64" t="s">
        <v>766</v>
      </c>
      <c r="C1036" s="8" t="s">
        <v>4</v>
      </c>
      <c r="D1036" s="8" t="s">
        <v>160</v>
      </c>
      <c r="E1036" s="4">
        <v>4.4000000000000004</v>
      </c>
    </row>
    <row r="1037" spans="1:5" x14ac:dyDescent="0.2">
      <c r="A1037" s="63" t="s">
        <v>765</v>
      </c>
      <c r="B1037" s="64" t="s">
        <v>764</v>
      </c>
      <c r="C1037" s="8" t="s">
        <v>4</v>
      </c>
      <c r="D1037" s="8" t="s">
        <v>160</v>
      </c>
      <c r="E1037" s="4">
        <v>3.3</v>
      </c>
    </row>
    <row r="1038" spans="1:5" x14ac:dyDescent="0.2">
      <c r="A1038" s="63" t="s">
        <v>763</v>
      </c>
      <c r="B1038" s="64" t="s">
        <v>762</v>
      </c>
      <c r="C1038" s="8" t="s">
        <v>4</v>
      </c>
      <c r="D1038" s="8" t="s">
        <v>160</v>
      </c>
      <c r="E1038" s="4">
        <v>4.4000000000000004</v>
      </c>
    </row>
    <row r="1039" spans="1:5" x14ac:dyDescent="0.2">
      <c r="A1039" s="63" t="s">
        <v>761</v>
      </c>
      <c r="B1039" s="64" t="s">
        <v>760</v>
      </c>
      <c r="C1039" s="8" t="s">
        <v>4</v>
      </c>
      <c r="D1039" s="8" t="s">
        <v>160</v>
      </c>
      <c r="E1039" s="4">
        <v>3.3</v>
      </c>
    </row>
    <row r="1040" spans="1:5" x14ac:dyDescent="0.2">
      <c r="A1040" s="63" t="s">
        <v>759</v>
      </c>
      <c r="B1040" s="64" t="s">
        <v>758</v>
      </c>
      <c r="C1040" s="8" t="s">
        <v>4</v>
      </c>
      <c r="D1040" s="8" t="s">
        <v>160</v>
      </c>
      <c r="E1040" s="4">
        <v>2.2000000000000002</v>
      </c>
    </row>
    <row r="1041" spans="1:5" x14ac:dyDescent="0.2">
      <c r="A1041" s="63" t="s">
        <v>757</v>
      </c>
      <c r="B1041" s="64" t="s">
        <v>756</v>
      </c>
      <c r="C1041" s="8" t="s">
        <v>4</v>
      </c>
      <c r="D1041" s="8" t="s">
        <v>160</v>
      </c>
      <c r="E1041" s="4">
        <v>2.2000000000000002</v>
      </c>
    </row>
    <row r="1042" spans="1:5" ht="25.5" x14ac:dyDescent="0.2">
      <c r="A1042" s="63" t="s">
        <v>755</v>
      </c>
      <c r="B1042" s="64" t="s">
        <v>754</v>
      </c>
      <c r="C1042" s="8" t="s">
        <v>143</v>
      </c>
      <c r="D1042" s="8" t="s">
        <v>160</v>
      </c>
      <c r="E1042" s="4">
        <v>36.020000000000003</v>
      </c>
    </row>
    <row r="1043" spans="1:5" x14ac:dyDescent="0.2">
      <c r="A1043" s="63" t="s">
        <v>753</v>
      </c>
      <c r="B1043" s="64" t="s">
        <v>752</v>
      </c>
      <c r="C1043" s="8" t="s">
        <v>143</v>
      </c>
      <c r="D1043" s="8" t="s">
        <v>160</v>
      </c>
      <c r="E1043" s="4">
        <v>24.01</v>
      </c>
    </row>
    <row r="1044" spans="1:5" x14ac:dyDescent="0.2">
      <c r="A1044" s="63" t="s">
        <v>751</v>
      </c>
      <c r="B1044" s="64" t="s">
        <v>357</v>
      </c>
      <c r="C1044" s="8" t="s">
        <v>143</v>
      </c>
      <c r="D1044" s="8" t="s">
        <v>160</v>
      </c>
      <c r="E1044" s="4">
        <v>14.6</v>
      </c>
    </row>
    <row r="1045" spans="1:5" x14ac:dyDescent="0.2">
      <c r="A1045" s="63" t="s">
        <v>750</v>
      </c>
      <c r="B1045" s="64" t="s">
        <v>359</v>
      </c>
      <c r="C1045" s="8" t="s">
        <v>143</v>
      </c>
      <c r="D1045" s="8" t="s">
        <v>160</v>
      </c>
      <c r="E1045" s="4">
        <v>10.16</v>
      </c>
    </row>
    <row r="1046" spans="1:5" x14ac:dyDescent="0.2">
      <c r="A1046" s="63" t="s">
        <v>749</v>
      </c>
      <c r="B1046" s="64" t="s">
        <v>361</v>
      </c>
      <c r="C1046" s="8" t="s">
        <v>143</v>
      </c>
      <c r="D1046" s="8" t="s">
        <v>160</v>
      </c>
      <c r="E1046" s="4">
        <v>8.57</v>
      </c>
    </row>
    <row r="1047" spans="1:5" x14ac:dyDescent="0.2">
      <c r="A1047" s="63" t="s">
        <v>748</v>
      </c>
      <c r="B1047" s="64" t="s">
        <v>729</v>
      </c>
      <c r="C1047" s="8" t="s">
        <v>143</v>
      </c>
      <c r="D1047" s="8" t="s">
        <v>160</v>
      </c>
      <c r="E1047" s="4">
        <v>4.76</v>
      </c>
    </row>
    <row r="1048" spans="1:5" ht="25.5" x14ac:dyDescent="0.2">
      <c r="A1048" s="63" t="s">
        <v>747</v>
      </c>
      <c r="B1048" s="64" t="s">
        <v>746</v>
      </c>
      <c r="C1048" s="8" t="s">
        <v>4</v>
      </c>
      <c r="D1048" s="8" t="s">
        <v>160</v>
      </c>
      <c r="E1048" s="4">
        <v>5.5</v>
      </c>
    </row>
    <row r="1049" spans="1:5" x14ac:dyDescent="0.2">
      <c r="A1049" s="63" t="s">
        <v>745</v>
      </c>
      <c r="B1049" s="64" t="s">
        <v>357</v>
      </c>
      <c r="C1049" s="8" t="s">
        <v>4</v>
      </c>
      <c r="D1049" s="8" t="s">
        <v>160</v>
      </c>
      <c r="E1049" s="4">
        <v>5.5</v>
      </c>
    </row>
    <row r="1050" spans="1:5" x14ac:dyDescent="0.2">
      <c r="A1050" s="63" t="s">
        <v>744</v>
      </c>
      <c r="B1050" s="64" t="s">
        <v>359</v>
      </c>
      <c r="C1050" s="8" t="s">
        <v>4</v>
      </c>
      <c r="D1050" s="8" t="s">
        <v>160</v>
      </c>
      <c r="E1050" s="4">
        <v>4.4000000000000004</v>
      </c>
    </row>
    <row r="1051" spans="1:5" x14ac:dyDescent="0.2">
      <c r="A1051" s="63" t="s">
        <v>743</v>
      </c>
      <c r="B1051" s="64" t="s">
        <v>361</v>
      </c>
      <c r="C1051" s="8" t="s">
        <v>4</v>
      </c>
      <c r="D1051" s="8" t="s">
        <v>160</v>
      </c>
      <c r="E1051" s="4">
        <v>4.4000000000000004</v>
      </c>
    </row>
    <row r="1052" spans="1:5" x14ac:dyDescent="0.2">
      <c r="A1052" s="63" t="s">
        <v>742</v>
      </c>
      <c r="B1052" s="64" t="s">
        <v>729</v>
      </c>
      <c r="C1052" s="8" t="s">
        <v>4</v>
      </c>
      <c r="D1052" s="8" t="s">
        <v>160</v>
      </c>
      <c r="E1052" s="4">
        <v>3.3</v>
      </c>
    </row>
    <row r="1053" spans="1:5" x14ac:dyDescent="0.2">
      <c r="A1053" s="63" t="s">
        <v>741</v>
      </c>
      <c r="B1053" s="64" t="s">
        <v>740</v>
      </c>
      <c r="C1053" s="8" t="s">
        <v>143</v>
      </c>
      <c r="D1053" s="8" t="s">
        <v>160</v>
      </c>
      <c r="E1053" s="4">
        <v>13.4</v>
      </c>
    </row>
    <row r="1054" spans="1:5" x14ac:dyDescent="0.2">
      <c r="A1054" s="63" t="s">
        <v>739</v>
      </c>
      <c r="B1054" s="64" t="s">
        <v>357</v>
      </c>
      <c r="C1054" s="8" t="s">
        <v>143</v>
      </c>
      <c r="D1054" s="8" t="s">
        <v>160</v>
      </c>
      <c r="E1054" s="4">
        <v>12.05</v>
      </c>
    </row>
    <row r="1055" spans="1:5" x14ac:dyDescent="0.2">
      <c r="A1055" s="63" t="s">
        <v>738</v>
      </c>
      <c r="B1055" s="64" t="s">
        <v>359</v>
      </c>
      <c r="C1055" s="8" t="s">
        <v>143</v>
      </c>
      <c r="D1055" s="8" t="s">
        <v>160</v>
      </c>
      <c r="E1055" s="4">
        <v>11.16</v>
      </c>
    </row>
    <row r="1056" spans="1:5" x14ac:dyDescent="0.2">
      <c r="A1056" s="63" t="s">
        <v>737</v>
      </c>
      <c r="B1056" s="64" t="s">
        <v>361</v>
      </c>
      <c r="C1056" s="8" t="s">
        <v>143</v>
      </c>
      <c r="D1056" s="8" t="s">
        <v>160</v>
      </c>
      <c r="E1056" s="4">
        <v>9.6</v>
      </c>
    </row>
    <row r="1057" spans="1:5" x14ac:dyDescent="0.2">
      <c r="A1057" s="63" t="s">
        <v>736</v>
      </c>
      <c r="B1057" s="64" t="s">
        <v>729</v>
      </c>
      <c r="C1057" s="8" t="s">
        <v>143</v>
      </c>
      <c r="D1057" s="8" t="s">
        <v>160</v>
      </c>
      <c r="E1057" s="4">
        <v>10.8</v>
      </c>
    </row>
    <row r="1058" spans="1:5" ht="25.5" x14ac:dyDescent="0.2">
      <c r="A1058" s="63" t="s">
        <v>735</v>
      </c>
      <c r="B1058" s="64" t="s">
        <v>734</v>
      </c>
      <c r="C1058" s="8" t="s">
        <v>4</v>
      </c>
      <c r="D1058" s="8" t="s">
        <v>160</v>
      </c>
      <c r="E1058" s="4">
        <v>5.5</v>
      </c>
    </row>
    <row r="1059" spans="1:5" x14ac:dyDescent="0.2">
      <c r="A1059" s="63" t="s">
        <v>733</v>
      </c>
      <c r="B1059" s="64" t="s">
        <v>357</v>
      </c>
      <c r="C1059" s="8" t="s">
        <v>4</v>
      </c>
      <c r="D1059" s="8" t="s">
        <v>160</v>
      </c>
      <c r="E1059" s="4">
        <v>5.5</v>
      </c>
    </row>
    <row r="1060" spans="1:5" x14ac:dyDescent="0.2">
      <c r="A1060" s="63" t="s">
        <v>732</v>
      </c>
      <c r="B1060" s="64" t="s">
        <v>359</v>
      </c>
      <c r="C1060" s="8" t="s">
        <v>4</v>
      </c>
      <c r="D1060" s="8" t="s">
        <v>160</v>
      </c>
      <c r="E1060" s="4">
        <v>4.4000000000000004</v>
      </c>
    </row>
    <row r="1061" spans="1:5" x14ac:dyDescent="0.2">
      <c r="A1061" s="63" t="s">
        <v>731</v>
      </c>
      <c r="B1061" s="64" t="s">
        <v>361</v>
      </c>
      <c r="C1061" s="8" t="s">
        <v>4</v>
      </c>
      <c r="D1061" s="8" t="s">
        <v>160</v>
      </c>
      <c r="E1061" s="4">
        <v>4.4000000000000004</v>
      </c>
    </row>
    <row r="1062" spans="1:5" x14ac:dyDescent="0.2">
      <c r="A1062" s="63" t="s">
        <v>730</v>
      </c>
      <c r="B1062" s="64" t="s">
        <v>729</v>
      </c>
      <c r="C1062" s="8" t="s">
        <v>4</v>
      </c>
      <c r="D1062" s="8" t="s">
        <v>160</v>
      </c>
      <c r="E1062" s="4">
        <v>3.3</v>
      </c>
    </row>
    <row r="1063" spans="1:5" ht="25.5" x14ac:dyDescent="0.2">
      <c r="A1063" s="63" t="s">
        <v>728</v>
      </c>
      <c r="B1063" s="64" t="s">
        <v>727</v>
      </c>
      <c r="C1063" s="8" t="s">
        <v>143</v>
      </c>
      <c r="D1063" s="8" t="s">
        <v>160</v>
      </c>
      <c r="E1063" s="4">
        <v>8.4</v>
      </c>
    </row>
    <row r="1064" spans="1:5" x14ac:dyDescent="0.2">
      <c r="A1064" s="63" t="s">
        <v>726</v>
      </c>
      <c r="B1064" s="64" t="s">
        <v>706</v>
      </c>
      <c r="C1064" s="8" t="s">
        <v>143</v>
      </c>
      <c r="D1064" s="8" t="s">
        <v>160</v>
      </c>
      <c r="E1064" s="4">
        <v>9.6</v>
      </c>
    </row>
    <row r="1065" spans="1:5" x14ac:dyDescent="0.2">
      <c r="A1065" s="63" t="s">
        <v>725</v>
      </c>
      <c r="B1065" s="64" t="s">
        <v>704</v>
      </c>
      <c r="C1065" s="8" t="s">
        <v>143</v>
      </c>
      <c r="D1065" s="8" t="s">
        <v>160</v>
      </c>
      <c r="E1065" s="4">
        <v>10.8</v>
      </c>
    </row>
    <row r="1066" spans="1:5" x14ac:dyDescent="0.2">
      <c r="A1066" s="63" t="s">
        <v>724</v>
      </c>
      <c r="B1066" s="64" t="s">
        <v>717</v>
      </c>
      <c r="C1066" s="8" t="s">
        <v>143</v>
      </c>
      <c r="D1066" s="8" t="s">
        <v>160</v>
      </c>
      <c r="E1066" s="4">
        <v>12.01</v>
      </c>
    </row>
    <row r="1067" spans="1:5" x14ac:dyDescent="0.2">
      <c r="A1067" s="63" t="s">
        <v>723</v>
      </c>
      <c r="B1067" s="64" t="s">
        <v>700</v>
      </c>
      <c r="C1067" s="8" t="s">
        <v>143</v>
      </c>
      <c r="D1067" s="8" t="s">
        <v>160</v>
      </c>
      <c r="E1067" s="4">
        <v>14.41</v>
      </c>
    </row>
    <row r="1068" spans="1:5" ht="25.5" x14ac:dyDescent="0.2">
      <c r="A1068" s="63" t="s">
        <v>722</v>
      </c>
      <c r="B1068" s="64" t="s">
        <v>721</v>
      </c>
      <c r="C1068" s="8" t="s">
        <v>4</v>
      </c>
      <c r="D1068" s="8" t="s">
        <v>160</v>
      </c>
      <c r="E1068" s="4">
        <v>5.5</v>
      </c>
    </row>
    <row r="1069" spans="1:5" x14ac:dyDescent="0.2">
      <c r="A1069" s="63" t="s">
        <v>720</v>
      </c>
      <c r="B1069" s="64" t="s">
        <v>706</v>
      </c>
      <c r="C1069" s="8" t="s">
        <v>4</v>
      </c>
      <c r="D1069" s="8" t="s">
        <v>160</v>
      </c>
      <c r="E1069" s="4">
        <v>4.4000000000000004</v>
      </c>
    </row>
    <row r="1070" spans="1:5" x14ac:dyDescent="0.2">
      <c r="A1070" s="63" t="s">
        <v>719</v>
      </c>
      <c r="B1070" s="64" t="s">
        <v>704</v>
      </c>
      <c r="C1070" s="8" t="s">
        <v>4</v>
      </c>
      <c r="D1070" s="8" t="s">
        <v>160</v>
      </c>
      <c r="E1070" s="4">
        <v>3.3</v>
      </c>
    </row>
    <row r="1071" spans="1:5" x14ac:dyDescent="0.2">
      <c r="A1071" s="63" t="s">
        <v>718</v>
      </c>
      <c r="B1071" s="64" t="s">
        <v>717</v>
      </c>
      <c r="C1071" s="8" t="s">
        <v>4</v>
      </c>
      <c r="D1071" s="8" t="s">
        <v>160</v>
      </c>
      <c r="E1071" s="4">
        <v>2.2000000000000002</v>
      </c>
    </row>
    <row r="1072" spans="1:5" x14ac:dyDescent="0.2">
      <c r="A1072" s="63" t="s">
        <v>716</v>
      </c>
      <c r="B1072" s="64" t="s">
        <v>700</v>
      </c>
      <c r="C1072" s="8" t="s">
        <v>4</v>
      </c>
      <c r="D1072" s="8" t="s">
        <v>160</v>
      </c>
      <c r="E1072" s="4">
        <v>2.2000000000000002</v>
      </c>
    </row>
    <row r="1073" spans="1:5" ht="25.5" x14ac:dyDescent="0.2">
      <c r="A1073" s="63" t="s">
        <v>715</v>
      </c>
      <c r="B1073" s="64" t="s">
        <v>714</v>
      </c>
      <c r="C1073" s="8" t="s">
        <v>143</v>
      </c>
      <c r="D1073" s="8" t="s">
        <v>160</v>
      </c>
      <c r="E1073" s="4">
        <v>9.6</v>
      </c>
    </row>
    <row r="1074" spans="1:5" x14ac:dyDescent="0.2">
      <c r="A1074" s="63" t="s">
        <v>713</v>
      </c>
      <c r="B1074" s="64" t="s">
        <v>706</v>
      </c>
      <c r="C1074" s="8" t="s">
        <v>143</v>
      </c>
      <c r="D1074" s="8" t="s">
        <v>160</v>
      </c>
      <c r="E1074" s="4">
        <v>10.8</v>
      </c>
    </row>
    <row r="1075" spans="1:5" x14ac:dyDescent="0.2">
      <c r="A1075" s="63" t="s">
        <v>712</v>
      </c>
      <c r="B1075" s="64" t="s">
        <v>704</v>
      </c>
      <c r="C1075" s="8" t="s">
        <v>143</v>
      </c>
      <c r="D1075" s="8" t="s">
        <v>160</v>
      </c>
      <c r="E1075" s="4">
        <v>12.01</v>
      </c>
    </row>
    <row r="1076" spans="1:5" x14ac:dyDescent="0.2">
      <c r="A1076" s="63" t="s">
        <v>711</v>
      </c>
      <c r="B1076" s="64" t="s">
        <v>702</v>
      </c>
      <c r="C1076" s="8" t="s">
        <v>143</v>
      </c>
      <c r="D1076" s="8" t="s">
        <v>160</v>
      </c>
      <c r="E1076" s="4">
        <v>13.21</v>
      </c>
    </row>
    <row r="1077" spans="1:5" x14ac:dyDescent="0.2">
      <c r="A1077" s="63" t="s">
        <v>710</v>
      </c>
      <c r="B1077" s="64" t="s">
        <v>700</v>
      </c>
      <c r="C1077" s="8" t="s">
        <v>143</v>
      </c>
      <c r="D1077" s="8" t="s">
        <v>160</v>
      </c>
      <c r="E1077" s="4">
        <v>14.41</v>
      </c>
    </row>
    <row r="1078" spans="1:5" ht="25.5" x14ac:dyDescent="0.2">
      <c r="A1078" s="63" t="s">
        <v>709</v>
      </c>
      <c r="B1078" s="64" t="s">
        <v>708</v>
      </c>
      <c r="C1078" s="8" t="s">
        <v>4</v>
      </c>
      <c r="D1078" s="8" t="s">
        <v>160</v>
      </c>
      <c r="E1078" s="4">
        <v>3.3</v>
      </c>
    </row>
    <row r="1079" spans="1:5" x14ac:dyDescent="0.2">
      <c r="A1079" s="63" t="s">
        <v>707</v>
      </c>
      <c r="B1079" s="64" t="s">
        <v>706</v>
      </c>
      <c r="C1079" s="8" t="s">
        <v>4</v>
      </c>
      <c r="D1079" s="8" t="s">
        <v>160</v>
      </c>
      <c r="E1079" s="4">
        <v>4.4000000000000004</v>
      </c>
    </row>
    <row r="1080" spans="1:5" x14ac:dyDescent="0.2">
      <c r="A1080" s="63" t="s">
        <v>705</v>
      </c>
      <c r="B1080" s="64" t="s">
        <v>704</v>
      </c>
      <c r="C1080" s="8" t="s">
        <v>4</v>
      </c>
      <c r="D1080" s="8" t="s">
        <v>160</v>
      </c>
      <c r="E1080" s="4">
        <v>4.4000000000000004</v>
      </c>
    </row>
    <row r="1081" spans="1:5" x14ac:dyDescent="0.2">
      <c r="A1081" s="63" t="s">
        <v>703</v>
      </c>
      <c r="B1081" s="64" t="s">
        <v>702</v>
      </c>
      <c r="C1081" s="8" t="s">
        <v>4</v>
      </c>
      <c r="D1081" s="8" t="s">
        <v>160</v>
      </c>
      <c r="E1081" s="4">
        <v>5.5</v>
      </c>
    </row>
    <row r="1082" spans="1:5" x14ac:dyDescent="0.2">
      <c r="A1082" s="63" t="s">
        <v>701</v>
      </c>
      <c r="B1082" s="64" t="s">
        <v>700</v>
      </c>
      <c r="C1082" s="8" t="s">
        <v>4</v>
      </c>
      <c r="D1082" s="8" t="s">
        <v>160</v>
      </c>
      <c r="E1082" s="4">
        <v>5.5</v>
      </c>
    </row>
    <row r="1083" spans="1:5" ht="25.5" x14ac:dyDescent="0.2">
      <c r="A1083" s="63" t="s">
        <v>699</v>
      </c>
      <c r="B1083" s="64" t="s">
        <v>698</v>
      </c>
      <c r="C1083" s="8" t="s">
        <v>143</v>
      </c>
      <c r="D1083" s="8" t="s">
        <v>160</v>
      </c>
      <c r="E1083" s="4">
        <v>10.8</v>
      </c>
    </row>
    <row r="1084" spans="1:5" x14ac:dyDescent="0.2">
      <c r="A1084" s="63" t="s">
        <v>697</v>
      </c>
      <c r="B1084" s="64" t="s">
        <v>690</v>
      </c>
      <c r="C1084" s="8" t="s">
        <v>143</v>
      </c>
      <c r="D1084" s="8" t="s">
        <v>160</v>
      </c>
      <c r="E1084" s="4">
        <v>12.01</v>
      </c>
    </row>
    <row r="1085" spans="1:5" x14ac:dyDescent="0.2">
      <c r="A1085" s="63" t="s">
        <v>696</v>
      </c>
      <c r="B1085" s="64" t="s">
        <v>688</v>
      </c>
      <c r="C1085" s="8" t="s">
        <v>143</v>
      </c>
      <c r="D1085" s="8" t="s">
        <v>160</v>
      </c>
      <c r="E1085" s="4">
        <v>13.21</v>
      </c>
    </row>
    <row r="1086" spans="1:5" x14ac:dyDescent="0.2">
      <c r="A1086" s="63" t="s">
        <v>695</v>
      </c>
      <c r="B1086" s="64" t="s">
        <v>686</v>
      </c>
      <c r="C1086" s="8" t="s">
        <v>143</v>
      </c>
      <c r="D1086" s="8" t="s">
        <v>160</v>
      </c>
      <c r="E1086" s="4">
        <v>14.41</v>
      </c>
    </row>
    <row r="1087" spans="1:5" x14ac:dyDescent="0.2">
      <c r="A1087" s="63" t="s">
        <v>694</v>
      </c>
      <c r="B1087" s="64" t="s">
        <v>684</v>
      </c>
      <c r="C1087" s="8" t="s">
        <v>143</v>
      </c>
      <c r="D1087" s="8" t="s">
        <v>160</v>
      </c>
      <c r="E1087" s="4">
        <v>15.6</v>
      </c>
    </row>
    <row r="1088" spans="1:5" ht="25.5" x14ac:dyDescent="0.2">
      <c r="A1088" s="63" t="s">
        <v>693</v>
      </c>
      <c r="B1088" s="64" t="s">
        <v>692</v>
      </c>
      <c r="C1088" s="8" t="s">
        <v>4</v>
      </c>
      <c r="D1088" s="8" t="s">
        <v>160</v>
      </c>
      <c r="E1088" s="4">
        <v>3.3</v>
      </c>
    </row>
    <row r="1089" spans="1:5" x14ac:dyDescent="0.2">
      <c r="A1089" s="63" t="s">
        <v>691</v>
      </c>
      <c r="B1089" s="64" t="s">
        <v>690</v>
      </c>
      <c r="C1089" s="8" t="s">
        <v>4</v>
      </c>
      <c r="D1089" s="8" t="s">
        <v>160</v>
      </c>
      <c r="E1089" s="4">
        <v>4.4000000000000004</v>
      </c>
    </row>
    <row r="1090" spans="1:5" x14ac:dyDescent="0.2">
      <c r="A1090" s="63" t="s">
        <v>689</v>
      </c>
      <c r="B1090" s="64" t="s">
        <v>688</v>
      </c>
      <c r="C1090" s="8" t="s">
        <v>4</v>
      </c>
      <c r="D1090" s="8" t="s">
        <v>160</v>
      </c>
      <c r="E1090" s="4">
        <v>4.4000000000000004</v>
      </c>
    </row>
    <row r="1091" spans="1:5" x14ac:dyDescent="0.2">
      <c r="A1091" s="63" t="s">
        <v>687</v>
      </c>
      <c r="B1091" s="64" t="s">
        <v>686</v>
      </c>
      <c r="C1091" s="8" t="s">
        <v>4</v>
      </c>
      <c r="D1091" s="8" t="s">
        <v>160</v>
      </c>
      <c r="E1091" s="4">
        <v>5.5</v>
      </c>
    </row>
    <row r="1092" spans="1:5" x14ac:dyDescent="0.2">
      <c r="A1092" s="63" t="s">
        <v>685</v>
      </c>
      <c r="B1092" s="64" t="s">
        <v>684</v>
      </c>
      <c r="C1092" s="8" t="s">
        <v>4</v>
      </c>
      <c r="D1092" s="8" t="s">
        <v>160</v>
      </c>
      <c r="E1092" s="4">
        <v>5.5</v>
      </c>
    </row>
    <row r="1093" spans="1:5" x14ac:dyDescent="0.2">
      <c r="A1093" s="7" t="s">
        <v>683</v>
      </c>
      <c r="B1093" s="6" t="s">
        <v>682</v>
      </c>
      <c r="C1093" s="5"/>
      <c r="D1093" s="5"/>
      <c r="E1093" s="4">
        <v>0</v>
      </c>
    </row>
    <row r="1094" spans="1:5" ht="25.5" x14ac:dyDescent="0.2">
      <c r="A1094" s="63" t="s">
        <v>681</v>
      </c>
      <c r="B1094" s="64" t="s">
        <v>680</v>
      </c>
      <c r="C1094" s="8" t="s">
        <v>143</v>
      </c>
      <c r="D1094" s="8" t="s">
        <v>160</v>
      </c>
      <c r="E1094" s="4">
        <v>9.6</v>
      </c>
    </row>
    <row r="1095" spans="1:5" x14ac:dyDescent="0.2">
      <c r="A1095" s="63" t="s">
        <v>679</v>
      </c>
      <c r="B1095" s="64" t="s">
        <v>668</v>
      </c>
      <c r="C1095" s="8" t="s">
        <v>143</v>
      </c>
      <c r="D1095" s="8" t="s">
        <v>160</v>
      </c>
      <c r="E1095" s="4">
        <v>10.8</v>
      </c>
    </row>
    <row r="1096" spans="1:5" x14ac:dyDescent="0.2">
      <c r="A1096" s="63" t="s">
        <v>678</v>
      </c>
      <c r="B1096" s="64" t="s">
        <v>666</v>
      </c>
      <c r="C1096" s="8" t="s">
        <v>143</v>
      </c>
      <c r="D1096" s="8" t="s">
        <v>160</v>
      </c>
      <c r="E1096" s="4">
        <v>11.4</v>
      </c>
    </row>
    <row r="1097" spans="1:5" x14ac:dyDescent="0.2">
      <c r="A1097" s="63" t="s">
        <v>677</v>
      </c>
      <c r="B1097" s="64" t="s">
        <v>664</v>
      </c>
      <c r="C1097" s="8" t="s">
        <v>143</v>
      </c>
      <c r="D1097" s="8" t="s">
        <v>160</v>
      </c>
      <c r="E1097" s="4">
        <v>13.21</v>
      </c>
    </row>
    <row r="1098" spans="1:5" x14ac:dyDescent="0.2">
      <c r="A1098" s="63" t="s">
        <v>676</v>
      </c>
      <c r="B1098" s="64" t="s">
        <v>662</v>
      </c>
      <c r="C1098" s="8" t="s">
        <v>143</v>
      </c>
      <c r="D1098" s="8" t="s">
        <v>160</v>
      </c>
      <c r="E1098" s="4">
        <v>14.41</v>
      </c>
    </row>
    <row r="1099" spans="1:5" x14ac:dyDescent="0.2">
      <c r="A1099" s="63" t="s">
        <v>675</v>
      </c>
      <c r="B1099" s="64" t="s">
        <v>660</v>
      </c>
      <c r="C1099" s="8" t="s">
        <v>143</v>
      </c>
      <c r="D1099" s="8" t="s">
        <v>160</v>
      </c>
      <c r="E1099" s="4">
        <v>15.7</v>
      </c>
    </row>
    <row r="1100" spans="1:5" x14ac:dyDescent="0.2">
      <c r="A1100" s="63" t="s">
        <v>674</v>
      </c>
      <c r="B1100" s="64" t="s">
        <v>658</v>
      </c>
      <c r="C1100" s="8" t="s">
        <v>143</v>
      </c>
      <c r="D1100" s="8" t="s">
        <v>160</v>
      </c>
      <c r="E1100" s="4">
        <v>16.59</v>
      </c>
    </row>
    <row r="1101" spans="1:5" x14ac:dyDescent="0.2">
      <c r="A1101" s="63" t="s">
        <v>673</v>
      </c>
      <c r="B1101" s="64" t="s">
        <v>656</v>
      </c>
      <c r="C1101" s="8" t="s">
        <v>143</v>
      </c>
      <c r="D1101" s="8" t="s">
        <v>160</v>
      </c>
      <c r="E1101" s="4">
        <v>20.41</v>
      </c>
    </row>
    <row r="1102" spans="1:5" x14ac:dyDescent="0.2">
      <c r="A1102" s="63" t="s">
        <v>672</v>
      </c>
      <c r="B1102" s="64" t="s">
        <v>654</v>
      </c>
      <c r="C1102" s="8" t="s">
        <v>143</v>
      </c>
      <c r="D1102" s="8" t="s">
        <v>160</v>
      </c>
      <c r="E1102" s="4">
        <v>24.01</v>
      </c>
    </row>
    <row r="1103" spans="1:5" ht="25.5" x14ac:dyDescent="0.2">
      <c r="A1103" s="63" t="s">
        <v>671</v>
      </c>
      <c r="B1103" s="64" t="s">
        <v>670</v>
      </c>
      <c r="C1103" s="8" t="s">
        <v>4</v>
      </c>
      <c r="D1103" s="8" t="s">
        <v>160</v>
      </c>
      <c r="E1103" s="4">
        <v>2.2000000000000002</v>
      </c>
    </row>
    <row r="1104" spans="1:5" x14ac:dyDescent="0.2">
      <c r="A1104" s="63" t="s">
        <v>669</v>
      </c>
      <c r="B1104" s="64" t="s">
        <v>668</v>
      </c>
      <c r="C1104" s="8" t="s">
        <v>4</v>
      </c>
      <c r="D1104" s="8" t="s">
        <v>160</v>
      </c>
      <c r="E1104" s="4">
        <v>2.2000000000000002</v>
      </c>
    </row>
    <row r="1105" spans="1:5" x14ac:dyDescent="0.2">
      <c r="A1105" s="63" t="s">
        <v>667</v>
      </c>
      <c r="B1105" s="64" t="s">
        <v>666</v>
      </c>
      <c r="C1105" s="8" t="s">
        <v>4</v>
      </c>
      <c r="D1105" s="8" t="s">
        <v>160</v>
      </c>
      <c r="E1105" s="4">
        <v>3.3</v>
      </c>
    </row>
    <row r="1106" spans="1:5" x14ac:dyDescent="0.2">
      <c r="A1106" s="63" t="s">
        <v>665</v>
      </c>
      <c r="B1106" s="64" t="s">
        <v>664</v>
      </c>
      <c r="C1106" s="8" t="s">
        <v>4</v>
      </c>
      <c r="D1106" s="8" t="s">
        <v>160</v>
      </c>
      <c r="E1106" s="4">
        <v>3.3</v>
      </c>
    </row>
    <row r="1107" spans="1:5" x14ac:dyDescent="0.2">
      <c r="A1107" s="63" t="s">
        <v>663</v>
      </c>
      <c r="B1107" s="64" t="s">
        <v>662</v>
      </c>
      <c r="C1107" s="8" t="s">
        <v>4</v>
      </c>
      <c r="D1107" s="8" t="s">
        <v>160</v>
      </c>
      <c r="E1107" s="4">
        <v>4.4000000000000004</v>
      </c>
    </row>
    <row r="1108" spans="1:5" x14ac:dyDescent="0.2">
      <c r="A1108" s="63" t="s">
        <v>661</v>
      </c>
      <c r="B1108" s="64" t="s">
        <v>660</v>
      </c>
      <c r="C1108" s="8" t="s">
        <v>4</v>
      </c>
      <c r="D1108" s="8" t="s">
        <v>160</v>
      </c>
      <c r="E1108" s="4">
        <v>4.4000000000000004</v>
      </c>
    </row>
    <row r="1109" spans="1:5" x14ac:dyDescent="0.2">
      <c r="A1109" s="63" t="s">
        <v>659</v>
      </c>
      <c r="B1109" s="64" t="s">
        <v>658</v>
      </c>
      <c r="C1109" s="8" t="s">
        <v>4</v>
      </c>
      <c r="D1109" s="8" t="s">
        <v>160</v>
      </c>
      <c r="E1109" s="4">
        <v>5.5</v>
      </c>
    </row>
    <row r="1110" spans="1:5" x14ac:dyDescent="0.2">
      <c r="A1110" s="63" t="s">
        <v>657</v>
      </c>
      <c r="B1110" s="64" t="s">
        <v>656</v>
      </c>
      <c r="C1110" s="8" t="s">
        <v>4</v>
      </c>
      <c r="D1110" s="8" t="s">
        <v>160</v>
      </c>
      <c r="E1110" s="4">
        <v>5.5</v>
      </c>
    </row>
    <row r="1111" spans="1:5" x14ac:dyDescent="0.2">
      <c r="A1111" s="63" t="s">
        <v>655</v>
      </c>
      <c r="B1111" s="64" t="s">
        <v>654</v>
      </c>
      <c r="C1111" s="8" t="s">
        <v>4</v>
      </c>
      <c r="D1111" s="8" t="s">
        <v>160</v>
      </c>
      <c r="E1111" s="4">
        <v>6.6</v>
      </c>
    </row>
    <row r="1112" spans="1:5" ht="25.5" x14ac:dyDescent="0.2">
      <c r="A1112" s="63" t="s">
        <v>653</v>
      </c>
      <c r="B1112" s="64" t="s">
        <v>652</v>
      </c>
      <c r="C1112" s="8" t="s">
        <v>143</v>
      </c>
      <c r="D1112" s="8" t="s">
        <v>160</v>
      </c>
      <c r="E1112" s="4">
        <v>12.7</v>
      </c>
    </row>
    <row r="1113" spans="1:5" x14ac:dyDescent="0.2">
      <c r="A1113" s="63" t="s">
        <v>651</v>
      </c>
      <c r="B1113" s="64" t="s">
        <v>650</v>
      </c>
      <c r="C1113" s="8" t="s">
        <v>143</v>
      </c>
      <c r="D1113" s="8" t="s">
        <v>160</v>
      </c>
      <c r="E1113" s="4">
        <v>4.8</v>
      </c>
    </row>
    <row r="1114" spans="1:5" x14ac:dyDescent="0.2">
      <c r="A1114" s="63" t="s">
        <v>649</v>
      </c>
      <c r="B1114" s="64" t="s">
        <v>648</v>
      </c>
      <c r="C1114" s="8" t="s">
        <v>143</v>
      </c>
      <c r="D1114" s="8" t="s">
        <v>160</v>
      </c>
      <c r="E1114" s="4">
        <v>6</v>
      </c>
    </row>
    <row r="1115" spans="1:5" x14ac:dyDescent="0.2">
      <c r="A1115" s="63" t="s">
        <v>647</v>
      </c>
      <c r="B1115" s="64" t="s">
        <v>646</v>
      </c>
      <c r="C1115" s="8" t="s">
        <v>143</v>
      </c>
      <c r="D1115" s="8" t="s">
        <v>160</v>
      </c>
      <c r="E1115" s="4">
        <v>7.2</v>
      </c>
    </row>
    <row r="1116" spans="1:5" x14ac:dyDescent="0.2">
      <c r="A1116" s="63" t="s">
        <v>645</v>
      </c>
      <c r="B1116" s="64" t="s">
        <v>644</v>
      </c>
      <c r="C1116" s="8" t="s">
        <v>143</v>
      </c>
      <c r="D1116" s="8" t="s">
        <v>160</v>
      </c>
      <c r="E1116" s="4">
        <v>8.4</v>
      </c>
    </row>
    <row r="1117" spans="1:5" x14ac:dyDescent="0.2">
      <c r="A1117" s="63" t="s">
        <v>643</v>
      </c>
      <c r="B1117" s="64" t="s">
        <v>642</v>
      </c>
      <c r="C1117" s="8" t="s">
        <v>143</v>
      </c>
      <c r="D1117" s="8" t="s">
        <v>160</v>
      </c>
      <c r="E1117" s="4">
        <v>12.01</v>
      </c>
    </row>
    <row r="1118" spans="1:5" x14ac:dyDescent="0.2">
      <c r="A1118" s="63" t="s">
        <v>641</v>
      </c>
      <c r="B1118" s="64" t="s">
        <v>640</v>
      </c>
      <c r="C1118" s="8" t="s">
        <v>143</v>
      </c>
      <c r="D1118" s="8" t="s">
        <v>160</v>
      </c>
      <c r="E1118" s="4">
        <v>16.149999999999999</v>
      </c>
    </row>
    <row r="1119" spans="1:5" x14ac:dyDescent="0.2">
      <c r="A1119" s="63" t="s">
        <v>639</v>
      </c>
      <c r="B1119" s="64" t="s">
        <v>638</v>
      </c>
      <c r="C1119" s="8" t="s">
        <v>143</v>
      </c>
      <c r="D1119" s="8" t="s">
        <v>160</v>
      </c>
      <c r="E1119" s="4">
        <v>24.01</v>
      </c>
    </row>
    <row r="1120" spans="1:5" x14ac:dyDescent="0.2">
      <c r="A1120" s="63" t="s">
        <v>637</v>
      </c>
      <c r="B1120" s="64" t="s">
        <v>636</v>
      </c>
      <c r="C1120" s="8" t="s">
        <v>143</v>
      </c>
      <c r="D1120" s="8" t="s">
        <v>160</v>
      </c>
      <c r="E1120" s="4">
        <v>36.020000000000003</v>
      </c>
    </row>
    <row r="1121" spans="1:5" x14ac:dyDescent="0.2">
      <c r="A1121" s="63" t="s">
        <v>635</v>
      </c>
      <c r="B1121" s="64" t="s">
        <v>634</v>
      </c>
      <c r="C1121" s="8" t="s">
        <v>143</v>
      </c>
      <c r="D1121" s="8" t="s">
        <v>160</v>
      </c>
      <c r="E1121" s="4">
        <v>18</v>
      </c>
    </row>
    <row r="1122" spans="1:5" x14ac:dyDescent="0.2">
      <c r="A1122" s="63" t="s">
        <v>633</v>
      </c>
      <c r="B1122" s="64" t="s">
        <v>632</v>
      </c>
      <c r="C1122" s="8" t="s">
        <v>143</v>
      </c>
      <c r="D1122" s="8" t="s">
        <v>160</v>
      </c>
      <c r="E1122" s="4">
        <v>24.01</v>
      </c>
    </row>
    <row r="1123" spans="1:5" x14ac:dyDescent="0.2">
      <c r="A1123" s="63" t="s">
        <v>631</v>
      </c>
      <c r="B1123" s="64" t="s">
        <v>630</v>
      </c>
      <c r="C1123" s="8" t="s">
        <v>143</v>
      </c>
      <c r="D1123" s="8" t="s">
        <v>160</v>
      </c>
      <c r="E1123" s="4">
        <v>30.01</v>
      </c>
    </row>
    <row r="1124" spans="1:5" x14ac:dyDescent="0.2">
      <c r="A1124" s="63" t="s">
        <v>629</v>
      </c>
      <c r="B1124" s="64" t="s">
        <v>628</v>
      </c>
      <c r="C1124" s="8" t="s">
        <v>143</v>
      </c>
      <c r="D1124" s="8" t="s">
        <v>160</v>
      </c>
      <c r="E1124" s="4">
        <v>36.020000000000003</v>
      </c>
    </row>
    <row r="1125" spans="1:5" x14ac:dyDescent="0.2">
      <c r="A1125" s="63" t="s">
        <v>627</v>
      </c>
      <c r="B1125" s="64" t="s">
        <v>626</v>
      </c>
      <c r="C1125" s="8" t="s">
        <v>143</v>
      </c>
      <c r="D1125" s="8" t="s">
        <v>160</v>
      </c>
      <c r="E1125" s="4">
        <v>42.02</v>
      </c>
    </row>
    <row r="1126" spans="1:5" x14ac:dyDescent="0.2">
      <c r="A1126" s="63" t="s">
        <v>625</v>
      </c>
      <c r="B1126" s="64" t="s">
        <v>624</v>
      </c>
      <c r="C1126" s="8" t="s">
        <v>143</v>
      </c>
      <c r="D1126" s="8" t="s">
        <v>160</v>
      </c>
      <c r="E1126" s="4">
        <v>48.02</v>
      </c>
    </row>
    <row r="1127" spans="1:5" ht="25.5" x14ac:dyDescent="0.2">
      <c r="A1127" s="63" t="s">
        <v>623</v>
      </c>
      <c r="B1127" s="64" t="s">
        <v>622</v>
      </c>
      <c r="C1127" s="8" t="s">
        <v>143</v>
      </c>
      <c r="D1127" s="8" t="s">
        <v>160</v>
      </c>
      <c r="E1127" s="4">
        <v>60.03</v>
      </c>
    </row>
    <row r="1128" spans="1:5" x14ac:dyDescent="0.2">
      <c r="A1128" s="63" t="s">
        <v>621</v>
      </c>
      <c r="B1128" s="64" t="s">
        <v>620</v>
      </c>
      <c r="C1128" s="8" t="s">
        <v>143</v>
      </c>
      <c r="D1128" s="8" t="s">
        <v>160</v>
      </c>
      <c r="E1128" s="4">
        <v>233.36</v>
      </c>
    </row>
    <row r="1129" spans="1:5" x14ac:dyDescent="0.2">
      <c r="A1129" s="63" t="s">
        <v>619</v>
      </c>
      <c r="B1129" s="64" t="s">
        <v>618</v>
      </c>
      <c r="C1129" s="8" t="s">
        <v>143</v>
      </c>
      <c r="D1129" s="8" t="s">
        <v>160</v>
      </c>
      <c r="E1129" s="4">
        <v>93.66</v>
      </c>
    </row>
    <row r="1130" spans="1:5" x14ac:dyDescent="0.2">
      <c r="A1130" s="63" t="s">
        <v>617</v>
      </c>
      <c r="B1130" s="64" t="s">
        <v>616</v>
      </c>
      <c r="C1130" s="8" t="s">
        <v>143</v>
      </c>
      <c r="D1130" s="8" t="s">
        <v>160</v>
      </c>
      <c r="E1130" s="4">
        <v>68.58</v>
      </c>
    </row>
    <row r="1131" spans="1:5" x14ac:dyDescent="0.2">
      <c r="A1131" s="63" t="s">
        <v>615</v>
      </c>
      <c r="B1131" s="64" t="s">
        <v>614</v>
      </c>
      <c r="C1131" s="8" t="s">
        <v>143</v>
      </c>
      <c r="D1131" s="8" t="s">
        <v>160</v>
      </c>
      <c r="E1131" s="4">
        <v>60.32</v>
      </c>
    </row>
    <row r="1132" spans="1:5" x14ac:dyDescent="0.2">
      <c r="A1132" s="63" t="s">
        <v>613</v>
      </c>
      <c r="B1132" s="64" t="s">
        <v>612</v>
      </c>
      <c r="C1132" s="8" t="s">
        <v>143</v>
      </c>
      <c r="D1132" s="8" t="s">
        <v>160</v>
      </c>
      <c r="E1132" s="4">
        <v>53.18</v>
      </c>
    </row>
    <row r="1133" spans="1:5" x14ac:dyDescent="0.2">
      <c r="A1133" s="63" t="s">
        <v>611</v>
      </c>
      <c r="B1133" s="64" t="s">
        <v>610</v>
      </c>
      <c r="C1133" s="8" t="s">
        <v>143</v>
      </c>
      <c r="D1133" s="8" t="s">
        <v>160</v>
      </c>
      <c r="E1133" s="4">
        <v>47.31</v>
      </c>
    </row>
    <row r="1134" spans="1:5" x14ac:dyDescent="0.2">
      <c r="A1134" s="63" t="s">
        <v>609</v>
      </c>
      <c r="B1134" s="64" t="s">
        <v>608</v>
      </c>
      <c r="C1134" s="8" t="s">
        <v>143</v>
      </c>
      <c r="D1134" s="8" t="s">
        <v>160</v>
      </c>
      <c r="E1134" s="4">
        <v>41.75</v>
      </c>
    </row>
    <row r="1135" spans="1:5" x14ac:dyDescent="0.2">
      <c r="A1135" s="7" t="s">
        <v>607</v>
      </c>
      <c r="B1135" s="6" t="s">
        <v>606</v>
      </c>
      <c r="C1135" s="5"/>
      <c r="D1135" s="5"/>
      <c r="E1135" s="4">
        <v>0</v>
      </c>
    </row>
    <row r="1136" spans="1:5" ht="25.5" x14ac:dyDescent="0.2">
      <c r="A1136" s="63" t="s">
        <v>605</v>
      </c>
      <c r="B1136" s="64" t="s">
        <v>604</v>
      </c>
      <c r="C1136" s="8" t="s">
        <v>4</v>
      </c>
      <c r="D1136" s="8" t="s">
        <v>173</v>
      </c>
      <c r="E1136" s="4">
        <v>39.75</v>
      </c>
    </row>
    <row r="1137" spans="1:5" x14ac:dyDescent="0.2">
      <c r="A1137" s="63" t="s">
        <v>603</v>
      </c>
      <c r="B1137" s="64" t="s">
        <v>602</v>
      </c>
      <c r="C1137" s="8" t="s">
        <v>4</v>
      </c>
      <c r="D1137" s="8" t="s">
        <v>173</v>
      </c>
      <c r="E1137" s="4">
        <v>60.03</v>
      </c>
    </row>
    <row r="1138" spans="1:5" x14ac:dyDescent="0.2">
      <c r="A1138" s="63" t="s">
        <v>601</v>
      </c>
      <c r="B1138" s="64" t="s">
        <v>600</v>
      </c>
      <c r="C1138" s="8" t="s">
        <v>4</v>
      </c>
      <c r="D1138" s="8" t="s">
        <v>173</v>
      </c>
      <c r="E1138" s="4">
        <v>28.7</v>
      </c>
    </row>
    <row r="1139" spans="1:5" x14ac:dyDescent="0.2">
      <c r="A1139" s="63" t="s">
        <v>599</v>
      </c>
      <c r="B1139" s="64" t="s">
        <v>359</v>
      </c>
      <c r="C1139" s="8" t="s">
        <v>4</v>
      </c>
      <c r="D1139" s="8" t="s">
        <v>173</v>
      </c>
      <c r="E1139" s="4">
        <v>19.350000000000001</v>
      </c>
    </row>
    <row r="1140" spans="1:5" x14ac:dyDescent="0.2">
      <c r="A1140" s="63" t="s">
        <v>598</v>
      </c>
      <c r="B1140" s="64" t="s">
        <v>361</v>
      </c>
      <c r="C1140" s="8" t="s">
        <v>4</v>
      </c>
      <c r="D1140" s="8" t="s">
        <v>173</v>
      </c>
      <c r="E1140" s="4">
        <v>15.29</v>
      </c>
    </row>
    <row r="1141" spans="1:5" x14ac:dyDescent="0.2">
      <c r="A1141" s="63" t="s">
        <v>597</v>
      </c>
      <c r="B1141" s="64" t="s">
        <v>596</v>
      </c>
      <c r="C1141" s="8" t="s">
        <v>4</v>
      </c>
      <c r="D1141" s="8" t="s">
        <v>173</v>
      </c>
      <c r="E1141" s="4">
        <v>13.26</v>
      </c>
    </row>
    <row r="1142" spans="1:5" x14ac:dyDescent="0.2">
      <c r="A1142" s="63" t="s">
        <v>595</v>
      </c>
      <c r="B1142" s="64" t="s">
        <v>594</v>
      </c>
      <c r="C1142" s="8" t="s">
        <v>4</v>
      </c>
      <c r="D1142" s="8" t="s">
        <v>173</v>
      </c>
      <c r="E1142" s="4">
        <v>15.29</v>
      </c>
    </row>
    <row r="1143" spans="1:5" x14ac:dyDescent="0.2">
      <c r="A1143" s="63" t="s">
        <v>593</v>
      </c>
      <c r="B1143" s="64" t="s">
        <v>592</v>
      </c>
      <c r="C1143" s="8" t="s">
        <v>4</v>
      </c>
      <c r="D1143" s="8" t="s">
        <v>173</v>
      </c>
      <c r="E1143" s="4">
        <v>13.26</v>
      </c>
    </row>
    <row r="1144" spans="1:5" x14ac:dyDescent="0.2">
      <c r="A1144" s="63" t="s">
        <v>591</v>
      </c>
      <c r="B1144" s="64" t="s">
        <v>590</v>
      </c>
      <c r="C1144" s="8" t="s">
        <v>4</v>
      </c>
      <c r="D1144" s="8" t="s">
        <v>173</v>
      </c>
      <c r="E1144" s="4">
        <v>39.75</v>
      </c>
    </row>
    <row r="1145" spans="1:5" x14ac:dyDescent="0.2">
      <c r="A1145" s="63" t="s">
        <v>589</v>
      </c>
      <c r="B1145" s="64" t="s">
        <v>588</v>
      </c>
      <c r="C1145" s="8" t="s">
        <v>4</v>
      </c>
      <c r="D1145" s="8" t="s">
        <v>173</v>
      </c>
      <c r="E1145" s="4">
        <v>28.7</v>
      </c>
    </row>
    <row r="1146" spans="1:5" x14ac:dyDescent="0.2">
      <c r="A1146" s="63" t="s">
        <v>587</v>
      </c>
      <c r="B1146" s="64" t="s">
        <v>586</v>
      </c>
      <c r="C1146" s="8" t="s">
        <v>4</v>
      </c>
      <c r="D1146" s="8" t="s">
        <v>173</v>
      </c>
      <c r="E1146" s="4">
        <v>19.350000000000001</v>
      </c>
    </row>
    <row r="1147" spans="1:5" x14ac:dyDescent="0.2">
      <c r="A1147" s="63" t="s">
        <v>585</v>
      </c>
      <c r="B1147" s="64" t="s">
        <v>584</v>
      </c>
      <c r="C1147" s="8" t="s">
        <v>4</v>
      </c>
      <c r="D1147" s="8" t="s">
        <v>173</v>
      </c>
      <c r="E1147" s="4">
        <v>15.29</v>
      </c>
    </row>
    <row r="1148" spans="1:5" x14ac:dyDescent="0.2">
      <c r="A1148" s="63" t="s">
        <v>583</v>
      </c>
      <c r="B1148" s="64" t="s">
        <v>582</v>
      </c>
      <c r="C1148" s="8" t="s">
        <v>4</v>
      </c>
      <c r="D1148" s="8" t="s">
        <v>173</v>
      </c>
      <c r="E1148" s="4">
        <v>13.26</v>
      </c>
    </row>
    <row r="1149" spans="1:5" x14ac:dyDescent="0.2">
      <c r="A1149" s="63" t="s">
        <v>581</v>
      </c>
      <c r="B1149" s="64" t="s">
        <v>580</v>
      </c>
      <c r="C1149" s="8" t="s">
        <v>4</v>
      </c>
      <c r="D1149" s="8" t="s">
        <v>173</v>
      </c>
      <c r="E1149" s="4">
        <v>36.51</v>
      </c>
    </row>
    <row r="1150" spans="1:5" x14ac:dyDescent="0.2">
      <c r="A1150" s="63" t="s">
        <v>579</v>
      </c>
      <c r="B1150" s="64" t="s">
        <v>552</v>
      </c>
      <c r="C1150" s="8" t="s">
        <v>4</v>
      </c>
      <c r="D1150" s="8" t="s">
        <v>173</v>
      </c>
      <c r="E1150" s="4">
        <v>19.2</v>
      </c>
    </row>
    <row r="1151" spans="1:5" x14ac:dyDescent="0.2">
      <c r="A1151" s="63" t="s">
        <v>578</v>
      </c>
      <c r="B1151" s="64" t="s">
        <v>550</v>
      </c>
      <c r="C1151" s="8" t="s">
        <v>4</v>
      </c>
      <c r="D1151" s="8" t="s">
        <v>173</v>
      </c>
      <c r="E1151" s="4">
        <v>10.8</v>
      </c>
    </row>
    <row r="1152" spans="1:5" x14ac:dyDescent="0.2">
      <c r="A1152" s="63" t="s">
        <v>577</v>
      </c>
      <c r="B1152" s="64" t="s">
        <v>520</v>
      </c>
      <c r="C1152" s="8" t="s">
        <v>4</v>
      </c>
      <c r="D1152" s="8" t="s">
        <v>173</v>
      </c>
      <c r="E1152" s="4">
        <v>6</v>
      </c>
    </row>
    <row r="1153" spans="1:5" x14ac:dyDescent="0.2">
      <c r="A1153" s="63" t="s">
        <v>576</v>
      </c>
      <c r="B1153" s="64" t="s">
        <v>575</v>
      </c>
      <c r="C1153" s="8" t="s">
        <v>4</v>
      </c>
      <c r="D1153" s="8" t="s">
        <v>173</v>
      </c>
      <c r="E1153" s="4">
        <v>7.16</v>
      </c>
    </row>
    <row r="1154" spans="1:5" x14ac:dyDescent="0.2">
      <c r="A1154" s="63" t="s">
        <v>574</v>
      </c>
      <c r="B1154" s="64" t="s">
        <v>359</v>
      </c>
      <c r="C1154" s="8" t="s">
        <v>4</v>
      </c>
      <c r="D1154" s="8" t="s">
        <v>173</v>
      </c>
      <c r="E1154" s="4">
        <v>11.19</v>
      </c>
    </row>
    <row r="1155" spans="1:5" x14ac:dyDescent="0.2">
      <c r="A1155" s="63" t="s">
        <v>573</v>
      </c>
      <c r="B1155" s="64" t="s">
        <v>572</v>
      </c>
      <c r="C1155" s="8" t="s">
        <v>4</v>
      </c>
      <c r="D1155" s="8" t="s">
        <v>173</v>
      </c>
      <c r="E1155" s="4">
        <v>32.619999999999997</v>
      </c>
    </row>
    <row r="1156" spans="1:5" x14ac:dyDescent="0.2">
      <c r="A1156" s="63" t="s">
        <v>571</v>
      </c>
      <c r="B1156" s="64" t="s">
        <v>570</v>
      </c>
      <c r="C1156" s="8" t="s">
        <v>4</v>
      </c>
      <c r="D1156" s="8" t="s">
        <v>173</v>
      </c>
      <c r="E1156" s="4">
        <v>20.64</v>
      </c>
    </row>
    <row r="1157" spans="1:5" x14ac:dyDescent="0.2">
      <c r="A1157" s="63" t="s">
        <v>569</v>
      </c>
      <c r="B1157" s="64" t="s">
        <v>359</v>
      </c>
      <c r="C1157" s="8" t="s">
        <v>4</v>
      </c>
      <c r="D1157" s="8" t="s">
        <v>173</v>
      </c>
      <c r="E1157" s="4">
        <v>10.050000000000001</v>
      </c>
    </row>
    <row r="1158" spans="1:5" x14ac:dyDescent="0.2">
      <c r="A1158" s="63" t="s">
        <v>568</v>
      </c>
      <c r="B1158" s="64" t="s">
        <v>361</v>
      </c>
      <c r="C1158" s="8" t="s">
        <v>4</v>
      </c>
      <c r="D1158" s="8" t="s">
        <v>173</v>
      </c>
      <c r="E1158" s="4">
        <v>7.4</v>
      </c>
    </row>
    <row r="1159" spans="1:5" x14ac:dyDescent="0.2">
      <c r="A1159" s="63" t="s">
        <v>567</v>
      </c>
      <c r="B1159" s="64" t="s">
        <v>566</v>
      </c>
      <c r="C1159" s="8" t="s">
        <v>4</v>
      </c>
      <c r="D1159" s="8" t="s">
        <v>3</v>
      </c>
      <c r="E1159" s="4">
        <v>14.41</v>
      </c>
    </row>
    <row r="1160" spans="1:5" ht="25.5" x14ac:dyDescent="0.2">
      <c r="A1160" s="63" t="s">
        <v>565</v>
      </c>
      <c r="B1160" s="64" t="s">
        <v>564</v>
      </c>
      <c r="C1160" s="8" t="s">
        <v>4</v>
      </c>
      <c r="D1160" s="8" t="s">
        <v>173</v>
      </c>
      <c r="E1160" s="4">
        <v>48.02</v>
      </c>
    </row>
    <row r="1161" spans="1:5" ht="25.5" x14ac:dyDescent="0.2">
      <c r="A1161" s="63" t="s">
        <v>563</v>
      </c>
      <c r="B1161" s="64" t="s">
        <v>562</v>
      </c>
      <c r="C1161" s="8" t="s">
        <v>4</v>
      </c>
      <c r="D1161" s="8" t="s">
        <v>173</v>
      </c>
      <c r="E1161" s="4">
        <v>40.64</v>
      </c>
    </row>
    <row r="1162" spans="1:5" ht="25.5" x14ac:dyDescent="0.2">
      <c r="A1162" s="63" t="s">
        <v>561</v>
      </c>
      <c r="B1162" s="64" t="s">
        <v>560</v>
      </c>
      <c r="C1162" s="8" t="s">
        <v>4</v>
      </c>
      <c r="D1162" s="8" t="s">
        <v>173</v>
      </c>
      <c r="E1162" s="4">
        <v>300.16000000000003</v>
      </c>
    </row>
    <row r="1163" spans="1:5" ht="25.5" x14ac:dyDescent="0.2">
      <c r="A1163" s="63" t="s">
        <v>559</v>
      </c>
      <c r="B1163" s="64" t="s">
        <v>558</v>
      </c>
      <c r="C1163" s="8" t="s">
        <v>4</v>
      </c>
      <c r="D1163" s="8" t="s">
        <v>173</v>
      </c>
      <c r="E1163" s="4">
        <v>250.04</v>
      </c>
    </row>
    <row r="1164" spans="1:5" ht="25.5" x14ac:dyDescent="0.2">
      <c r="A1164" s="63" t="s">
        <v>557</v>
      </c>
      <c r="B1164" s="64" t="s">
        <v>556</v>
      </c>
      <c r="C1164" s="8" t="s">
        <v>4</v>
      </c>
      <c r="D1164" s="8" t="s">
        <v>173</v>
      </c>
      <c r="E1164" s="4">
        <v>270.14</v>
      </c>
    </row>
    <row r="1165" spans="1:5" ht="25.5" x14ac:dyDescent="0.2">
      <c r="A1165" s="63" t="s">
        <v>555</v>
      </c>
      <c r="B1165" s="64" t="s">
        <v>554</v>
      </c>
      <c r="C1165" s="8" t="s">
        <v>4</v>
      </c>
      <c r="D1165" s="8" t="s">
        <v>173</v>
      </c>
      <c r="E1165" s="4">
        <v>33.53</v>
      </c>
    </row>
    <row r="1166" spans="1:5" x14ac:dyDescent="0.2">
      <c r="A1166" s="63" t="s">
        <v>553</v>
      </c>
      <c r="B1166" s="64" t="s">
        <v>552</v>
      </c>
      <c r="C1166" s="8" t="s">
        <v>4</v>
      </c>
      <c r="D1166" s="8" t="s">
        <v>173</v>
      </c>
      <c r="E1166" s="4">
        <v>21.83</v>
      </c>
    </row>
    <row r="1167" spans="1:5" x14ac:dyDescent="0.2">
      <c r="A1167" s="63" t="s">
        <v>551</v>
      </c>
      <c r="B1167" s="64" t="s">
        <v>550</v>
      </c>
      <c r="C1167" s="8" t="s">
        <v>4</v>
      </c>
      <c r="D1167" s="8" t="s">
        <v>173</v>
      </c>
      <c r="E1167" s="4">
        <v>21.41</v>
      </c>
    </row>
    <row r="1168" spans="1:5" x14ac:dyDescent="0.2">
      <c r="A1168" s="63" t="s">
        <v>549</v>
      </c>
      <c r="B1168" s="64" t="s">
        <v>520</v>
      </c>
      <c r="C1168" s="8" t="s">
        <v>4</v>
      </c>
      <c r="D1168" s="8" t="s">
        <v>173</v>
      </c>
      <c r="E1168" s="4">
        <v>20.05</v>
      </c>
    </row>
    <row r="1169" spans="1:5" x14ac:dyDescent="0.2">
      <c r="A1169" s="63" t="s">
        <v>548</v>
      </c>
      <c r="B1169" s="64" t="s">
        <v>547</v>
      </c>
      <c r="C1169" s="8" t="s">
        <v>4</v>
      </c>
      <c r="D1169" s="8" t="s">
        <v>173</v>
      </c>
      <c r="E1169" s="4">
        <v>12.01</v>
      </c>
    </row>
    <row r="1170" spans="1:5" x14ac:dyDescent="0.2">
      <c r="A1170" s="63" t="s">
        <v>546</v>
      </c>
      <c r="B1170" s="64" t="s">
        <v>545</v>
      </c>
      <c r="C1170" s="8" t="s">
        <v>4</v>
      </c>
      <c r="D1170" s="8" t="s">
        <v>3</v>
      </c>
      <c r="E1170" s="4">
        <v>9</v>
      </c>
    </row>
    <row r="1171" spans="1:5" ht="25.5" x14ac:dyDescent="0.2">
      <c r="A1171" s="63" t="s">
        <v>544</v>
      </c>
      <c r="B1171" s="64" t="s">
        <v>543</v>
      </c>
      <c r="C1171" s="8" t="s">
        <v>4</v>
      </c>
      <c r="D1171" s="8" t="s">
        <v>173</v>
      </c>
      <c r="E1171" s="4">
        <v>55.56</v>
      </c>
    </row>
    <row r="1172" spans="1:5" x14ac:dyDescent="0.2">
      <c r="A1172" s="63" t="s">
        <v>542</v>
      </c>
      <c r="B1172" s="64" t="s">
        <v>536</v>
      </c>
      <c r="C1172" s="8" t="s">
        <v>4</v>
      </c>
      <c r="D1172" s="8" t="s">
        <v>173</v>
      </c>
      <c r="E1172" s="4">
        <v>85.72</v>
      </c>
    </row>
    <row r="1173" spans="1:5" x14ac:dyDescent="0.2">
      <c r="A1173" s="63" t="s">
        <v>541</v>
      </c>
      <c r="B1173" s="64" t="s">
        <v>534</v>
      </c>
      <c r="C1173" s="8" t="s">
        <v>4</v>
      </c>
      <c r="D1173" s="8" t="s">
        <v>173</v>
      </c>
      <c r="E1173" s="4">
        <v>135.81</v>
      </c>
    </row>
    <row r="1174" spans="1:5" x14ac:dyDescent="0.2">
      <c r="A1174" s="63" t="s">
        <v>540</v>
      </c>
      <c r="B1174" s="64" t="s">
        <v>532</v>
      </c>
      <c r="C1174" s="8" t="s">
        <v>4</v>
      </c>
      <c r="D1174" s="8" t="s">
        <v>173</v>
      </c>
      <c r="E1174" s="4">
        <v>276.14999999999998</v>
      </c>
    </row>
    <row r="1175" spans="1:5" ht="25.5" x14ac:dyDescent="0.2">
      <c r="A1175" s="63" t="s">
        <v>539</v>
      </c>
      <c r="B1175" s="64" t="s">
        <v>538</v>
      </c>
      <c r="C1175" s="8" t="s">
        <v>4</v>
      </c>
      <c r="D1175" s="8" t="s">
        <v>173</v>
      </c>
      <c r="E1175" s="4">
        <v>216.11</v>
      </c>
    </row>
    <row r="1176" spans="1:5" x14ac:dyDescent="0.2">
      <c r="A1176" s="63" t="s">
        <v>537</v>
      </c>
      <c r="B1176" s="64" t="s">
        <v>536</v>
      </c>
      <c r="C1176" s="8" t="s">
        <v>4</v>
      </c>
      <c r="D1176" s="8" t="s">
        <v>173</v>
      </c>
      <c r="E1176" s="4">
        <v>252.14</v>
      </c>
    </row>
    <row r="1177" spans="1:5" x14ac:dyDescent="0.2">
      <c r="A1177" s="63" t="s">
        <v>535</v>
      </c>
      <c r="B1177" s="64" t="s">
        <v>534</v>
      </c>
      <c r="C1177" s="8" t="s">
        <v>4</v>
      </c>
      <c r="D1177" s="8" t="s">
        <v>173</v>
      </c>
      <c r="E1177" s="4">
        <v>276.14999999999998</v>
      </c>
    </row>
    <row r="1178" spans="1:5" x14ac:dyDescent="0.2">
      <c r="A1178" s="63" t="s">
        <v>533</v>
      </c>
      <c r="B1178" s="64" t="s">
        <v>532</v>
      </c>
      <c r="C1178" s="8" t="s">
        <v>4</v>
      </c>
      <c r="D1178" s="8" t="s">
        <v>173</v>
      </c>
      <c r="E1178" s="4">
        <v>342.18</v>
      </c>
    </row>
    <row r="1179" spans="1:5" ht="25.5" x14ac:dyDescent="0.2">
      <c r="A1179" s="63" t="s">
        <v>531</v>
      </c>
      <c r="B1179" s="64" t="s">
        <v>530</v>
      </c>
      <c r="C1179" s="8" t="s">
        <v>4</v>
      </c>
      <c r="D1179" s="8" t="s">
        <v>173</v>
      </c>
      <c r="E1179" s="4">
        <v>5.56</v>
      </c>
    </row>
    <row r="1180" spans="1:5" ht="25.5" x14ac:dyDescent="0.2">
      <c r="A1180" s="63" t="s">
        <v>529</v>
      </c>
      <c r="B1180" s="64" t="s">
        <v>528</v>
      </c>
      <c r="C1180" s="8" t="s">
        <v>4</v>
      </c>
      <c r="D1180" s="8" t="s">
        <v>173</v>
      </c>
      <c r="E1180" s="4">
        <v>12.01</v>
      </c>
    </row>
    <row r="1181" spans="1:5" ht="25.5" x14ac:dyDescent="0.2">
      <c r="A1181" s="63" t="s">
        <v>527</v>
      </c>
      <c r="B1181" s="64" t="s">
        <v>526</v>
      </c>
      <c r="C1181" s="8" t="s">
        <v>143</v>
      </c>
      <c r="D1181" s="8" t="s">
        <v>173</v>
      </c>
      <c r="E1181" s="4">
        <v>7.94</v>
      </c>
    </row>
    <row r="1182" spans="1:5" ht="51" x14ac:dyDescent="0.2">
      <c r="A1182" s="63" t="s">
        <v>525</v>
      </c>
      <c r="B1182" s="64" t="s">
        <v>524</v>
      </c>
      <c r="C1182" s="8" t="s">
        <v>4</v>
      </c>
      <c r="D1182" s="8" t="s">
        <v>173</v>
      </c>
      <c r="E1182" s="4">
        <v>7.94</v>
      </c>
    </row>
    <row r="1183" spans="1:5" x14ac:dyDescent="0.2">
      <c r="A1183" s="63" t="s">
        <v>523</v>
      </c>
      <c r="B1183" s="64" t="s">
        <v>522</v>
      </c>
      <c r="C1183" s="8" t="s">
        <v>4</v>
      </c>
      <c r="D1183" s="8" t="s">
        <v>173</v>
      </c>
      <c r="E1183" s="4">
        <v>19.25</v>
      </c>
    </row>
    <row r="1184" spans="1:5" x14ac:dyDescent="0.2">
      <c r="A1184" s="63" t="s">
        <v>521</v>
      </c>
      <c r="B1184" s="64" t="s">
        <v>520</v>
      </c>
      <c r="C1184" s="8" t="s">
        <v>4</v>
      </c>
      <c r="D1184" s="8" t="s">
        <v>173</v>
      </c>
      <c r="E1184" s="4">
        <v>16.5</v>
      </c>
    </row>
    <row r="1185" spans="1:5" x14ac:dyDescent="0.2">
      <c r="A1185" s="7" t="s">
        <v>519</v>
      </c>
      <c r="B1185" s="6" t="s">
        <v>518</v>
      </c>
      <c r="C1185" s="5"/>
      <c r="D1185" s="5"/>
      <c r="E1185" s="4">
        <v>0</v>
      </c>
    </row>
    <row r="1186" spans="1:5" ht="25.5" x14ac:dyDescent="0.2">
      <c r="A1186" s="63" t="s">
        <v>517</v>
      </c>
      <c r="B1186" s="64" t="s">
        <v>516</v>
      </c>
      <c r="C1186" s="8" t="s">
        <v>4</v>
      </c>
      <c r="D1186" s="8" t="s">
        <v>173</v>
      </c>
      <c r="E1186" s="4">
        <v>71.44</v>
      </c>
    </row>
    <row r="1187" spans="1:5" x14ac:dyDescent="0.2">
      <c r="A1187" s="63" t="s">
        <v>515</v>
      </c>
      <c r="B1187" s="64" t="s">
        <v>514</v>
      </c>
      <c r="C1187" s="8" t="s">
        <v>4</v>
      </c>
      <c r="D1187" s="8" t="s">
        <v>173</v>
      </c>
      <c r="E1187" s="4">
        <v>71.44</v>
      </c>
    </row>
    <row r="1188" spans="1:5" x14ac:dyDescent="0.2">
      <c r="A1188" s="63" t="s">
        <v>513</v>
      </c>
      <c r="B1188" s="64" t="s">
        <v>512</v>
      </c>
      <c r="C1188" s="8" t="s">
        <v>4</v>
      </c>
      <c r="D1188" s="8" t="s">
        <v>173</v>
      </c>
      <c r="E1188" s="4">
        <v>71.44</v>
      </c>
    </row>
    <row r="1189" spans="1:5" x14ac:dyDescent="0.2">
      <c r="A1189" s="63" t="s">
        <v>511</v>
      </c>
      <c r="B1189" s="64" t="s">
        <v>510</v>
      </c>
      <c r="C1189" s="8" t="s">
        <v>4</v>
      </c>
      <c r="D1189" s="8" t="s">
        <v>173</v>
      </c>
      <c r="E1189" s="4">
        <v>71.44</v>
      </c>
    </row>
    <row r="1190" spans="1:5" x14ac:dyDescent="0.2">
      <c r="A1190" s="63" t="s">
        <v>509</v>
      </c>
      <c r="B1190" s="64" t="s">
        <v>508</v>
      </c>
      <c r="C1190" s="8" t="s">
        <v>4</v>
      </c>
      <c r="D1190" s="8" t="s">
        <v>173</v>
      </c>
      <c r="E1190" s="4">
        <v>42.02</v>
      </c>
    </row>
    <row r="1191" spans="1:5" x14ac:dyDescent="0.2">
      <c r="A1191" s="63" t="s">
        <v>507</v>
      </c>
      <c r="B1191" s="64" t="s">
        <v>506</v>
      </c>
      <c r="C1191" s="8" t="s">
        <v>4</v>
      </c>
      <c r="D1191" s="8" t="s">
        <v>173</v>
      </c>
      <c r="E1191" s="4">
        <v>55.56</v>
      </c>
    </row>
    <row r="1192" spans="1:5" x14ac:dyDescent="0.2">
      <c r="A1192" s="63" t="s">
        <v>505</v>
      </c>
      <c r="B1192" s="64" t="s">
        <v>504</v>
      </c>
      <c r="C1192" s="8" t="s">
        <v>4</v>
      </c>
      <c r="D1192" s="8" t="s">
        <v>173</v>
      </c>
      <c r="E1192" s="4">
        <v>96.05</v>
      </c>
    </row>
    <row r="1193" spans="1:5" ht="25.5" x14ac:dyDescent="0.2">
      <c r="A1193" s="63" t="s">
        <v>503</v>
      </c>
      <c r="B1193" s="64" t="s">
        <v>502</v>
      </c>
      <c r="C1193" s="8" t="s">
        <v>4</v>
      </c>
      <c r="D1193" s="8" t="s">
        <v>173</v>
      </c>
      <c r="E1193" s="4">
        <v>18</v>
      </c>
    </row>
    <row r="1194" spans="1:5" x14ac:dyDescent="0.2">
      <c r="A1194" s="63" t="s">
        <v>501</v>
      </c>
      <c r="B1194" s="64" t="s">
        <v>500</v>
      </c>
      <c r="C1194" s="8" t="s">
        <v>4</v>
      </c>
      <c r="D1194" s="8" t="s">
        <v>173</v>
      </c>
      <c r="E1194" s="4">
        <v>34.92</v>
      </c>
    </row>
    <row r="1195" spans="1:5" x14ac:dyDescent="0.2">
      <c r="A1195" s="63" t="s">
        <v>499</v>
      </c>
      <c r="B1195" s="64" t="s">
        <v>498</v>
      </c>
      <c r="C1195" s="8" t="s">
        <v>4</v>
      </c>
      <c r="D1195" s="8" t="s">
        <v>173</v>
      </c>
      <c r="E1195" s="4">
        <v>18</v>
      </c>
    </row>
    <row r="1196" spans="1:5" ht="25.5" x14ac:dyDescent="0.2">
      <c r="A1196" s="63" t="s">
        <v>497</v>
      </c>
      <c r="B1196" s="64" t="s">
        <v>496</v>
      </c>
      <c r="C1196" s="8" t="s">
        <v>4</v>
      </c>
      <c r="D1196" s="8" t="s">
        <v>173</v>
      </c>
      <c r="E1196" s="4">
        <v>18</v>
      </c>
    </row>
    <row r="1197" spans="1:5" ht="25.5" x14ac:dyDescent="0.2">
      <c r="A1197" s="63" t="s">
        <v>495</v>
      </c>
      <c r="B1197" s="64" t="s">
        <v>494</v>
      </c>
      <c r="C1197" s="8" t="s">
        <v>4</v>
      </c>
      <c r="D1197" s="8" t="s">
        <v>173</v>
      </c>
      <c r="E1197" s="4">
        <v>180.1</v>
      </c>
    </row>
    <row r="1198" spans="1:5" ht="25.5" x14ac:dyDescent="0.2">
      <c r="A1198" s="63" t="s">
        <v>493</v>
      </c>
      <c r="B1198" s="64" t="s">
        <v>492</v>
      </c>
      <c r="C1198" s="8" t="s">
        <v>4</v>
      </c>
      <c r="D1198" s="8" t="s">
        <v>173</v>
      </c>
      <c r="E1198" s="4">
        <v>317.5</v>
      </c>
    </row>
    <row r="1199" spans="1:5" ht="38.25" x14ac:dyDescent="0.2">
      <c r="A1199" s="63" t="s">
        <v>491</v>
      </c>
      <c r="B1199" s="64" t="s">
        <v>490</v>
      </c>
      <c r="C1199" s="8" t="s">
        <v>4</v>
      </c>
      <c r="D1199" s="8" t="s">
        <v>173</v>
      </c>
      <c r="E1199" s="4">
        <v>420.23</v>
      </c>
    </row>
    <row r="1200" spans="1:5" ht="38.25" x14ac:dyDescent="0.2">
      <c r="A1200" s="63" t="s">
        <v>489</v>
      </c>
      <c r="B1200" s="64" t="s">
        <v>488</v>
      </c>
      <c r="C1200" s="8" t="s">
        <v>4</v>
      </c>
      <c r="D1200" s="8" t="s">
        <v>173</v>
      </c>
      <c r="E1200" s="4">
        <v>432.23</v>
      </c>
    </row>
    <row r="1201" spans="1:5" ht="38.25" x14ac:dyDescent="0.2">
      <c r="A1201" s="63" t="s">
        <v>487</v>
      </c>
      <c r="B1201" s="64" t="s">
        <v>486</v>
      </c>
      <c r="C1201" s="8" t="s">
        <v>4</v>
      </c>
      <c r="D1201" s="8" t="s">
        <v>173</v>
      </c>
      <c r="E1201" s="4">
        <v>210.11</v>
      </c>
    </row>
    <row r="1202" spans="1:5" ht="38.25" x14ac:dyDescent="0.2">
      <c r="A1202" s="63" t="s">
        <v>485</v>
      </c>
      <c r="B1202" s="64" t="s">
        <v>484</v>
      </c>
      <c r="C1202" s="8" t="s">
        <v>4</v>
      </c>
      <c r="D1202" s="8" t="s">
        <v>173</v>
      </c>
      <c r="E1202" s="4">
        <v>30.01</v>
      </c>
    </row>
    <row r="1203" spans="1:5" ht="38.25" x14ac:dyDescent="0.2">
      <c r="A1203" s="63" t="s">
        <v>483</v>
      </c>
      <c r="B1203" s="64" t="s">
        <v>482</v>
      </c>
      <c r="C1203" s="8" t="s">
        <v>4</v>
      </c>
      <c r="D1203" s="8" t="s">
        <v>173</v>
      </c>
      <c r="E1203" s="4">
        <v>42.02</v>
      </c>
    </row>
    <row r="1204" spans="1:5" ht="25.5" x14ac:dyDescent="0.2">
      <c r="A1204" s="63" t="s">
        <v>481</v>
      </c>
      <c r="B1204" s="64" t="s">
        <v>480</v>
      </c>
      <c r="C1204" s="8" t="s">
        <v>4</v>
      </c>
      <c r="D1204" s="8" t="s">
        <v>173</v>
      </c>
      <c r="E1204" s="4">
        <v>24.01</v>
      </c>
    </row>
    <row r="1205" spans="1:5" ht="25.5" x14ac:dyDescent="0.2">
      <c r="A1205" s="63" t="s">
        <v>479</v>
      </c>
      <c r="B1205" s="64" t="s">
        <v>478</v>
      </c>
      <c r="C1205" s="8" t="s">
        <v>4</v>
      </c>
      <c r="D1205" s="8" t="s">
        <v>173</v>
      </c>
      <c r="E1205" s="4">
        <v>36.020000000000003</v>
      </c>
    </row>
    <row r="1206" spans="1:5" ht="25.5" x14ac:dyDescent="0.2">
      <c r="A1206" s="63" t="s">
        <v>477</v>
      </c>
      <c r="B1206" s="64" t="s">
        <v>476</v>
      </c>
      <c r="C1206" s="8" t="s">
        <v>4</v>
      </c>
      <c r="D1206" s="8" t="s">
        <v>173</v>
      </c>
      <c r="E1206" s="4">
        <v>48.02</v>
      </c>
    </row>
    <row r="1207" spans="1:5" ht="38.25" x14ac:dyDescent="0.2">
      <c r="A1207" s="63" t="s">
        <v>475</v>
      </c>
      <c r="B1207" s="64" t="s">
        <v>474</v>
      </c>
      <c r="C1207" s="8" t="s">
        <v>4</v>
      </c>
      <c r="D1207" s="8" t="s">
        <v>173</v>
      </c>
      <c r="E1207" s="4">
        <v>165</v>
      </c>
    </row>
    <row r="1208" spans="1:5" x14ac:dyDescent="0.2">
      <c r="A1208" s="7" t="s">
        <v>473</v>
      </c>
      <c r="B1208" s="6" t="s">
        <v>472</v>
      </c>
      <c r="C1208" s="5"/>
      <c r="D1208" s="5"/>
      <c r="E1208" s="4">
        <v>0</v>
      </c>
    </row>
    <row r="1209" spans="1:5" ht="25.5" x14ac:dyDescent="0.2">
      <c r="A1209" s="63" t="s">
        <v>471</v>
      </c>
      <c r="B1209" s="64" t="s">
        <v>470</v>
      </c>
      <c r="C1209" s="8" t="s">
        <v>4</v>
      </c>
      <c r="D1209" s="8" t="s">
        <v>173</v>
      </c>
      <c r="E1209" s="4">
        <v>71.44</v>
      </c>
    </row>
    <row r="1210" spans="1:5" x14ac:dyDescent="0.2">
      <c r="A1210" s="63" t="s">
        <v>469</v>
      </c>
      <c r="B1210" s="64" t="s">
        <v>468</v>
      </c>
      <c r="C1210" s="8" t="s">
        <v>4</v>
      </c>
      <c r="D1210" s="8" t="s">
        <v>3</v>
      </c>
      <c r="E1210" s="4">
        <v>27.84</v>
      </c>
    </row>
    <row r="1211" spans="1:5" x14ac:dyDescent="0.2">
      <c r="A1211" s="63" t="s">
        <v>467</v>
      </c>
      <c r="B1211" s="64" t="s">
        <v>466</v>
      </c>
      <c r="C1211" s="8" t="s">
        <v>4</v>
      </c>
      <c r="D1211" s="8" t="s">
        <v>173</v>
      </c>
      <c r="E1211" s="4">
        <v>71.44</v>
      </c>
    </row>
    <row r="1212" spans="1:5" x14ac:dyDescent="0.2">
      <c r="A1212" s="63" t="s">
        <v>465</v>
      </c>
      <c r="B1212" s="64" t="s">
        <v>464</v>
      </c>
      <c r="C1212" s="8" t="s">
        <v>4</v>
      </c>
      <c r="D1212" s="8" t="s">
        <v>3</v>
      </c>
      <c r="E1212" s="4">
        <v>15.87</v>
      </c>
    </row>
    <row r="1213" spans="1:5" x14ac:dyDescent="0.2">
      <c r="A1213" s="63" t="s">
        <v>463</v>
      </c>
      <c r="B1213" s="64" t="s">
        <v>462</v>
      </c>
      <c r="C1213" s="8" t="s">
        <v>4</v>
      </c>
      <c r="D1213" s="8" t="s">
        <v>173</v>
      </c>
      <c r="E1213" s="4">
        <v>50.8</v>
      </c>
    </row>
    <row r="1214" spans="1:5" x14ac:dyDescent="0.2">
      <c r="A1214" s="63" t="s">
        <v>461</v>
      </c>
      <c r="B1214" s="64" t="s">
        <v>460</v>
      </c>
      <c r="C1214" s="8" t="s">
        <v>4</v>
      </c>
      <c r="D1214" s="8" t="s">
        <v>173</v>
      </c>
      <c r="E1214" s="4">
        <v>180.1</v>
      </c>
    </row>
    <row r="1215" spans="1:5" x14ac:dyDescent="0.2">
      <c r="A1215" s="63" t="s">
        <v>459</v>
      </c>
      <c r="B1215" s="64" t="s">
        <v>458</v>
      </c>
      <c r="C1215" s="8" t="s">
        <v>4</v>
      </c>
      <c r="D1215" s="8" t="s">
        <v>173</v>
      </c>
      <c r="E1215" s="4">
        <v>240.13</v>
      </c>
    </row>
    <row r="1216" spans="1:5" ht="25.5" x14ac:dyDescent="0.2">
      <c r="A1216" s="63" t="s">
        <v>457</v>
      </c>
      <c r="B1216" s="64" t="s">
        <v>456</v>
      </c>
      <c r="C1216" s="8" t="s">
        <v>4</v>
      </c>
      <c r="D1216" s="8" t="s">
        <v>160</v>
      </c>
      <c r="E1216" s="4">
        <v>41.89</v>
      </c>
    </row>
    <row r="1217" spans="1:5" ht="25.5" x14ac:dyDescent="0.2">
      <c r="A1217" s="63" t="s">
        <v>455</v>
      </c>
      <c r="B1217" s="64" t="s">
        <v>454</v>
      </c>
      <c r="C1217" s="8" t="s">
        <v>4</v>
      </c>
      <c r="D1217" s="8" t="s">
        <v>160</v>
      </c>
      <c r="E1217" s="4">
        <v>42.02</v>
      </c>
    </row>
    <row r="1218" spans="1:5" x14ac:dyDescent="0.2">
      <c r="A1218" s="63" t="s">
        <v>453</v>
      </c>
      <c r="B1218" s="64" t="s">
        <v>452</v>
      </c>
      <c r="C1218" s="8" t="s">
        <v>4</v>
      </c>
      <c r="D1218" s="8" t="s">
        <v>160</v>
      </c>
      <c r="E1218" s="4">
        <v>36.020000000000003</v>
      </c>
    </row>
    <row r="1219" spans="1:5" x14ac:dyDescent="0.2">
      <c r="A1219" s="63" t="s">
        <v>451</v>
      </c>
      <c r="B1219" s="64" t="s">
        <v>450</v>
      </c>
      <c r="C1219" s="8" t="s">
        <v>4</v>
      </c>
      <c r="D1219" s="8" t="s">
        <v>160</v>
      </c>
      <c r="E1219" s="4">
        <v>79.180000000000007</v>
      </c>
    </row>
    <row r="1220" spans="1:5" x14ac:dyDescent="0.2">
      <c r="A1220" s="63" t="s">
        <v>449</v>
      </c>
      <c r="B1220" s="64" t="s">
        <v>448</v>
      </c>
      <c r="C1220" s="8" t="s">
        <v>4</v>
      </c>
      <c r="D1220" s="8" t="s">
        <v>160</v>
      </c>
      <c r="E1220" s="4">
        <v>148.5</v>
      </c>
    </row>
    <row r="1221" spans="1:5" x14ac:dyDescent="0.2">
      <c r="A1221" s="63" t="s">
        <v>447</v>
      </c>
      <c r="B1221" s="64" t="s">
        <v>446</v>
      </c>
      <c r="C1221" s="8" t="s">
        <v>4</v>
      </c>
      <c r="D1221" s="8" t="s">
        <v>160</v>
      </c>
      <c r="E1221" s="4">
        <v>78.040000000000006</v>
      </c>
    </row>
    <row r="1222" spans="1:5" x14ac:dyDescent="0.2">
      <c r="A1222" s="63" t="s">
        <v>445</v>
      </c>
      <c r="B1222" s="64" t="s">
        <v>444</v>
      </c>
      <c r="C1222" s="8" t="s">
        <v>4</v>
      </c>
      <c r="D1222" s="8" t="s">
        <v>160</v>
      </c>
      <c r="E1222" s="4">
        <v>84.05</v>
      </c>
    </row>
    <row r="1223" spans="1:5" x14ac:dyDescent="0.2">
      <c r="A1223" s="63" t="s">
        <v>443</v>
      </c>
      <c r="B1223" s="64" t="s">
        <v>442</v>
      </c>
      <c r="C1223" s="8" t="s">
        <v>4</v>
      </c>
      <c r="D1223" s="8" t="s">
        <v>160</v>
      </c>
      <c r="E1223" s="4">
        <v>96.05</v>
      </c>
    </row>
    <row r="1224" spans="1:5" x14ac:dyDescent="0.2">
      <c r="A1224" s="63" t="s">
        <v>441</v>
      </c>
      <c r="B1224" s="64" t="s">
        <v>440</v>
      </c>
      <c r="C1224" s="8" t="s">
        <v>4</v>
      </c>
      <c r="D1224" s="8" t="s">
        <v>160</v>
      </c>
      <c r="E1224" s="4">
        <v>120.06</v>
      </c>
    </row>
    <row r="1225" spans="1:5" x14ac:dyDescent="0.2">
      <c r="A1225" s="63" t="s">
        <v>439</v>
      </c>
      <c r="B1225" s="64" t="s">
        <v>438</v>
      </c>
      <c r="C1225" s="8" t="s">
        <v>4</v>
      </c>
      <c r="D1225" s="8" t="s">
        <v>160</v>
      </c>
      <c r="E1225" s="4">
        <v>385</v>
      </c>
    </row>
    <row r="1226" spans="1:5" x14ac:dyDescent="0.2">
      <c r="A1226" s="63" t="s">
        <v>437</v>
      </c>
      <c r="B1226" s="64" t="s">
        <v>436</v>
      </c>
      <c r="C1226" s="8" t="s">
        <v>4</v>
      </c>
      <c r="D1226" s="8" t="s">
        <v>160</v>
      </c>
      <c r="E1226" s="4">
        <v>78.040000000000006</v>
      </c>
    </row>
    <row r="1227" spans="1:5" x14ac:dyDescent="0.2">
      <c r="A1227" s="63" t="s">
        <v>435</v>
      </c>
      <c r="B1227" s="64" t="s">
        <v>434</v>
      </c>
      <c r="C1227" s="8" t="s">
        <v>4</v>
      </c>
      <c r="D1227" s="8" t="s">
        <v>160</v>
      </c>
      <c r="E1227" s="4">
        <v>87.64</v>
      </c>
    </row>
    <row r="1228" spans="1:5" x14ac:dyDescent="0.2">
      <c r="A1228" s="63" t="s">
        <v>433</v>
      </c>
      <c r="B1228" s="64" t="s">
        <v>432</v>
      </c>
      <c r="C1228" s="8" t="s">
        <v>4</v>
      </c>
      <c r="D1228" s="8" t="s">
        <v>160</v>
      </c>
      <c r="E1228" s="4">
        <v>108.06</v>
      </c>
    </row>
    <row r="1229" spans="1:5" ht="25.5" x14ac:dyDescent="0.2">
      <c r="A1229" s="63" t="s">
        <v>431</v>
      </c>
      <c r="B1229" s="64" t="s">
        <v>430</v>
      </c>
      <c r="C1229" s="8" t="s">
        <v>4</v>
      </c>
      <c r="D1229" s="8" t="s">
        <v>160</v>
      </c>
      <c r="E1229" s="4">
        <v>245.22</v>
      </c>
    </row>
    <row r="1230" spans="1:5" x14ac:dyDescent="0.2">
      <c r="A1230" s="63" t="s">
        <v>429</v>
      </c>
      <c r="B1230" s="64" t="s">
        <v>428</v>
      </c>
      <c r="C1230" s="8" t="s">
        <v>4</v>
      </c>
      <c r="D1230" s="8" t="s">
        <v>160</v>
      </c>
      <c r="E1230" s="4">
        <v>248.62</v>
      </c>
    </row>
    <row r="1231" spans="1:5" ht="25.5" x14ac:dyDescent="0.2">
      <c r="A1231" s="63" t="s">
        <v>427</v>
      </c>
      <c r="B1231" s="64" t="s">
        <v>426</v>
      </c>
      <c r="C1231" s="8" t="s">
        <v>4</v>
      </c>
      <c r="D1231" s="8" t="s">
        <v>160</v>
      </c>
      <c r="E1231" s="4">
        <v>95.35</v>
      </c>
    </row>
    <row r="1232" spans="1:5" ht="25.5" x14ac:dyDescent="0.2">
      <c r="A1232" s="63" t="s">
        <v>425</v>
      </c>
      <c r="B1232" s="64" t="s">
        <v>424</v>
      </c>
      <c r="C1232" s="8" t="s">
        <v>4</v>
      </c>
      <c r="D1232" s="8" t="s">
        <v>160</v>
      </c>
      <c r="E1232" s="4">
        <v>69.34</v>
      </c>
    </row>
    <row r="1233" spans="1:5" x14ac:dyDescent="0.2">
      <c r="A1233" s="63" t="s">
        <v>423</v>
      </c>
      <c r="B1233" s="64" t="s">
        <v>422</v>
      </c>
      <c r="C1233" s="8" t="s">
        <v>4</v>
      </c>
      <c r="D1233" s="8" t="s">
        <v>160</v>
      </c>
      <c r="E1233" s="4">
        <v>156.09</v>
      </c>
    </row>
    <row r="1234" spans="1:5" ht="25.5" x14ac:dyDescent="0.2">
      <c r="A1234" s="63" t="s">
        <v>421</v>
      </c>
      <c r="B1234" s="64" t="s">
        <v>420</v>
      </c>
      <c r="C1234" s="8" t="s">
        <v>4</v>
      </c>
      <c r="D1234" s="8" t="s">
        <v>160</v>
      </c>
      <c r="E1234" s="4">
        <v>90.04</v>
      </c>
    </row>
    <row r="1235" spans="1:5" ht="38.25" x14ac:dyDescent="0.2">
      <c r="A1235" s="63" t="s">
        <v>419</v>
      </c>
      <c r="B1235" s="64" t="s">
        <v>418</v>
      </c>
      <c r="C1235" s="8" t="s">
        <v>4</v>
      </c>
      <c r="D1235" s="8" t="s">
        <v>160</v>
      </c>
      <c r="E1235" s="4">
        <v>150.08000000000001</v>
      </c>
    </row>
    <row r="1236" spans="1:5" x14ac:dyDescent="0.2">
      <c r="A1236" s="63" t="s">
        <v>417</v>
      </c>
      <c r="B1236" s="64" t="s">
        <v>409</v>
      </c>
      <c r="C1236" s="8" t="s">
        <v>4</v>
      </c>
      <c r="D1236" s="8" t="s">
        <v>160</v>
      </c>
      <c r="E1236" s="4">
        <v>164.66</v>
      </c>
    </row>
    <row r="1237" spans="1:5" x14ac:dyDescent="0.2">
      <c r="A1237" s="63" t="s">
        <v>416</v>
      </c>
      <c r="B1237" s="64" t="s">
        <v>415</v>
      </c>
      <c r="C1237" s="8" t="s">
        <v>4</v>
      </c>
      <c r="D1237" s="8" t="s">
        <v>160</v>
      </c>
      <c r="E1237" s="4">
        <v>164.66</v>
      </c>
    </row>
    <row r="1238" spans="1:5" x14ac:dyDescent="0.2">
      <c r="A1238" s="63" t="s">
        <v>414</v>
      </c>
      <c r="B1238" s="64" t="s">
        <v>413</v>
      </c>
      <c r="C1238" s="8" t="s">
        <v>4</v>
      </c>
      <c r="D1238" s="8" t="s">
        <v>160</v>
      </c>
      <c r="E1238" s="4">
        <v>180.1</v>
      </c>
    </row>
    <row r="1239" spans="1:5" ht="38.25" x14ac:dyDescent="0.2">
      <c r="A1239" s="63" t="s">
        <v>412</v>
      </c>
      <c r="B1239" s="64" t="s">
        <v>411</v>
      </c>
      <c r="C1239" s="8" t="s">
        <v>4</v>
      </c>
      <c r="D1239" s="8" t="s">
        <v>160</v>
      </c>
      <c r="E1239" s="4">
        <v>129.68</v>
      </c>
    </row>
    <row r="1240" spans="1:5" x14ac:dyDescent="0.2">
      <c r="A1240" s="63" t="s">
        <v>410</v>
      </c>
      <c r="B1240" s="64" t="s">
        <v>409</v>
      </c>
      <c r="C1240" s="8" t="s">
        <v>4</v>
      </c>
      <c r="D1240" s="8" t="s">
        <v>160</v>
      </c>
      <c r="E1240" s="4">
        <v>133.13999999999999</v>
      </c>
    </row>
    <row r="1241" spans="1:5" ht="25.5" x14ac:dyDescent="0.2">
      <c r="A1241" s="63" t="s">
        <v>408</v>
      </c>
      <c r="B1241" s="64" t="s">
        <v>407</v>
      </c>
      <c r="C1241" s="8" t="s">
        <v>4</v>
      </c>
      <c r="D1241" s="8" t="s">
        <v>160</v>
      </c>
      <c r="E1241" s="4">
        <v>240.13</v>
      </c>
    </row>
    <row r="1242" spans="1:5" ht="25.5" x14ac:dyDescent="0.2">
      <c r="A1242" s="63" t="s">
        <v>406</v>
      </c>
      <c r="B1242" s="64" t="s">
        <v>405</v>
      </c>
      <c r="C1242" s="8" t="s">
        <v>4</v>
      </c>
      <c r="D1242" s="8" t="s">
        <v>160</v>
      </c>
      <c r="E1242" s="4">
        <v>120.58</v>
      </c>
    </row>
    <row r="1243" spans="1:5" ht="25.5" x14ac:dyDescent="0.2">
      <c r="A1243" s="63" t="s">
        <v>404</v>
      </c>
      <c r="B1243" s="64" t="s">
        <v>403</v>
      </c>
      <c r="C1243" s="8" t="s">
        <v>4</v>
      </c>
      <c r="D1243" s="8" t="s">
        <v>160</v>
      </c>
      <c r="E1243" s="4">
        <v>129.07</v>
      </c>
    </row>
    <row r="1244" spans="1:5" x14ac:dyDescent="0.2">
      <c r="A1244" s="63" t="s">
        <v>402</v>
      </c>
      <c r="B1244" s="64" t="s">
        <v>401</v>
      </c>
      <c r="C1244" s="8" t="s">
        <v>4</v>
      </c>
      <c r="D1244" s="8" t="s">
        <v>160</v>
      </c>
      <c r="E1244" s="4">
        <v>25.21</v>
      </c>
    </row>
    <row r="1245" spans="1:5" x14ac:dyDescent="0.2">
      <c r="A1245" s="63" t="s">
        <v>400</v>
      </c>
      <c r="B1245" s="64" t="s">
        <v>399</v>
      </c>
      <c r="C1245" s="8" t="s">
        <v>4</v>
      </c>
      <c r="D1245" s="8" t="s">
        <v>160</v>
      </c>
      <c r="E1245" s="4">
        <v>24.01</v>
      </c>
    </row>
    <row r="1246" spans="1:5" x14ac:dyDescent="0.2">
      <c r="A1246" s="63" t="s">
        <v>398</v>
      </c>
      <c r="B1246" s="64" t="s">
        <v>397</v>
      </c>
      <c r="C1246" s="8" t="s">
        <v>4</v>
      </c>
      <c r="D1246" s="8" t="s">
        <v>160</v>
      </c>
      <c r="E1246" s="4">
        <v>22.81</v>
      </c>
    </row>
    <row r="1247" spans="1:5" ht="25.5" x14ac:dyDescent="0.2">
      <c r="A1247" s="63" t="s">
        <v>396</v>
      </c>
      <c r="B1247" s="64" t="s">
        <v>395</v>
      </c>
      <c r="C1247" s="8" t="s">
        <v>4</v>
      </c>
      <c r="D1247" s="8" t="s">
        <v>160</v>
      </c>
      <c r="E1247" s="4">
        <v>24.5</v>
      </c>
    </row>
    <row r="1248" spans="1:5" ht="38.25" x14ac:dyDescent="0.2">
      <c r="A1248" s="63" t="s">
        <v>394</v>
      </c>
      <c r="B1248" s="64" t="s">
        <v>393</v>
      </c>
      <c r="C1248" s="8"/>
      <c r="D1248" s="8"/>
      <c r="E1248" s="4">
        <v>0</v>
      </c>
    </row>
    <row r="1249" spans="1:5" x14ac:dyDescent="0.2">
      <c r="A1249" s="63" t="s">
        <v>392</v>
      </c>
      <c r="B1249" s="64" t="s">
        <v>391</v>
      </c>
      <c r="C1249" s="8" t="s">
        <v>4</v>
      </c>
      <c r="D1249" s="8" t="s">
        <v>173</v>
      </c>
      <c r="E1249" s="4">
        <v>273.05</v>
      </c>
    </row>
    <row r="1250" spans="1:5" x14ac:dyDescent="0.2">
      <c r="A1250" s="63" t="s">
        <v>390</v>
      </c>
      <c r="B1250" s="64" t="s">
        <v>389</v>
      </c>
      <c r="C1250" s="8" t="s">
        <v>4</v>
      </c>
      <c r="D1250" s="8" t="s">
        <v>173</v>
      </c>
      <c r="E1250" s="4">
        <v>306.38</v>
      </c>
    </row>
    <row r="1251" spans="1:5" x14ac:dyDescent="0.2">
      <c r="A1251" s="63" t="s">
        <v>388</v>
      </c>
      <c r="B1251" s="64" t="s">
        <v>387</v>
      </c>
      <c r="C1251" s="8" t="s">
        <v>4</v>
      </c>
      <c r="D1251" s="8" t="s">
        <v>173</v>
      </c>
      <c r="E1251" s="4">
        <v>347.66</v>
      </c>
    </row>
    <row r="1252" spans="1:5" x14ac:dyDescent="0.2">
      <c r="A1252" s="63" t="s">
        <v>386</v>
      </c>
      <c r="B1252" s="64" t="s">
        <v>385</v>
      </c>
      <c r="C1252" s="8" t="s">
        <v>4</v>
      </c>
      <c r="D1252" s="8" t="s">
        <v>173</v>
      </c>
      <c r="E1252" s="4">
        <v>425.44</v>
      </c>
    </row>
    <row r="1253" spans="1:5" x14ac:dyDescent="0.2">
      <c r="A1253" s="63" t="s">
        <v>384</v>
      </c>
      <c r="B1253" s="64" t="s">
        <v>383</v>
      </c>
      <c r="C1253" s="8" t="s">
        <v>4</v>
      </c>
      <c r="D1253" s="8" t="s">
        <v>173</v>
      </c>
      <c r="E1253" s="4">
        <v>514.34</v>
      </c>
    </row>
    <row r="1254" spans="1:5" ht="25.5" x14ac:dyDescent="0.2">
      <c r="A1254" s="63" t="s">
        <v>382</v>
      </c>
      <c r="B1254" s="64" t="s">
        <v>381</v>
      </c>
      <c r="C1254" s="8" t="s">
        <v>4</v>
      </c>
      <c r="D1254" s="8" t="s">
        <v>173</v>
      </c>
      <c r="E1254" s="4">
        <v>27.62</v>
      </c>
    </row>
    <row r="1255" spans="1:5" x14ac:dyDescent="0.2">
      <c r="A1255" s="63" t="s">
        <v>380</v>
      </c>
      <c r="B1255" s="64" t="s">
        <v>379</v>
      </c>
      <c r="C1255" s="8" t="s">
        <v>4</v>
      </c>
      <c r="D1255" s="8" t="s">
        <v>173</v>
      </c>
      <c r="E1255" s="4">
        <v>35.08</v>
      </c>
    </row>
    <row r="1256" spans="1:5" x14ac:dyDescent="0.2">
      <c r="A1256" s="63" t="s">
        <v>378</v>
      </c>
      <c r="B1256" s="64" t="s">
        <v>377</v>
      </c>
      <c r="C1256" s="8" t="s">
        <v>4</v>
      </c>
      <c r="D1256" s="8" t="s">
        <v>173</v>
      </c>
      <c r="E1256" s="4">
        <v>41.59</v>
      </c>
    </row>
    <row r="1257" spans="1:5" x14ac:dyDescent="0.2">
      <c r="A1257" s="63" t="s">
        <v>376</v>
      </c>
      <c r="B1257" s="64" t="s">
        <v>375</v>
      </c>
      <c r="C1257" s="8" t="s">
        <v>4</v>
      </c>
      <c r="D1257" s="8" t="s">
        <v>173</v>
      </c>
      <c r="E1257" s="4">
        <v>46.04</v>
      </c>
    </row>
    <row r="1258" spans="1:5" x14ac:dyDescent="0.2">
      <c r="A1258" s="63" t="s">
        <v>374</v>
      </c>
      <c r="B1258" s="64" t="s">
        <v>373</v>
      </c>
      <c r="C1258" s="8" t="s">
        <v>4</v>
      </c>
      <c r="D1258" s="8" t="s">
        <v>173</v>
      </c>
      <c r="E1258" s="4">
        <v>24.01</v>
      </c>
    </row>
    <row r="1259" spans="1:5" x14ac:dyDescent="0.2">
      <c r="A1259" s="63" t="s">
        <v>372</v>
      </c>
      <c r="B1259" s="64" t="s">
        <v>371</v>
      </c>
      <c r="C1259" s="8" t="s">
        <v>4</v>
      </c>
      <c r="D1259" s="8" t="s">
        <v>173</v>
      </c>
      <c r="E1259" s="4">
        <v>30.01</v>
      </c>
    </row>
    <row r="1260" spans="1:5" x14ac:dyDescent="0.2">
      <c r="A1260" s="63" t="s">
        <v>370</v>
      </c>
      <c r="B1260" s="64" t="s">
        <v>369</v>
      </c>
      <c r="C1260" s="8" t="s">
        <v>4</v>
      </c>
      <c r="D1260" s="8" t="s">
        <v>173</v>
      </c>
      <c r="E1260" s="4">
        <v>36.020000000000003</v>
      </c>
    </row>
    <row r="1261" spans="1:5" x14ac:dyDescent="0.2">
      <c r="A1261" s="63" t="s">
        <v>368</v>
      </c>
      <c r="B1261" s="64" t="s">
        <v>367</v>
      </c>
      <c r="C1261" s="8" t="s">
        <v>4</v>
      </c>
      <c r="D1261" s="8" t="s">
        <v>173</v>
      </c>
      <c r="E1261" s="4">
        <v>42.02</v>
      </c>
    </row>
    <row r="1262" spans="1:5" x14ac:dyDescent="0.2">
      <c r="A1262" s="63" t="s">
        <v>366</v>
      </c>
      <c r="B1262" s="64" t="s">
        <v>365</v>
      </c>
      <c r="C1262" s="8" t="s">
        <v>4</v>
      </c>
      <c r="D1262" s="8" t="s">
        <v>173</v>
      </c>
      <c r="E1262" s="4">
        <v>62.76</v>
      </c>
    </row>
    <row r="1263" spans="1:5" ht="25.5" x14ac:dyDescent="0.2">
      <c r="A1263" s="63" t="s">
        <v>364</v>
      </c>
      <c r="B1263" s="64" t="s">
        <v>363</v>
      </c>
      <c r="C1263" s="8" t="s">
        <v>4</v>
      </c>
      <c r="D1263" s="8" t="s">
        <v>173</v>
      </c>
      <c r="E1263" s="4">
        <v>50.01</v>
      </c>
    </row>
    <row r="1264" spans="1:5" x14ac:dyDescent="0.2">
      <c r="A1264" s="63" t="s">
        <v>362</v>
      </c>
      <c r="B1264" s="64" t="s">
        <v>361</v>
      </c>
      <c r="C1264" s="8" t="s">
        <v>4</v>
      </c>
      <c r="D1264" s="8" t="s">
        <v>173</v>
      </c>
      <c r="E1264" s="4">
        <v>67.63</v>
      </c>
    </row>
    <row r="1265" spans="1:5" x14ac:dyDescent="0.2">
      <c r="A1265" s="63" t="s">
        <v>360</v>
      </c>
      <c r="B1265" s="64" t="s">
        <v>359</v>
      </c>
      <c r="C1265" s="8" t="s">
        <v>4</v>
      </c>
      <c r="D1265" s="8" t="s">
        <v>173</v>
      </c>
      <c r="E1265" s="4">
        <v>77.63</v>
      </c>
    </row>
    <row r="1266" spans="1:5" x14ac:dyDescent="0.2">
      <c r="A1266" s="63" t="s">
        <v>358</v>
      </c>
      <c r="B1266" s="64" t="s">
        <v>357</v>
      </c>
      <c r="C1266" s="8" t="s">
        <v>4</v>
      </c>
      <c r="D1266" s="8" t="s">
        <v>173</v>
      </c>
      <c r="E1266" s="4">
        <v>121.92</v>
      </c>
    </row>
    <row r="1267" spans="1:5" x14ac:dyDescent="0.2">
      <c r="A1267" s="63" t="s">
        <v>356</v>
      </c>
      <c r="B1267" s="64" t="s">
        <v>355</v>
      </c>
      <c r="C1267" s="8" t="s">
        <v>4</v>
      </c>
      <c r="D1267" s="8" t="s">
        <v>173</v>
      </c>
      <c r="E1267" s="4">
        <v>157.63999999999999</v>
      </c>
    </row>
    <row r="1268" spans="1:5" x14ac:dyDescent="0.2">
      <c r="A1268" s="63" t="s">
        <v>354</v>
      </c>
      <c r="B1268" s="64" t="s">
        <v>353</v>
      </c>
      <c r="C1268" s="8" t="s">
        <v>4</v>
      </c>
      <c r="D1268" s="8" t="s">
        <v>173</v>
      </c>
      <c r="E1268" s="4">
        <v>75.56</v>
      </c>
    </row>
    <row r="1269" spans="1:5" ht="25.5" x14ac:dyDescent="0.2">
      <c r="A1269" s="63" t="s">
        <v>352</v>
      </c>
      <c r="B1269" s="64" t="s">
        <v>351</v>
      </c>
      <c r="C1269" s="8" t="s">
        <v>4</v>
      </c>
      <c r="D1269" s="8" t="s">
        <v>173</v>
      </c>
      <c r="E1269" s="4">
        <v>10.94</v>
      </c>
    </row>
    <row r="1270" spans="1:5" ht="25.5" x14ac:dyDescent="0.2">
      <c r="A1270" s="63" t="s">
        <v>350</v>
      </c>
      <c r="B1270" s="64" t="s">
        <v>349</v>
      </c>
      <c r="C1270" s="8"/>
      <c r="D1270" s="8"/>
      <c r="E1270" s="4">
        <v>0</v>
      </c>
    </row>
    <row r="1271" spans="1:5" x14ac:dyDescent="0.2">
      <c r="A1271" s="63" t="s">
        <v>348</v>
      </c>
      <c r="B1271" s="64" t="s">
        <v>347</v>
      </c>
      <c r="C1271" s="8" t="s">
        <v>4</v>
      </c>
      <c r="D1271" s="8" t="s">
        <v>160</v>
      </c>
      <c r="E1271" s="4">
        <v>1523.58</v>
      </c>
    </row>
    <row r="1272" spans="1:5" x14ac:dyDescent="0.2">
      <c r="A1272" s="63" t="s">
        <v>346</v>
      </c>
      <c r="B1272" s="64" t="s">
        <v>345</v>
      </c>
      <c r="C1272" s="8" t="s">
        <v>4</v>
      </c>
      <c r="D1272" s="8" t="s">
        <v>160</v>
      </c>
      <c r="E1272" s="4">
        <v>1755.01</v>
      </c>
    </row>
    <row r="1273" spans="1:5" x14ac:dyDescent="0.2">
      <c r="A1273" s="63" t="s">
        <v>344</v>
      </c>
      <c r="B1273" s="64" t="s">
        <v>343</v>
      </c>
      <c r="C1273" s="8" t="s">
        <v>4</v>
      </c>
      <c r="D1273" s="8" t="s">
        <v>160</v>
      </c>
      <c r="E1273" s="4">
        <v>2401.33</v>
      </c>
    </row>
    <row r="1274" spans="1:5" x14ac:dyDescent="0.2">
      <c r="A1274" s="63" t="s">
        <v>342</v>
      </c>
      <c r="B1274" s="64" t="s">
        <v>341</v>
      </c>
      <c r="C1274" s="8" t="s">
        <v>4</v>
      </c>
      <c r="D1274" s="8" t="s">
        <v>160</v>
      </c>
      <c r="E1274" s="4">
        <v>2881.59</v>
      </c>
    </row>
    <row r="1275" spans="1:5" x14ac:dyDescent="0.2">
      <c r="A1275" s="7" t="s">
        <v>340</v>
      </c>
      <c r="B1275" s="6" t="s">
        <v>339</v>
      </c>
      <c r="C1275" s="5"/>
      <c r="D1275" s="5"/>
      <c r="E1275" s="4">
        <v>0</v>
      </c>
    </row>
    <row r="1276" spans="1:5" ht="25.5" x14ac:dyDescent="0.2">
      <c r="A1276" s="63" t="s">
        <v>338</v>
      </c>
      <c r="B1276" s="64" t="s">
        <v>337</v>
      </c>
      <c r="C1276" s="8" t="s">
        <v>4</v>
      </c>
      <c r="D1276" s="8" t="s">
        <v>173</v>
      </c>
      <c r="E1276" s="4">
        <v>35.590000000000003</v>
      </c>
    </row>
    <row r="1277" spans="1:5" x14ac:dyDescent="0.2">
      <c r="A1277" s="63" t="s">
        <v>336</v>
      </c>
      <c r="B1277" s="64" t="s">
        <v>329</v>
      </c>
      <c r="C1277" s="8" t="s">
        <v>4</v>
      </c>
      <c r="D1277" s="8" t="s">
        <v>173</v>
      </c>
      <c r="E1277" s="4">
        <v>23.06</v>
      </c>
    </row>
    <row r="1278" spans="1:5" ht="25.5" x14ac:dyDescent="0.2">
      <c r="A1278" s="63" t="s">
        <v>335</v>
      </c>
      <c r="B1278" s="64" t="s">
        <v>334</v>
      </c>
      <c r="C1278" s="8" t="s">
        <v>4</v>
      </c>
      <c r="D1278" s="8" t="s">
        <v>173</v>
      </c>
      <c r="E1278" s="4">
        <v>58.82</v>
      </c>
    </row>
    <row r="1279" spans="1:5" x14ac:dyDescent="0.2">
      <c r="A1279" s="63" t="s">
        <v>333</v>
      </c>
      <c r="B1279" s="64" t="s">
        <v>329</v>
      </c>
      <c r="C1279" s="8" t="s">
        <v>4</v>
      </c>
      <c r="D1279" s="8" t="s">
        <v>173</v>
      </c>
      <c r="E1279" s="4">
        <v>30.01</v>
      </c>
    </row>
    <row r="1280" spans="1:5" ht="25.5" x14ac:dyDescent="0.2">
      <c r="A1280" s="63" t="s">
        <v>332</v>
      </c>
      <c r="B1280" s="64" t="s">
        <v>331</v>
      </c>
      <c r="C1280" s="8" t="s">
        <v>4</v>
      </c>
      <c r="D1280" s="8" t="s">
        <v>173</v>
      </c>
      <c r="E1280" s="4">
        <v>42.02</v>
      </c>
    </row>
    <row r="1281" spans="1:5" x14ac:dyDescent="0.2">
      <c r="A1281" s="63" t="s">
        <v>330</v>
      </c>
      <c r="B1281" s="64" t="s">
        <v>329</v>
      </c>
      <c r="C1281" s="8" t="s">
        <v>4</v>
      </c>
      <c r="D1281" s="8" t="s">
        <v>173</v>
      </c>
      <c r="E1281" s="4">
        <v>24.01</v>
      </c>
    </row>
    <row r="1282" spans="1:5" x14ac:dyDescent="0.2">
      <c r="A1282" s="63" t="s">
        <v>328</v>
      </c>
      <c r="B1282" s="64" t="s">
        <v>327</v>
      </c>
      <c r="C1282" s="8" t="s">
        <v>4</v>
      </c>
      <c r="D1282" s="8" t="s">
        <v>173</v>
      </c>
      <c r="E1282" s="4">
        <v>16.21</v>
      </c>
    </row>
    <row r="1283" spans="1:5" x14ac:dyDescent="0.2">
      <c r="A1283" s="63" t="s">
        <v>326</v>
      </c>
      <c r="B1283" s="64" t="s">
        <v>325</v>
      </c>
      <c r="C1283" s="8" t="s">
        <v>4</v>
      </c>
      <c r="D1283" s="8" t="s">
        <v>173</v>
      </c>
      <c r="E1283" s="4">
        <v>42.02</v>
      </c>
    </row>
    <row r="1284" spans="1:5" x14ac:dyDescent="0.2">
      <c r="A1284" s="63" t="s">
        <v>324</v>
      </c>
      <c r="B1284" s="64" t="s">
        <v>323</v>
      </c>
      <c r="C1284" s="8" t="s">
        <v>4</v>
      </c>
      <c r="D1284" s="8" t="s">
        <v>173</v>
      </c>
      <c r="E1284" s="4">
        <v>27.01</v>
      </c>
    </row>
    <row r="1285" spans="1:5" x14ac:dyDescent="0.2">
      <c r="A1285" s="63" t="s">
        <v>322</v>
      </c>
      <c r="B1285" s="64" t="s">
        <v>321</v>
      </c>
      <c r="C1285" s="8" t="s">
        <v>4</v>
      </c>
      <c r="D1285" s="8" t="s">
        <v>173</v>
      </c>
      <c r="E1285" s="4">
        <v>48.02</v>
      </c>
    </row>
    <row r="1286" spans="1:5" x14ac:dyDescent="0.2">
      <c r="A1286" s="63" t="s">
        <v>320</v>
      </c>
      <c r="B1286" s="64" t="s">
        <v>319</v>
      </c>
      <c r="C1286" s="8" t="s">
        <v>4</v>
      </c>
      <c r="D1286" s="8" t="s">
        <v>173</v>
      </c>
      <c r="E1286" s="4">
        <v>36.020000000000003</v>
      </c>
    </row>
    <row r="1287" spans="1:5" x14ac:dyDescent="0.2">
      <c r="A1287" s="63" t="s">
        <v>318</v>
      </c>
      <c r="B1287" s="64" t="s">
        <v>317</v>
      </c>
      <c r="C1287" s="8" t="s">
        <v>4</v>
      </c>
      <c r="D1287" s="8" t="s">
        <v>173</v>
      </c>
      <c r="E1287" s="4">
        <v>90.04</v>
      </c>
    </row>
    <row r="1288" spans="1:5" x14ac:dyDescent="0.2">
      <c r="A1288" s="63" t="s">
        <v>316</v>
      </c>
      <c r="B1288" s="64" t="s">
        <v>315</v>
      </c>
      <c r="C1288" s="8" t="s">
        <v>4</v>
      </c>
      <c r="D1288" s="8" t="s">
        <v>173</v>
      </c>
      <c r="E1288" s="4">
        <v>26.41</v>
      </c>
    </row>
    <row r="1289" spans="1:5" x14ac:dyDescent="0.2">
      <c r="A1289" s="63" t="s">
        <v>314</v>
      </c>
      <c r="B1289" s="64" t="s">
        <v>313</v>
      </c>
      <c r="C1289" s="8" t="s">
        <v>4</v>
      </c>
      <c r="D1289" s="8" t="s">
        <v>173</v>
      </c>
      <c r="E1289" s="4">
        <v>54.03</v>
      </c>
    </row>
    <row r="1290" spans="1:5" x14ac:dyDescent="0.2">
      <c r="A1290" s="63" t="s">
        <v>312</v>
      </c>
      <c r="B1290" s="64" t="s">
        <v>311</v>
      </c>
      <c r="C1290" s="8" t="s">
        <v>4</v>
      </c>
      <c r="D1290" s="8" t="s">
        <v>173</v>
      </c>
      <c r="E1290" s="4">
        <v>21.61</v>
      </c>
    </row>
    <row r="1291" spans="1:5" x14ac:dyDescent="0.2">
      <c r="A1291" s="63" t="s">
        <v>310</v>
      </c>
      <c r="B1291" s="64" t="s">
        <v>309</v>
      </c>
      <c r="C1291" s="8" t="s">
        <v>143</v>
      </c>
      <c r="D1291" s="8" t="s">
        <v>173</v>
      </c>
      <c r="E1291" s="4">
        <v>30.01</v>
      </c>
    </row>
    <row r="1292" spans="1:5" x14ac:dyDescent="0.2">
      <c r="A1292" s="63" t="s">
        <v>308</v>
      </c>
      <c r="B1292" s="64" t="s">
        <v>307</v>
      </c>
      <c r="C1292" s="8" t="s">
        <v>143</v>
      </c>
      <c r="D1292" s="8" t="s">
        <v>173</v>
      </c>
      <c r="E1292" s="4">
        <v>45.02</v>
      </c>
    </row>
    <row r="1293" spans="1:5" ht="25.5" x14ac:dyDescent="0.2">
      <c r="A1293" s="63" t="s">
        <v>306</v>
      </c>
      <c r="B1293" s="64" t="s">
        <v>305</v>
      </c>
      <c r="C1293" s="8" t="s">
        <v>4</v>
      </c>
      <c r="D1293" s="8" t="s">
        <v>173</v>
      </c>
      <c r="E1293" s="4">
        <v>270.14</v>
      </c>
    </row>
    <row r="1294" spans="1:5" ht="25.5" x14ac:dyDescent="0.2">
      <c r="A1294" s="63" t="s">
        <v>304</v>
      </c>
      <c r="B1294" s="64" t="s">
        <v>303</v>
      </c>
      <c r="C1294" s="8" t="s">
        <v>4</v>
      </c>
      <c r="D1294" s="8" t="s">
        <v>173</v>
      </c>
      <c r="E1294" s="4">
        <v>93.18</v>
      </c>
    </row>
    <row r="1295" spans="1:5" ht="25.5" x14ac:dyDescent="0.2">
      <c r="A1295" s="63" t="s">
        <v>302</v>
      </c>
      <c r="B1295" s="64" t="s">
        <v>301</v>
      </c>
      <c r="C1295" s="8" t="s">
        <v>4</v>
      </c>
      <c r="D1295" s="8" t="s">
        <v>173</v>
      </c>
      <c r="E1295" s="4">
        <v>113.01</v>
      </c>
    </row>
    <row r="1296" spans="1:5" ht="25.5" x14ac:dyDescent="0.2">
      <c r="A1296" s="63" t="s">
        <v>300</v>
      </c>
      <c r="B1296" s="64" t="s">
        <v>299</v>
      </c>
      <c r="C1296" s="8" t="s">
        <v>4</v>
      </c>
      <c r="D1296" s="8" t="s">
        <v>173</v>
      </c>
      <c r="E1296" s="4">
        <v>180.1</v>
      </c>
    </row>
    <row r="1297" spans="1:5" x14ac:dyDescent="0.2">
      <c r="A1297" s="7" t="s">
        <v>298</v>
      </c>
      <c r="B1297" s="6" t="s">
        <v>297</v>
      </c>
      <c r="C1297" s="5"/>
      <c r="D1297" s="5"/>
      <c r="E1297" s="4">
        <v>0</v>
      </c>
    </row>
    <row r="1298" spans="1:5" ht="25.5" x14ac:dyDescent="0.2">
      <c r="A1298" s="63" t="s">
        <v>296</v>
      </c>
      <c r="B1298" s="64" t="s">
        <v>295</v>
      </c>
      <c r="C1298" s="8" t="s">
        <v>143</v>
      </c>
      <c r="D1298" s="8" t="s">
        <v>3</v>
      </c>
      <c r="E1298" s="4">
        <v>10.8</v>
      </c>
    </row>
    <row r="1299" spans="1:5" x14ac:dyDescent="0.2">
      <c r="A1299" s="63" t="s">
        <v>294</v>
      </c>
      <c r="B1299" s="64" t="s">
        <v>293</v>
      </c>
      <c r="C1299" s="8" t="s">
        <v>4</v>
      </c>
      <c r="D1299" s="8" t="s">
        <v>3</v>
      </c>
      <c r="E1299" s="4">
        <v>48.02</v>
      </c>
    </row>
    <row r="1300" spans="1:5" x14ac:dyDescent="0.2">
      <c r="A1300" s="63" t="s">
        <v>292</v>
      </c>
      <c r="B1300" s="64" t="s">
        <v>291</v>
      </c>
      <c r="C1300" s="8" t="s">
        <v>4</v>
      </c>
      <c r="D1300" s="8" t="s">
        <v>3</v>
      </c>
      <c r="E1300" s="4">
        <v>36.020000000000003</v>
      </c>
    </row>
    <row r="1301" spans="1:5" x14ac:dyDescent="0.2">
      <c r="A1301" s="63" t="s">
        <v>290</v>
      </c>
      <c r="B1301" s="64" t="s">
        <v>289</v>
      </c>
      <c r="C1301" s="8" t="s">
        <v>4</v>
      </c>
      <c r="D1301" s="8" t="s">
        <v>3</v>
      </c>
      <c r="E1301" s="4">
        <v>36.020000000000003</v>
      </c>
    </row>
    <row r="1302" spans="1:5" x14ac:dyDescent="0.2">
      <c r="A1302" s="63" t="s">
        <v>288</v>
      </c>
      <c r="B1302" s="64" t="s">
        <v>287</v>
      </c>
      <c r="C1302" s="8" t="s">
        <v>4</v>
      </c>
      <c r="D1302" s="8" t="s">
        <v>3</v>
      </c>
      <c r="E1302" s="4">
        <v>36.020000000000003</v>
      </c>
    </row>
    <row r="1303" spans="1:5" x14ac:dyDescent="0.2">
      <c r="A1303" s="63" t="s">
        <v>286</v>
      </c>
      <c r="B1303" s="64" t="s">
        <v>285</v>
      </c>
      <c r="C1303" s="8" t="s">
        <v>4</v>
      </c>
      <c r="D1303" s="8" t="s">
        <v>3</v>
      </c>
      <c r="E1303" s="4">
        <v>31.75</v>
      </c>
    </row>
    <row r="1304" spans="1:5" ht="38.25" x14ac:dyDescent="0.2">
      <c r="A1304" s="63" t="s">
        <v>284</v>
      </c>
      <c r="B1304" s="64" t="s">
        <v>283</v>
      </c>
      <c r="C1304" s="8"/>
      <c r="D1304" s="8"/>
      <c r="E1304" s="4">
        <v>0</v>
      </c>
    </row>
    <row r="1305" spans="1:5" x14ac:dyDescent="0.2">
      <c r="A1305" s="63" t="s">
        <v>282</v>
      </c>
      <c r="B1305" s="64" t="s">
        <v>272</v>
      </c>
      <c r="C1305" s="8" t="s">
        <v>4</v>
      </c>
      <c r="D1305" s="8" t="s">
        <v>3</v>
      </c>
      <c r="E1305" s="4">
        <v>222.72</v>
      </c>
    </row>
    <row r="1306" spans="1:5" x14ac:dyDescent="0.2">
      <c r="A1306" s="63" t="s">
        <v>281</v>
      </c>
      <c r="B1306" s="64" t="s">
        <v>280</v>
      </c>
      <c r="C1306" s="8" t="s">
        <v>54</v>
      </c>
      <c r="D1306" s="8" t="s">
        <v>3</v>
      </c>
      <c r="E1306" s="4">
        <v>55.68</v>
      </c>
    </row>
    <row r="1307" spans="1:5" ht="38.25" x14ac:dyDescent="0.2">
      <c r="A1307" s="63" t="s">
        <v>279</v>
      </c>
      <c r="B1307" s="64" t="s">
        <v>278</v>
      </c>
      <c r="C1307" s="8"/>
      <c r="D1307" s="8"/>
      <c r="E1307" s="4">
        <v>0</v>
      </c>
    </row>
    <row r="1308" spans="1:5" x14ac:dyDescent="0.2">
      <c r="A1308" s="63" t="s">
        <v>277</v>
      </c>
      <c r="B1308" s="64" t="s">
        <v>272</v>
      </c>
      <c r="C1308" s="8" t="s">
        <v>4</v>
      </c>
      <c r="D1308" s="8" t="s">
        <v>3</v>
      </c>
      <c r="E1308" s="4">
        <v>423.28</v>
      </c>
    </row>
    <row r="1309" spans="1:5" x14ac:dyDescent="0.2">
      <c r="A1309" s="63" t="s">
        <v>276</v>
      </c>
      <c r="B1309" s="64" t="s">
        <v>270</v>
      </c>
      <c r="C1309" s="8" t="s">
        <v>70</v>
      </c>
      <c r="D1309" s="8" t="s">
        <v>3</v>
      </c>
      <c r="E1309" s="4">
        <v>93.62</v>
      </c>
    </row>
    <row r="1310" spans="1:5" ht="51" x14ac:dyDescent="0.2">
      <c r="A1310" s="63" t="s">
        <v>275</v>
      </c>
      <c r="B1310" s="64" t="s">
        <v>274</v>
      </c>
      <c r="C1310" s="8"/>
      <c r="D1310" s="8"/>
      <c r="E1310" s="4">
        <v>0</v>
      </c>
    </row>
    <row r="1311" spans="1:5" x14ac:dyDescent="0.2">
      <c r="A1311" s="63" t="s">
        <v>273</v>
      </c>
      <c r="B1311" s="64" t="s">
        <v>272</v>
      </c>
      <c r="C1311" s="8" t="s">
        <v>4</v>
      </c>
      <c r="D1311" s="8" t="s">
        <v>3</v>
      </c>
      <c r="E1311" s="4">
        <v>600.33000000000004</v>
      </c>
    </row>
    <row r="1312" spans="1:5" x14ac:dyDescent="0.2">
      <c r="A1312" s="63" t="s">
        <v>271</v>
      </c>
      <c r="B1312" s="64" t="s">
        <v>270</v>
      </c>
      <c r="C1312" s="8" t="s">
        <v>70</v>
      </c>
      <c r="D1312" s="8" t="s">
        <v>3</v>
      </c>
      <c r="E1312" s="4">
        <v>121.68</v>
      </c>
    </row>
    <row r="1313" spans="1:5" ht="51" x14ac:dyDescent="0.2">
      <c r="A1313" s="63" t="s">
        <v>269</v>
      </c>
      <c r="B1313" s="64" t="s">
        <v>268</v>
      </c>
      <c r="C1313" s="8" t="s">
        <v>4</v>
      </c>
      <c r="D1313" s="8" t="s">
        <v>3</v>
      </c>
      <c r="E1313" s="4">
        <v>825</v>
      </c>
    </row>
    <row r="1314" spans="1:5" x14ac:dyDescent="0.2">
      <c r="A1314" s="7" t="s">
        <v>267</v>
      </c>
      <c r="B1314" s="6" t="s">
        <v>266</v>
      </c>
      <c r="C1314" s="5"/>
      <c r="D1314" s="5"/>
      <c r="E1314" s="4">
        <v>0</v>
      </c>
    </row>
    <row r="1315" spans="1:5" ht="25.5" x14ac:dyDescent="0.2">
      <c r="A1315" s="63" t="s">
        <v>265</v>
      </c>
      <c r="B1315" s="64" t="s">
        <v>264</v>
      </c>
      <c r="C1315" s="8"/>
      <c r="D1315" s="8"/>
      <c r="E1315" s="4">
        <v>0</v>
      </c>
    </row>
    <row r="1316" spans="1:5" x14ac:dyDescent="0.2">
      <c r="A1316" s="63" t="s">
        <v>263</v>
      </c>
      <c r="B1316" s="64" t="s">
        <v>250</v>
      </c>
      <c r="C1316" s="8" t="s">
        <v>4</v>
      </c>
      <c r="D1316" s="8" t="s">
        <v>160</v>
      </c>
      <c r="E1316" s="4">
        <v>60.03</v>
      </c>
    </row>
    <row r="1317" spans="1:5" x14ac:dyDescent="0.2">
      <c r="A1317" s="63" t="s">
        <v>262</v>
      </c>
      <c r="B1317" s="64" t="s">
        <v>248</v>
      </c>
      <c r="C1317" s="8" t="s">
        <v>4</v>
      </c>
      <c r="D1317" s="8" t="s">
        <v>160</v>
      </c>
      <c r="E1317" s="4">
        <v>94.85</v>
      </c>
    </row>
    <row r="1318" spans="1:5" x14ac:dyDescent="0.2">
      <c r="A1318" s="63" t="s">
        <v>261</v>
      </c>
      <c r="B1318" s="64" t="s">
        <v>246</v>
      </c>
      <c r="C1318" s="8" t="s">
        <v>4</v>
      </c>
      <c r="D1318" s="8" t="s">
        <v>160</v>
      </c>
      <c r="E1318" s="4">
        <v>102.05</v>
      </c>
    </row>
    <row r="1319" spans="1:5" ht="25.5" x14ac:dyDescent="0.2">
      <c r="A1319" s="63" t="s">
        <v>260</v>
      </c>
      <c r="B1319" s="64" t="s">
        <v>259</v>
      </c>
      <c r="C1319" s="8"/>
      <c r="D1319" s="8"/>
      <c r="E1319" s="4">
        <v>0</v>
      </c>
    </row>
    <row r="1320" spans="1:5" x14ac:dyDescent="0.2">
      <c r="A1320" s="63" t="s">
        <v>258</v>
      </c>
      <c r="B1320" s="64" t="s">
        <v>250</v>
      </c>
      <c r="C1320" s="8" t="s">
        <v>4</v>
      </c>
      <c r="D1320" s="8" t="s">
        <v>160</v>
      </c>
      <c r="E1320" s="4">
        <v>72.03</v>
      </c>
    </row>
    <row r="1321" spans="1:5" x14ac:dyDescent="0.2">
      <c r="A1321" s="63" t="s">
        <v>257</v>
      </c>
      <c r="B1321" s="64" t="s">
        <v>248</v>
      </c>
      <c r="C1321" s="8" t="s">
        <v>4</v>
      </c>
      <c r="D1321" s="8" t="s">
        <v>160</v>
      </c>
      <c r="E1321" s="4">
        <v>108.06</v>
      </c>
    </row>
    <row r="1322" spans="1:5" x14ac:dyDescent="0.2">
      <c r="A1322" s="63" t="s">
        <v>256</v>
      </c>
      <c r="B1322" s="64" t="s">
        <v>246</v>
      </c>
      <c r="C1322" s="8" t="s">
        <v>4</v>
      </c>
      <c r="D1322" s="8" t="s">
        <v>160</v>
      </c>
      <c r="E1322" s="4">
        <v>123.72</v>
      </c>
    </row>
    <row r="1323" spans="1:5" x14ac:dyDescent="0.2">
      <c r="A1323" s="63" t="s">
        <v>255</v>
      </c>
      <c r="B1323" s="64" t="s">
        <v>254</v>
      </c>
      <c r="C1323" s="8" t="s">
        <v>4</v>
      </c>
      <c r="D1323" s="8" t="s">
        <v>160</v>
      </c>
      <c r="E1323" s="4">
        <v>216.69</v>
      </c>
    </row>
    <row r="1324" spans="1:5" ht="25.5" x14ac:dyDescent="0.2">
      <c r="A1324" s="63" t="s">
        <v>253</v>
      </c>
      <c r="B1324" s="64" t="s">
        <v>252</v>
      </c>
      <c r="C1324" s="8"/>
      <c r="D1324" s="8"/>
      <c r="E1324" s="4">
        <v>0</v>
      </c>
    </row>
    <row r="1325" spans="1:5" x14ac:dyDescent="0.2">
      <c r="A1325" s="63" t="s">
        <v>251</v>
      </c>
      <c r="B1325" s="64" t="s">
        <v>250</v>
      </c>
      <c r="C1325" s="8" t="s">
        <v>4</v>
      </c>
      <c r="D1325" s="8" t="s">
        <v>160</v>
      </c>
      <c r="E1325" s="4">
        <v>77.34</v>
      </c>
    </row>
    <row r="1326" spans="1:5" x14ac:dyDescent="0.2">
      <c r="A1326" s="63" t="s">
        <v>249</v>
      </c>
      <c r="B1326" s="64" t="s">
        <v>248</v>
      </c>
      <c r="C1326" s="8" t="s">
        <v>4</v>
      </c>
      <c r="D1326" s="8" t="s">
        <v>160</v>
      </c>
      <c r="E1326" s="4">
        <v>126.97</v>
      </c>
    </row>
    <row r="1327" spans="1:5" x14ac:dyDescent="0.2">
      <c r="A1327" s="63" t="s">
        <v>247</v>
      </c>
      <c r="B1327" s="64" t="s">
        <v>246</v>
      </c>
      <c r="C1327" s="8" t="s">
        <v>4</v>
      </c>
      <c r="D1327" s="8" t="s">
        <v>160</v>
      </c>
      <c r="E1327" s="4">
        <v>174</v>
      </c>
    </row>
    <row r="1328" spans="1:5" ht="25.5" x14ac:dyDescent="0.2">
      <c r="A1328" s="63" t="s">
        <v>245</v>
      </c>
      <c r="B1328" s="64" t="s">
        <v>244</v>
      </c>
      <c r="C1328" s="8"/>
      <c r="D1328" s="8"/>
      <c r="E1328" s="4">
        <v>0</v>
      </c>
    </row>
    <row r="1329" spans="1:5" x14ac:dyDescent="0.2">
      <c r="A1329" s="63" t="s">
        <v>243</v>
      </c>
      <c r="B1329" s="64" t="s">
        <v>242</v>
      </c>
      <c r="C1329" s="8" t="s">
        <v>4</v>
      </c>
      <c r="D1329" s="8" t="s">
        <v>160</v>
      </c>
      <c r="E1329" s="4">
        <v>84.05</v>
      </c>
    </row>
    <row r="1330" spans="1:5" x14ac:dyDescent="0.2">
      <c r="A1330" s="63" t="s">
        <v>241</v>
      </c>
      <c r="B1330" s="64" t="s">
        <v>240</v>
      </c>
      <c r="C1330" s="8" t="s">
        <v>4</v>
      </c>
      <c r="D1330" s="8" t="s">
        <v>160</v>
      </c>
      <c r="E1330" s="4">
        <v>126.07</v>
      </c>
    </row>
    <row r="1331" spans="1:5" ht="25.5" x14ac:dyDescent="0.2">
      <c r="A1331" s="63" t="s">
        <v>239</v>
      </c>
      <c r="B1331" s="64" t="s">
        <v>238</v>
      </c>
      <c r="C1331" s="8" t="s">
        <v>4</v>
      </c>
      <c r="D1331" s="8" t="s">
        <v>160</v>
      </c>
      <c r="E1331" s="4">
        <v>204.11</v>
      </c>
    </row>
    <row r="1332" spans="1:5" ht="25.5" x14ac:dyDescent="0.2">
      <c r="A1332" s="63" t="s">
        <v>237</v>
      </c>
      <c r="B1332" s="64" t="s">
        <v>236</v>
      </c>
      <c r="C1332" s="8" t="s">
        <v>4</v>
      </c>
      <c r="D1332" s="8" t="s">
        <v>160</v>
      </c>
      <c r="E1332" s="4">
        <v>101.6</v>
      </c>
    </row>
    <row r="1333" spans="1:5" ht="25.5" x14ac:dyDescent="0.2">
      <c r="A1333" s="63" t="s">
        <v>235</v>
      </c>
      <c r="B1333" s="64" t="s">
        <v>234</v>
      </c>
      <c r="C1333" s="8"/>
      <c r="D1333" s="8"/>
      <c r="E1333" s="4">
        <v>0</v>
      </c>
    </row>
    <row r="1334" spans="1:5" x14ac:dyDescent="0.2">
      <c r="A1334" s="63" t="s">
        <v>233</v>
      </c>
      <c r="B1334" s="64" t="s">
        <v>232</v>
      </c>
      <c r="C1334" s="8" t="s">
        <v>143</v>
      </c>
      <c r="D1334" s="8" t="s">
        <v>160</v>
      </c>
      <c r="E1334" s="4">
        <v>18</v>
      </c>
    </row>
    <row r="1335" spans="1:5" x14ac:dyDescent="0.2">
      <c r="A1335" s="63" t="s">
        <v>231</v>
      </c>
      <c r="B1335" s="64" t="s">
        <v>230</v>
      </c>
      <c r="C1335" s="8" t="s">
        <v>143</v>
      </c>
      <c r="D1335" s="8" t="s">
        <v>160</v>
      </c>
      <c r="E1335" s="4">
        <v>21.01</v>
      </c>
    </row>
    <row r="1336" spans="1:5" x14ac:dyDescent="0.2">
      <c r="A1336" s="63" t="s">
        <v>229</v>
      </c>
      <c r="B1336" s="64" t="s">
        <v>228</v>
      </c>
      <c r="C1336" s="8" t="s">
        <v>143</v>
      </c>
      <c r="D1336" s="8" t="s">
        <v>160</v>
      </c>
      <c r="E1336" s="4">
        <v>24.01</v>
      </c>
    </row>
    <row r="1337" spans="1:5" x14ac:dyDescent="0.2">
      <c r="A1337" s="63" t="s">
        <v>227</v>
      </c>
      <c r="B1337" s="64" t="s">
        <v>226</v>
      </c>
      <c r="C1337" s="8" t="s">
        <v>143</v>
      </c>
      <c r="D1337" s="8" t="s">
        <v>160</v>
      </c>
      <c r="E1337" s="4">
        <v>27.01</v>
      </c>
    </row>
    <row r="1338" spans="1:5" x14ac:dyDescent="0.2">
      <c r="A1338" s="63" t="s">
        <v>225</v>
      </c>
      <c r="B1338" s="64" t="s">
        <v>224</v>
      </c>
      <c r="C1338" s="8" t="s">
        <v>143</v>
      </c>
      <c r="D1338" s="8" t="s">
        <v>160</v>
      </c>
      <c r="E1338" s="4">
        <v>30.01</v>
      </c>
    </row>
    <row r="1339" spans="1:5" ht="38.25" x14ac:dyDescent="0.2">
      <c r="A1339" s="63" t="s">
        <v>223</v>
      </c>
      <c r="B1339" s="64" t="s">
        <v>222</v>
      </c>
      <c r="C1339" s="8" t="s">
        <v>136</v>
      </c>
      <c r="D1339" s="8" t="s">
        <v>160</v>
      </c>
      <c r="E1339" s="4">
        <v>30.01</v>
      </c>
    </row>
    <row r="1340" spans="1:5" ht="38.25" x14ac:dyDescent="0.2">
      <c r="A1340" s="63" t="s">
        <v>221</v>
      </c>
      <c r="B1340" s="64" t="s">
        <v>220</v>
      </c>
      <c r="C1340" s="8" t="s">
        <v>136</v>
      </c>
      <c r="D1340" s="8" t="s">
        <v>160</v>
      </c>
      <c r="E1340" s="4">
        <v>54.03</v>
      </c>
    </row>
    <row r="1341" spans="1:5" ht="38.25" x14ac:dyDescent="0.2">
      <c r="A1341" s="63" t="s">
        <v>219</v>
      </c>
      <c r="B1341" s="64" t="s">
        <v>218</v>
      </c>
      <c r="C1341" s="8" t="s">
        <v>136</v>
      </c>
      <c r="D1341" s="8" t="s">
        <v>160</v>
      </c>
      <c r="E1341" s="4">
        <v>33.409999999999997</v>
      </c>
    </row>
    <row r="1342" spans="1:5" ht="63.75" x14ac:dyDescent="0.2">
      <c r="A1342" s="7" t="s">
        <v>217</v>
      </c>
      <c r="B1342" s="6" t="s">
        <v>216</v>
      </c>
      <c r="C1342" s="5"/>
      <c r="D1342" s="5"/>
      <c r="E1342" s="4">
        <v>0</v>
      </c>
    </row>
    <row r="1343" spans="1:5" ht="38.25" x14ac:dyDescent="0.2">
      <c r="A1343" s="63" t="s">
        <v>215</v>
      </c>
      <c r="B1343" s="64" t="s">
        <v>214</v>
      </c>
      <c r="C1343" s="8" t="s">
        <v>143</v>
      </c>
      <c r="D1343" s="8" t="s">
        <v>160</v>
      </c>
      <c r="E1343" s="4">
        <v>65.56</v>
      </c>
    </row>
    <row r="1344" spans="1:5" ht="38.25" x14ac:dyDescent="0.2">
      <c r="A1344" s="63" t="s">
        <v>213</v>
      </c>
      <c r="B1344" s="64" t="s">
        <v>212</v>
      </c>
      <c r="C1344" s="8" t="s">
        <v>143</v>
      </c>
      <c r="D1344" s="8" t="s">
        <v>160</v>
      </c>
      <c r="E1344" s="4">
        <v>48.02</v>
      </c>
    </row>
    <row r="1345" spans="1:5" ht="38.25" x14ac:dyDescent="0.2">
      <c r="A1345" s="63" t="s">
        <v>211</v>
      </c>
      <c r="B1345" s="64" t="s">
        <v>210</v>
      </c>
      <c r="C1345" s="8" t="s">
        <v>143</v>
      </c>
      <c r="D1345" s="8" t="s">
        <v>160</v>
      </c>
      <c r="E1345" s="4">
        <v>27.3</v>
      </c>
    </row>
    <row r="1346" spans="1:5" ht="25.5" x14ac:dyDescent="0.2">
      <c r="A1346" s="63" t="s">
        <v>209</v>
      </c>
      <c r="B1346" s="64" t="s">
        <v>208</v>
      </c>
      <c r="C1346" s="8" t="s">
        <v>4</v>
      </c>
      <c r="D1346" s="8" t="s">
        <v>160</v>
      </c>
      <c r="E1346" s="4">
        <v>16.84</v>
      </c>
    </row>
    <row r="1347" spans="1:5" ht="38.25" x14ac:dyDescent="0.2">
      <c r="A1347" s="63" t="s">
        <v>207</v>
      </c>
      <c r="B1347" s="64" t="s">
        <v>206</v>
      </c>
      <c r="C1347" s="8" t="s">
        <v>4</v>
      </c>
      <c r="D1347" s="8" t="s">
        <v>160</v>
      </c>
      <c r="E1347" s="4">
        <v>6.3</v>
      </c>
    </row>
    <row r="1348" spans="1:5" ht="25.5" x14ac:dyDescent="0.2">
      <c r="A1348" s="63" t="s">
        <v>205</v>
      </c>
      <c r="B1348" s="64" t="s">
        <v>204</v>
      </c>
      <c r="C1348" s="8" t="s">
        <v>143</v>
      </c>
      <c r="D1348" s="8" t="s">
        <v>160</v>
      </c>
      <c r="E1348" s="4">
        <v>14.27</v>
      </c>
    </row>
    <row r="1349" spans="1:5" ht="25.5" x14ac:dyDescent="0.2">
      <c r="A1349" s="63" t="s">
        <v>203</v>
      </c>
      <c r="B1349" s="64" t="s">
        <v>202</v>
      </c>
      <c r="C1349" s="8" t="s">
        <v>143</v>
      </c>
      <c r="D1349" s="8" t="s">
        <v>160</v>
      </c>
      <c r="E1349" s="4">
        <v>16.47</v>
      </c>
    </row>
    <row r="1350" spans="1:5" x14ac:dyDescent="0.2">
      <c r="A1350" s="63" t="s">
        <v>201</v>
      </c>
      <c r="B1350" s="64" t="s">
        <v>200</v>
      </c>
      <c r="C1350" s="8" t="s">
        <v>136</v>
      </c>
      <c r="D1350" s="8" t="s">
        <v>160</v>
      </c>
      <c r="E1350" s="4">
        <v>4.42</v>
      </c>
    </row>
    <row r="1351" spans="1:5" ht="38.25" x14ac:dyDescent="0.2">
      <c r="A1351" s="63" t="s">
        <v>199</v>
      </c>
      <c r="B1351" s="64" t="s">
        <v>198</v>
      </c>
      <c r="C1351" s="8" t="s">
        <v>4</v>
      </c>
      <c r="D1351" s="8" t="s">
        <v>160</v>
      </c>
      <c r="E1351" s="4">
        <v>300.16000000000003</v>
      </c>
    </row>
    <row r="1352" spans="1:5" ht="25.5" x14ac:dyDescent="0.2">
      <c r="A1352" s="63" t="s">
        <v>197</v>
      </c>
      <c r="B1352" s="64" t="s">
        <v>196</v>
      </c>
      <c r="C1352" s="8" t="s">
        <v>4</v>
      </c>
      <c r="D1352" s="8" t="s">
        <v>160</v>
      </c>
      <c r="E1352" s="4">
        <v>605</v>
      </c>
    </row>
    <row r="1353" spans="1:5" ht="25.5" x14ac:dyDescent="0.2">
      <c r="A1353" s="63" t="s">
        <v>195</v>
      </c>
      <c r="B1353" s="64" t="s">
        <v>194</v>
      </c>
      <c r="C1353" s="8" t="s">
        <v>4</v>
      </c>
      <c r="D1353" s="8" t="s">
        <v>160</v>
      </c>
      <c r="E1353" s="4">
        <v>600.33000000000004</v>
      </c>
    </row>
    <row r="1354" spans="1:5" x14ac:dyDescent="0.2">
      <c r="A1354" s="63" t="s">
        <v>193</v>
      </c>
      <c r="B1354" s="64" t="s">
        <v>192</v>
      </c>
      <c r="C1354" s="8" t="s">
        <v>4</v>
      </c>
      <c r="D1354" s="8" t="s">
        <v>173</v>
      </c>
      <c r="E1354" s="4">
        <v>330</v>
      </c>
    </row>
    <row r="1355" spans="1:5" ht="25.5" x14ac:dyDescent="0.2">
      <c r="A1355" s="63" t="s">
        <v>191</v>
      </c>
      <c r="B1355" s="64" t="s">
        <v>190</v>
      </c>
      <c r="C1355" s="8" t="s">
        <v>4</v>
      </c>
      <c r="D1355" s="8" t="s">
        <v>160</v>
      </c>
      <c r="E1355" s="4">
        <v>240.13</v>
      </c>
    </row>
    <row r="1356" spans="1:5" x14ac:dyDescent="0.2">
      <c r="A1356" s="63" t="s">
        <v>189</v>
      </c>
      <c r="B1356" s="64" t="s">
        <v>188</v>
      </c>
      <c r="C1356" s="8" t="s">
        <v>4</v>
      </c>
      <c r="D1356" s="8" t="s">
        <v>173</v>
      </c>
      <c r="E1356" s="4">
        <v>165</v>
      </c>
    </row>
    <row r="1357" spans="1:5" ht="25.5" x14ac:dyDescent="0.2">
      <c r="A1357" s="63" t="s">
        <v>187</v>
      </c>
      <c r="B1357" s="64" t="s">
        <v>186</v>
      </c>
      <c r="C1357" s="8" t="s">
        <v>4</v>
      </c>
      <c r="D1357" s="8" t="s">
        <v>173</v>
      </c>
      <c r="E1357" s="4">
        <v>36.020000000000003</v>
      </c>
    </row>
    <row r="1358" spans="1:5" ht="25.5" x14ac:dyDescent="0.2">
      <c r="A1358" s="63" t="s">
        <v>185</v>
      </c>
      <c r="B1358" s="64" t="s">
        <v>184</v>
      </c>
      <c r="C1358" s="8" t="s">
        <v>143</v>
      </c>
      <c r="D1358" s="8" t="s">
        <v>160</v>
      </c>
      <c r="E1358" s="4">
        <v>70.08</v>
      </c>
    </row>
    <row r="1359" spans="1:5" ht="25.5" x14ac:dyDescent="0.2">
      <c r="A1359" s="63" t="s">
        <v>183</v>
      </c>
      <c r="B1359" s="64" t="s">
        <v>182</v>
      </c>
      <c r="C1359" s="8" t="s">
        <v>136</v>
      </c>
      <c r="D1359" s="8" t="s">
        <v>160</v>
      </c>
      <c r="E1359" s="4">
        <v>42.02</v>
      </c>
    </row>
    <row r="1360" spans="1:5" ht="25.5" x14ac:dyDescent="0.2">
      <c r="A1360" s="63" t="s">
        <v>181</v>
      </c>
      <c r="B1360" s="64" t="s">
        <v>180</v>
      </c>
      <c r="C1360" s="8" t="s">
        <v>136</v>
      </c>
      <c r="D1360" s="8" t="s">
        <v>160</v>
      </c>
      <c r="E1360" s="4">
        <v>42.02</v>
      </c>
    </row>
    <row r="1361" spans="1:5" ht="25.5" x14ac:dyDescent="0.2">
      <c r="A1361" s="63" t="s">
        <v>179</v>
      </c>
      <c r="B1361" s="64" t="s">
        <v>178</v>
      </c>
      <c r="C1361" s="8" t="s">
        <v>143</v>
      </c>
      <c r="D1361" s="8" t="s">
        <v>160</v>
      </c>
      <c r="E1361" s="4">
        <v>7.2</v>
      </c>
    </row>
    <row r="1362" spans="1:5" x14ac:dyDescent="0.2">
      <c r="A1362" s="63" t="s">
        <v>177</v>
      </c>
      <c r="B1362" s="64" t="s">
        <v>176</v>
      </c>
      <c r="C1362" s="8" t="s">
        <v>136</v>
      </c>
      <c r="D1362" s="8" t="s">
        <v>160</v>
      </c>
      <c r="E1362" s="4">
        <v>9.68</v>
      </c>
    </row>
    <row r="1363" spans="1:5" x14ac:dyDescent="0.2">
      <c r="A1363" s="63" t="s">
        <v>175</v>
      </c>
      <c r="B1363" s="64" t="s">
        <v>174</v>
      </c>
      <c r="C1363" s="8" t="s">
        <v>136</v>
      </c>
      <c r="D1363" s="8" t="s">
        <v>173</v>
      </c>
      <c r="E1363" s="4">
        <v>15</v>
      </c>
    </row>
    <row r="1364" spans="1:5" x14ac:dyDescent="0.2">
      <c r="A1364" s="63" t="s">
        <v>172</v>
      </c>
      <c r="B1364" s="64" t="s">
        <v>171</v>
      </c>
      <c r="C1364" s="8" t="s">
        <v>143</v>
      </c>
      <c r="D1364" s="8" t="s">
        <v>160</v>
      </c>
      <c r="E1364" s="4">
        <v>240.13</v>
      </c>
    </row>
    <row r="1365" spans="1:5" ht="114.75" x14ac:dyDescent="0.2">
      <c r="A1365" s="63" t="s">
        <v>170</v>
      </c>
      <c r="B1365" s="64" t="s">
        <v>169</v>
      </c>
      <c r="C1365" s="8" t="s">
        <v>136</v>
      </c>
      <c r="D1365" s="8" t="s">
        <v>160</v>
      </c>
      <c r="E1365" s="4">
        <v>137.5</v>
      </c>
    </row>
    <row r="1366" spans="1:5" ht="114.75" x14ac:dyDescent="0.2">
      <c r="A1366" s="63" t="s">
        <v>168</v>
      </c>
      <c r="B1366" s="64" t="s">
        <v>167</v>
      </c>
      <c r="C1366" s="8" t="s">
        <v>136</v>
      </c>
      <c r="D1366" s="8" t="s">
        <v>160</v>
      </c>
      <c r="E1366" s="4">
        <v>137.5</v>
      </c>
    </row>
    <row r="1367" spans="1:5" ht="25.5" x14ac:dyDescent="0.2">
      <c r="A1367" s="63" t="s">
        <v>166</v>
      </c>
      <c r="B1367" s="64" t="s">
        <v>165</v>
      </c>
      <c r="C1367" s="8" t="s">
        <v>136</v>
      </c>
      <c r="D1367" s="8" t="s">
        <v>160</v>
      </c>
      <c r="E1367" s="4">
        <v>22</v>
      </c>
    </row>
    <row r="1368" spans="1:5" ht="38.25" x14ac:dyDescent="0.2">
      <c r="A1368" s="63" t="s">
        <v>164</v>
      </c>
      <c r="B1368" s="64" t="s">
        <v>163</v>
      </c>
      <c r="C1368" s="8" t="s">
        <v>136</v>
      </c>
      <c r="D1368" s="8" t="s">
        <v>160</v>
      </c>
      <c r="E1368" s="4">
        <v>22</v>
      </c>
    </row>
    <row r="1369" spans="1:5" ht="38.25" x14ac:dyDescent="0.2">
      <c r="A1369" s="63" t="s">
        <v>162</v>
      </c>
      <c r="B1369" s="64" t="s">
        <v>161</v>
      </c>
      <c r="C1369" s="8" t="s">
        <v>136</v>
      </c>
      <c r="D1369" s="8" t="s">
        <v>160</v>
      </c>
      <c r="E1369" s="4">
        <v>22</v>
      </c>
    </row>
    <row r="1370" spans="1:5" ht="51" x14ac:dyDescent="0.2">
      <c r="A1370" s="7" t="s">
        <v>159</v>
      </c>
      <c r="B1370" s="6" t="s">
        <v>158</v>
      </c>
      <c r="C1370" s="5"/>
      <c r="D1370" s="5"/>
      <c r="E1370" s="4">
        <v>0</v>
      </c>
    </row>
    <row r="1371" spans="1:5" x14ac:dyDescent="0.2">
      <c r="A1371" s="63" t="s">
        <v>157</v>
      </c>
      <c r="B1371" s="64" t="s">
        <v>156</v>
      </c>
      <c r="C1371" s="8" t="s">
        <v>136</v>
      </c>
      <c r="D1371" s="8" t="s">
        <v>3</v>
      </c>
      <c r="E1371" s="4">
        <v>7.2</v>
      </c>
    </row>
    <row r="1372" spans="1:5" ht="25.5" x14ac:dyDescent="0.2">
      <c r="A1372" s="63" t="s">
        <v>155</v>
      </c>
      <c r="B1372" s="64" t="s">
        <v>154</v>
      </c>
      <c r="C1372" s="8" t="s">
        <v>70</v>
      </c>
      <c r="D1372" s="8" t="s">
        <v>3</v>
      </c>
      <c r="E1372" s="4">
        <v>3.5</v>
      </c>
    </row>
    <row r="1373" spans="1:5" x14ac:dyDescent="0.2">
      <c r="A1373" s="63" t="s">
        <v>153</v>
      </c>
      <c r="B1373" s="64" t="s">
        <v>152</v>
      </c>
      <c r="C1373" s="8" t="s">
        <v>136</v>
      </c>
      <c r="D1373" s="8" t="s">
        <v>3</v>
      </c>
      <c r="E1373" s="4">
        <v>1.75</v>
      </c>
    </row>
    <row r="1374" spans="1:5" x14ac:dyDescent="0.2">
      <c r="A1374" s="63" t="s">
        <v>151</v>
      </c>
      <c r="B1374" s="64" t="s">
        <v>150</v>
      </c>
      <c r="C1374" s="8" t="s">
        <v>70</v>
      </c>
      <c r="D1374" s="8" t="s">
        <v>3</v>
      </c>
      <c r="E1374" s="4">
        <v>18</v>
      </c>
    </row>
    <row r="1375" spans="1:5" x14ac:dyDescent="0.2">
      <c r="A1375" s="63" t="s">
        <v>149</v>
      </c>
      <c r="B1375" s="64" t="s">
        <v>148</v>
      </c>
      <c r="C1375" s="8" t="s">
        <v>136</v>
      </c>
      <c r="D1375" s="8" t="s">
        <v>3</v>
      </c>
      <c r="E1375" s="4">
        <v>7.94</v>
      </c>
    </row>
    <row r="1376" spans="1:5" x14ac:dyDescent="0.2">
      <c r="A1376" s="63" t="s">
        <v>147</v>
      </c>
      <c r="B1376" s="64" t="s">
        <v>146</v>
      </c>
      <c r="C1376" s="8" t="s">
        <v>136</v>
      </c>
      <c r="D1376" s="8" t="s">
        <v>3</v>
      </c>
      <c r="E1376" s="4">
        <v>1.59</v>
      </c>
    </row>
    <row r="1377" spans="1:5" x14ac:dyDescent="0.2">
      <c r="A1377" s="63" t="s">
        <v>145</v>
      </c>
      <c r="B1377" s="64" t="s">
        <v>144</v>
      </c>
      <c r="C1377" s="8" t="s">
        <v>143</v>
      </c>
      <c r="D1377" s="8" t="s">
        <v>3</v>
      </c>
      <c r="E1377" s="4">
        <v>3</v>
      </c>
    </row>
    <row r="1378" spans="1:5" x14ac:dyDescent="0.2">
      <c r="A1378" s="7" t="s">
        <v>142</v>
      </c>
      <c r="B1378" s="6" t="s">
        <v>141</v>
      </c>
      <c r="C1378" s="5"/>
      <c r="D1378" s="5"/>
      <c r="E1378" s="4">
        <v>0</v>
      </c>
    </row>
    <row r="1379" spans="1:5" x14ac:dyDescent="0.2">
      <c r="A1379" s="7" t="s">
        <v>140</v>
      </c>
      <c r="B1379" s="6" t="s">
        <v>139</v>
      </c>
      <c r="C1379" s="5"/>
      <c r="D1379" s="5"/>
      <c r="E1379" s="4">
        <v>0</v>
      </c>
    </row>
    <row r="1380" spans="1:5" ht="25.5" x14ac:dyDescent="0.2">
      <c r="A1380" s="63" t="s">
        <v>138</v>
      </c>
      <c r="B1380" s="64" t="s">
        <v>137</v>
      </c>
      <c r="C1380" s="8" t="s">
        <v>136</v>
      </c>
      <c r="D1380" s="8" t="s">
        <v>3</v>
      </c>
      <c r="E1380" s="4">
        <v>9.52</v>
      </c>
    </row>
    <row r="1381" spans="1:5" x14ac:dyDescent="0.2">
      <c r="A1381" s="63" t="s">
        <v>135</v>
      </c>
      <c r="B1381" s="64" t="s">
        <v>134</v>
      </c>
      <c r="C1381" s="8" t="s">
        <v>54</v>
      </c>
      <c r="D1381" s="8" t="s">
        <v>3</v>
      </c>
      <c r="E1381" s="4">
        <v>42.02</v>
      </c>
    </row>
    <row r="1382" spans="1:5" x14ac:dyDescent="0.2">
      <c r="A1382" s="63" t="s">
        <v>133</v>
      </c>
      <c r="B1382" s="64" t="s">
        <v>132</v>
      </c>
      <c r="C1382" s="8" t="s">
        <v>54</v>
      </c>
      <c r="D1382" s="8" t="s">
        <v>3</v>
      </c>
      <c r="E1382" s="4">
        <v>30.01</v>
      </c>
    </row>
    <row r="1383" spans="1:5" x14ac:dyDescent="0.2">
      <c r="A1383" s="63" t="s">
        <v>131</v>
      </c>
      <c r="B1383" s="64" t="s">
        <v>130</v>
      </c>
      <c r="C1383" s="8" t="s">
        <v>54</v>
      </c>
      <c r="D1383" s="8" t="s">
        <v>3</v>
      </c>
      <c r="E1383" s="4">
        <v>78.040000000000006</v>
      </c>
    </row>
    <row r="1384" spans="1:5" x14ac:dyDescent="0.2">
      <c r="A1384" s="63" t="s">
        <v>129</v>
      </c>
      <c r="B1384" s="64" t="s">
        <v>128</v>
      </c>
      <c r="C1384" s="8" t="s">
        <v>54</v>
      </c>
      <c r="D1384" s="8" t="s">
        <v>3</v>
      </c>
      <c r="E1384" s="4">
        <v>22.27</v>
      </c>
    </row>
    <row r="1385" spans="1:5" x14ac:dyDescent="0.2">
      <c r="A1385" s="63" t="s">
        <v>127</v>
      </c>
      <c r="B1385" s="64" t="s">
        <v>126</v>
      </c>
      <c r="C1385" s="8" t="s">
        <v>54</v>
      </c>
      <c r="D1385" s="8" t="s">
        <v>3</v>
      </c>
      <c r="E1385" s="4">
        <v>24.01</v>
      </c>
    </row>
    <row r="1386" spans="1:5" x14ac:dyDescent="0.2">
      <c r="A1386" s="63" t="s">
        <v>125</v>
      </c>
      <c r="B1386" s="64" t="s">
        <v>124</v>
      </c>
      <c r="C1386" s="8" t="s">
        <v>54</v>
      </c>
      <c r="D1386" s="8" t="s">
        <v>3</v>
      </c>
      <c r="E1386" s="4">
        <v>48.02</v>
      </c>
    </row>
    <row r="1387" spans="1:5" x14ac:dyDescent="0.2">
      <c r="A1387" s="63" t="s">
        <v>123</v>
      </c>
      <c r="B1387" s="64" t="s">
        <v>122</v>
      </c>
      <c r="C1387" s="8" t="s">
        <v>54</v>
      </c>
      <c r="D1387" s="8" t="s">
        <v>3</v>
      </c>
      <c r="E1387" s="4">
        <v>33.409999999999997</v>
      </c>
    </row>
    <row r="1388" spans="1:5" x14ac:dyDescent="0.2">
      <c r="A1388" s="63" t="s">
        <v>121</v>
      </c>
      <c r="B1388" s="64" t="s">
        <v>120</v>
      </c>
      <c r="C1388" s="8" t="s">
        <v>54</v>
      </c>
      <c r="D1388" s="8" t="s">
        <v>3</v>
      </c>
      <c r="E1388" s="4">
        <v>54.03</v>
      </c>
    </row>
    <row r="1389" spans="1:5" x14ac:dyDescent="0.2">
      <c r="A1389" s="63" t="s">
        <v>119</v>
      </c>
      <c r="B1389" s="64" t="s">
        <v>118</v>
      </c>
      <c r="C1389" s="8" t="s">
        <v>54</v>
      </c>
      <c r="D1389" s="8" t="s">
        <v>3</v>
      </c>
      <c r="E1389" s="4">
        <v>16.7</v>
      </c>
    </row>
    <row r="1390" spans="1:5" x14ac:dyDescent="0.2">
      <c r="A1390" s="63" t="s">
        <v>117</v>
      </c>
      <c r="B1390" s="64" t="s">
        <v>116</v>
      </c>
      <c r="C1390" s="8" t="s">
        <v>54</v>
      </c>
      <c r="D1390" s="8" t="s">
        <v>3</v>
      </c>
      <c r="E1390" s="4">
        <v>5.57</v>
      </c>
    </row>
    <row r="1391" spans="1:5" ht="25.5" x14ac:dyDescent="0.2">
      <c r="A1391" s="63" t="s">
        <v>115</v>
      </c>
      <c r="B1391" s="64" t="s">
        <v>114</v>
      </c>
      <c r="C1391" s="8" t="s">
        <v>54</v>
      </c>
      <c r="D1391" s="8" t="s">
        <v>3</v>
      </c>
      <c r="E1391" s="4">
        <v>5.57</v>
      </c>
    </row>
    <row r="1392" spans="1:5" x14ac:dyDescent="0.2">
      <c r="A1392" s="63" t="s">
        <v>113</v>
      </c>
      <c r="B1392" s="64" t="s">
        <v>112</v>
      </c>
      <c r="C1392" s="8" t="s">
        <v>54</v>
      </c>
      <c r="D1392" s="8" t="s">
        <v>3</v>
      </c>
      <c r="E1392" s="4">
        <v>11.03</v>
      </c>
    </row>
    <row r="1393" spans="1:5" x14ac:dyDescent="0.2">
      <c r="A1393" s="63" t="s">
        <v>111</v>
      </c>
      <c r="B1393" s="64" t="s">
        <v>110</v>
      </c>
      <c r="C1393" s="8" t="s">
        <v>54</v>
      </c>
      <c r="D1393" s="8" t="s">
        <v>3</v>
      </c>
      <c r="E1393" s="4">
        <v>7.94</v>
      </c>
    </row>
    <row r="1394" spans="1:5" x14ac:dyDescent="0.2">
      <c r="A1394" s="63" t="s">
        <v>109</v>
      </c>
      <c r="B1394" s="64" t="s">
        <v>108</v>
      </c>
      <c r="C1394" s="8" t="s">
        <v>54</v>
      </c>
      <c r="D1394" s="8" t="s">
        <v>3</v>
      </c>
      <c r="E1394" s="4">
        <v>12.63</v>
      </c>
    </row>
    <row r="1395" spans="1:5" x14ac:dyDescent="0.2">
      <c r="A1395" s="63" t="s">
        <v>107</v>
      </c>
      <c r="B1395" s="64" t="s">
        <v>106</v>
      </c>
      <c r="C1395" s="8" t="s">
        <v>54</v>
      </c>
      <c r="D1395" s="8" t="s">
        <v>3</v>
      </c>
      <c r="E1395" s="4">
        <v>15.87</v>
      </c>
    </row>
    <row r="1396" spans="1:5" x14ac:dyDescent="0.2">
      <c r="A1396" s="63" t="s">
        <v>105</v>
      </c>
      <c r="B1396" s="64" t="s">
        <v>104</v>
      </c>
      <c r="C1396" s="8" t="s">
        <v>54</v>
      </c>
      <c r="D1396" s="8" t="s">
        <v>3</v>
      </c>
      <c r="E1396" s="4">
        <v>19.05</v>
      </c>
    </row>
    <row r="1397" spans="1:5" x14ac:dyDescent="0.2">
      <c r="A1397" s="63" t="s">
        <v>103</v>
      </c>
      <c r="B1397" s="64" t="s">
        <v>102</v>
      </c>
      <c r="C1397" s="8" t="s">
        <v>54</v>
      </c>
      <c r="D1397" s="8" t="s">
        <v>3</v>
      </c>
      <c r="E1397" s="4">
        <v>28.28</v>
      </c>
    </row>
    <row r="1398" spans="1:5" x14ac:dyDescent="0.2">
      <c r="A1398" s="63" t="s">
        <v>101</v>
      </c>
      <c r="B1398" s="64" t="s">
        <v>100</v>
      </c>
      <c r="C1398" s="8" t="s">
        <v>54</v>
      </c>
      <c r="D1398" s="8" t="s">
        <v>3</v>
      </c>
      <c r="E1398" s="4">
        <v>5.57</v>
      </c>
    </row>
    <row r="1399" spans="1:5" x14ac:dyDescent="0.2">
      <c r="A1399" s="63" t="s">
        <v>99</v>
      </c>
      <c r="B1399" s="64" t="s">
        <v>98</v>
      </c>
      <c r="C1399" s="8" t="s">
        <v>54</v>
      </c>
      <c r="D1399" s="8" t="s">
        <v>3</v>
      </c>
      <c r="E1399" s="4">
        <v>47.62</v>
      </c>
    </row>
    <row r="1400" spans="1:5" x14ac:dyDescent="0.2">
      <c r="A1400" s="63" t="s">
        <v>97</v>
      </c>
      <c r="B1400" s="64" t="s">
        <v>96</v>
      </c>
      <c r="C1400" s="8" t="s">
        <v>54</v>
      </c>
      <c r="D1400" s="8" t="s">
        <v>3</v>
      </c>
      <c r="E1400" s="4">
        <v>60.03</v>
      </c>
    </row>
    <row r="1401" spans="1:5" x14ac:dyDescent="0.2">
      <c r="A1401" s="63" t="s">
        <v>95</v>
      </c>
      <c r="B1401" s="64" t="s">
        <v>94</v>
      </c>
      <c r="C1401" s="8" t="s">
        <v>54</v>
      </c>
      <c r="D1401" s="8" t="s">
        <v>3</v>
      </c>
      <c r="E1401" s="4">
        <v>72.03</v>
      </c>
    </row>
    <row r="1402" spans="1:5" x14ac:dyDescent="0.2">
      <c r="A1402" s="63" t="s">
        <v>93</v>
      </c>
      <c r="B1402" s="64" t="s">
        <v>92</v>
      </c>
      <c r="C1402" s="8" t="s">
        <v>54</v>
      </c>
      <c r="D1402" s="8" t="s">
        <v>3</v>
      </c>
      <c r="E1402" s="4">
        <v>72.03</v>
      </c>
    </row>
    <row r="1403" spans="1:5" x14ac:dyDescent="0.2">
      <c r="A1403" s="63" t="s">
        <v>91</v>
      </c>
      <c r="B1403" s="64" t="s">
        <v>90</v>
      </c>
      <c r="C1403" s="8" t="s">
        <v>54</v>
      </c>
      <c r="D1403" s="8" t="s">
        <v>3</v>
      </c>
      <c r="E1403" s="4">
        <v>110</v>
      </c>
    </row>
    <row r="1404" spans="1:5" x14ac:dyDescent="0.2">
      <c r="A1404" s="7" t="s">
        <v>89</v>
      </c>
      <c r="B1404" s="6" t="s">
        <v>88</v>
      </c>
      <c r="C1404" s="5"/>
      <c r="D1404" s="5"/>
      <c r="E1404" s="4">
        <v>0</v>
      </c>
    </row>
    <row r="1405" spans="1:5" x14ac:dyDescent="0.2">
      <c r="A1405" s="63" t="s">
        <v>87</v>
      </c>
      <c r="B1405" s="64" t="s">
        <v>86</v>
      </c>
      <c r="C1405" s="8" t="s">
        <v>4</v>
      </c>
      <c r="D1405" s="8" t="s">
        <v>3</v>
      </c>
      <c r="E1405" s="4">
        <v>10.32</v>
      </c>
    </row>
    <row r="1406" spans="1:5" x14ac:dyDescent="0.2">
      <c r="A1406" s="63" t="s">
        <v>85</v>
      </c>
      <c r="B1406" s="64" t="s">
        <v>84</v>
      </c>
      <c r="C1406" s="8" t="s">
        <v>70</v>
      </c>
      <c r="D1406" s="8" t="s">
        <v>3</v>
      </c>
      <c r="E1406" s="4">
        <v>3.59</v>
      </c>
    </row>
    <row r="1407" spans="1:5" x14ac:dyDescent="0.2">
      <c r="A1407" s="63" t="s">
        <v>83</v>
      </c>
      <c r="B1407" s="64" t="s">
        <v>82</v>
      </c>
      <c r="C1407" s="8" t="s">
        <v>79</v>
      </c>
      <c r="D1407" s="8" t="s">
        <v>3</v>
      </c>
      <c r="E1407" s="4">
        <v>7.77</v>
      </c>
    </row>
    <row r="1408" spans="1:5" x14ac:dyDescent="0.2">
      <c r="A1408" s="63" t="s">
        <v>81</v>
      </c>
      <c r="B1408" s="64" t="s">
        <v>80</v>
      </c>
      <c r="C1408" s="8" t="s">
        <v>79</v>
      </c>
      <c r="D1408" s="8" t="s">
        <v>3</v>
      </c>
      <c r="E1408" s="4">
        <v>24.01</v>
      </c>
    </row>
    <row r="1409" spans="1:5" x14ac:dyDescent="0.2">
      <c r="A1409" s="63" t="s">
        <v>78</v>
      </c>
      <c r="B1409" s="64" t="s">
        <v>77</v>
      </c>
      <c r="C1409" s="8" t="s">
        <v>70</v>
      </c>
      <c r="D1409" s="8" t="s">
        <v>3</v>
      </c>
      <c r="E1409" s="4">
        <v>24.01</v>
      </c>
    </row>
    <row r="1410" spans="1:5" x14ac:dyDescent="0.2">
      <c r="A1410" s="63" t="s">
        <v>76</v>
      </c>
      <c r="B1410" s="64" t="s">
        <v>75</v>
      </c>
      <c r="C1410" s="8" t="s">
        <v>70</v>
      </c>
      <c r="D1410" s="8" t="s">
        <v>3</v>
      </c>
      <c r="E1410" s="4">
        <v>19.05</v>
      </c>
    </row>
    <row r="1411" spans="1:5" x14ac:dyDescent="0.2">
      <c r="A1411" s="63" t="s">
        <v>74</v>
      </c>
      <c r="B1411" s="64" t="s">
        <v>73</v>
      </c>
      <c r="C1411" s="8" t="s">
        <v>70</v>
      </c>
      <c r="D1411" s="8" t="s">
        <v>3</v>
      </c>
      <c r="E1411" s="4">
        <v>19.05</v>
      </c>
    </row>
    <row r="1412" spans="1:5" x14ac:dyDescent="0.2">
      <c r="A1412" s="63" t="s">
        <v>72</v>
      </c>
      <c r="B1412" s="64" t="s">
        <v>71</v>
      </c>
      <c r="C1412" s="8" t="s">
        <v>70</v>
      </c>
      <c r="D1412" s="8" t="s">
        <v>3</v>
      </c>
      <c r="E1412" s="4">
        <v>11</v>
      </c>
    </row>
    <row r="1413" spans="1:5" x14ac:dyDescent="0.2">
      <c r="A1413" s="7" t="s">
        <v>69</v>
      </c>
      <c r="B1413" s="6" t="s">
        <v>68</v>
      </c>
      <c r="C1413" s="5"/>
      <c r="D1413" s="5"/>
      <c r="E1413" s="4">
        <v>0</v>
      </c>
    </row>
    <row r="1414" spans="1:5" x14ac:dyDescent="0.2">
      <c r="A1414" s="7" t="s">
        <v>67</v>
      </c>
      <c r="B1414" s="6" t="s">
        <v>66</v>
      </c>
      <c r="C1414" s="5"/>
      <c r="D1414" s="5"/>
      <c r="E1414" s="4">
        <v>0</v>
      </c>
    </row>
    <row r="1415" spans="1:5" x14ac:dyDescent="0.2">
      <c r="A1415" s="63" t="s">
        <v>65</v>
      </c>
      <c r="B1415" s="64" t="s">
        <v>59</v>
      </c>
      <c r="C1415" s="8" t="s">
        <v>54</v>
      </c>
      <c r="D1415" s="8" t="s">
        <v>3</v>
      </c>
      <c r="E1415" s="4">
        <v>16.7</v>
      </c>
    </row>
    <row r="1416" spans="1:5" ht="12" customHeight="1" x14ac:dyDescent="0.2">
      <c r="A1416" s="63" t="s">
        <v>64</v>
      </c>
      <c r="B1416" s="64" t="s">
        <v>57</v>
      </c>
      <c r="C1416" s="8" t="s">
        <v>54</v>
      </c>
      <c r="D1416" s="8" t="s">
        <v>3</v>
      </c>
      <c r="E1416" s="4">
        <v>12.25</v>
      </c>
    </row>
    <row r="1417" spans="1:5" x14ac:dyDescent="0.2">
      <c r="A1417" s="63" t="s">
        <v>63</v>
      </c>
      <c r="B1417" s="64" t="s">
        <v>55</v>
      </c>
      <c r="C1417" s="8" t="s">
        <v>54</v>
      </c>
      <c r="D1417" s="8" t="s">
        <v>3</v>
      </c>
      <c r="E1417" s="4">
        <v>9.6</v>
      </c>
    </row>
    <row r="1418" spans="1:5" x14ac:dyDescent="0.2">
      <c r="A1418" s="7" t="s">
        <v>62</v>
      </c>
      <c r="B1418" s="6" t="s">
        <v>61</v>
      </c>
      <c r="C1418" s="5"/>
      <c r="D1418" s="5"/>
      <c r="E1418" s="4">
        <v>0</v>
      </c>
    </row>
    <row r="1419" spans="1:5" x14ac:dyDescent="0.2">
      <c r="A1419" s="63" t="s">
        <v>60</v>
      </c>
      <c r="B1419" s="64" t="s">
        <v>59</v>
      </c>
      <c r="C1419" s="8" t="s">
        <v>54</v>
      </c>
      <c r="D1419" s="8" t="s">
        <v>3</v>
      </c>
      <c r="E1419" s="4">
        <v>22.81</v>
      </c>
    </row>
    <row r="1420" spans="1:5" x14ac:dyDescent="0.2">
      <c r="A1420" s="63" t="s">
        <v>58</v>
      </c>
      <c r="B1420" s="64" t="s">
        <v>57</v>
      </c>
      <c r="C1420" s="8" t="s">
        <v>54</v>
      </c>
      <c r="D1420" s="8" t="s">
        <v>3</v>
      </c>
      <c r="E1420" s="4">
        <v>16.8</v>
      </c>
    </row>
    <row r="1421" spans="1:5" x14ac:dyDescent="0.2">
      <c r="A1421" s="63" t="s">
        <v>56</v>
      </c>
      <c r="B1421" s="64" t="s">
        <v>55</v>
      </c>
      <c r="C1421" s="8" t="s">
        <v>54</v>
      </c>
      <c r="D1421" s="8" t="s">
        <v>3</v>
      </c>
      <c r="E1421" s="4">
        <v>12.01</v>
      </c>
    </row>
    <row r="1422" spans="1:5" x14ac:dyDescent="0.2">
      <c r="A1422" s="7" t="s">
        <v>53</v>
      </c>
      <c r="B1422" s="6" t="s">
        <v>52</v>
      </c>
      <c r="C1422" s="5"/>
      <c r="D1422" s="5"/>
      <c r="E1422" s="4">
        <v>0</v>
      </c>
    </row>
    <row r="1423" spans="1:5" ht="25.5" x14ac:dyDescent="0.2">
      <c r="A1423" s="63" t="s">
        <v>51</v>
      </c>
      <c r="B1423" s="64" t="s">
        <v>50</v>
      </c>
      <c r="C1423" s="8" t="s">
        <v>4</v>
      </c>
      <c r="D1423" s="8" t="s">
        <v>3</v>
      </c>
      <c r="E1423" s="4">
        <v>110</v>
      </c>
    </row>
    <row r="1424" spans="1:5" ht="25.5" x14ac:dyDescent="0.2">
      <c r="A1424" s="7" t="s">
        <v>49</v>
      </c>
      <c r="B1424" s="6" t="s">
        <v>48</v>
      </c>
      <c r="C1424" s="5"/>
      <c r="D1424" s="5"/>
      <c r="E1424" s="4">
        <v>0</v>
      </c>
    </row>
    <row r="1425" spans="1:5" x14ac:dyDescent="0.2">
      <c r="A1425" s="63" t="s">
        <v>47</v>
      </c>
      <c r="B1425" s="64" t="s">
        <v>46</v>
      </c>
      <c r="C1425" s="8" t="s">
        <v>23</v>
      </c>
      <c r="D1425" s="8" t="s">
        <v>3</v>
      </c>
      <c r="E1425" s="4">
        <v>0</v>
      </c>
    </row>
    <row r="1426" spans="1:5" x14ac:dyDescent="0.2">
      <c r="A1426" s="63" t="s">
        <v>45</v>
      </c>
      <c r="B1426" s="64" t="s">
        <v>44</v>
      </c>
      <c r="C1426" s="8" t="s">
        <v>23</v>
      </c>
      <c r="D1426" s="8" t="s">
        <v>3</v>
      </c>
      <c r="E1426" s="4">
        <v>0</v>
      </c>
    </row>
    <row r="1427" spans="1:5" x14ac:dyDescent="0.2">
      <c r="A1427" s="63" t="s">
        <v>43</v>
      </c>
      <c r="B1427" s="64" t="s">
        <v>42</v>
      </c>
      <c r="C1427" s="8" t="s">
        <v>23</v>
      </c>
      <c r="D1427" s="8" t="s">
        <v>3</v>
      </c>
      <c r="E1427" s="4">
        <v>245</v>
      </c>
    </row>
    <row r="1428" spans="1:5" x14ac:dyDescent="0.2">
      <c r="A1428" s="63" t="s">
        <v>41</v>
      </c>
      <c r="B1428" s="64" t="s">
        <v>40</v>
      </c>
      <c r="C1428" s="8" t="s">
        <v>23</v>
      </c>
      <c r="D1428" s="8" t="s">
        <v>3</v>
      </c>
      <c r="E1428" s="4">
        <v>0</v>
      </c>
    </row>
    <row r="1429" spans="1:5" x14ac:dyDescent="0.2">
      <c r="A1429" s="63" t="s">
        <v>39</v>
      </c>
      <c r="B1429" s="64" t="s">
        <v>38</v>
      </c>
      <c r="C1429" s="8" t="s">
        <v>23</v>
      </c>
      <c r="D1429" s="8" t="s">
        <v>3</v>
      </c>
      <c r="E1429" s="4">
        <v>150</v>
      </c>
    </row>
    <row r="1430" spans="1:5" x14ac:dyDescent="0.2">
      <c r="A1430" s="63" t="s">
        <v>37</v>
      </c>
      <c r="B1430" s="64" t="s">
        <v>36</v>
      </c>
      <c r="C1430" s="8" t="s">
        <v>23</v>
      </c>
      <c r="D1430" s="8" t="s">
        <v>3</v>
      </c>
      <c r="E1430" s="4">
        <v>320</v>
      </c>
    </row>
    <row r="1431" spans="1:5" x14ac:dyDescent="0.2">
      <c r="A1431" s="63" t="s">
        <v>35</v>
      </c>
      <c r="B1431" s="64" t="s">
        <v>34</v>
      </c>
      <c r="C1431" s="8" t="s">
        <v>23</v>
      </c>
      <c r="D1431" s="8" t="s">
        <v>3</v>
      </c>
      <c r="E1431" s="4">
        <v>89.5</v>
      </c>
    </row>
    <row r="1432" spans="1:5" x14ac:dyDescent="0.2">
      <c r="A1432" s="63" t="s">
        <v>33</v>
      </c>
      <c r="B1432" s="64" t="s">
        <v>32</v>
      </c>
      <c r="C1432" s="8" t="s">
        <v>23</v>
      </c>
      <c r="D1432" s="8" t="s">
        <v>3</v>
      </c>
      <c r="E1432" s="4">
        <v>150</v>
      </c>
    </row>
    <row r="1433" spans="1:5" x14ac:dyDescent="0.2">
      <c r="A1433" s="63" t="s">
        <v>31</v>
      </c>
      <c r="B1433" s="64" t="s">
        <v>30</v>
      </c>
      <c r="C1433" s="8" t="s">
        <v>23</v>
      </c>
      <c r="D1433" s="8" t="s">
        <v>3</v>
      </c>
      <c r="E1433" s="4">
        <v>215</v>
      </c>
    </row>
    <row r="1434" spans="1:5" x14ac:dyDescent="0.2">
      <c r="A1434" s="63" t="s">
        <v>29</v>
      </c>
      <c r="B1434" s="64" t="s">
        <v>28</v>
      </c>
      <c r="C1434" s="8" t="s">
        <v>23</v>
      </c>
      <c r="D1434" s="8" t="s">
        <v>3</v>
      </c>
      <c r="E1434" s="4">
        <v>57.87</v>
      </c>
    </row>
    <row r="1435" spans="1:5" x14ac:dyDescent="0.2">
      <c r="A1435" s="63" t="s">
        <v>27</v>
      </c>
      <c r="B1435" s="64" t="s">
        <v>26</v>
      </c>
      <c r="C1435" s="8" t="s">
        <v>23</v>
      </c>
      <c r="D1435" s="8" t="s">
        <v>3</v>
      </c>
      <c r="E1435" s="4">
        <v>110</v>
      </c>
    </row>
    <row r="1436" spans="1:5" x14ac:dyDescent="0.2">
      <c r="A1436" s="63" t="s">
        <v>25</v>
      </c>
      <c r="B1436" s="64" t="s">
        <v>24</v>
      </c>
      <c r="C1436" s="8" t="s">
        <v>23</v>
      </c>
      <c r="D1436" s="8" t="s">
        <v>3</v>
      </c>
      <c r="E1436" s="4">
        <v>0</v>
      </c>
    </row>
    <row r="1437" spans="1:5" ht="25.5" x14ac:dyDescent="0.2">
      <c r="A1437" s="11" t="s">
        <v>22</v>
      </c>
      <c r="B1437" s="10" t="s">
        <v>21</v>
      </c>
      <c r="C1437" s="9"/>
      <c r="D1437" s="9"/>
      <c r="E1437" s="4">
        <v>0</v>
      </c>
    </row>
    <row r="1438" spans="1:5" x14ac:dyDescent="0.2">
      <c r="A1438" s="63" t="s">
        <v>20</v>
      </c>
      <c r="B1438" s="64" t="s">
        <v>19</v>
      </c>
      <c r="C1438" s="8" t="s">
        <v>4</v>
      </c>
      <c r="D1438" s="8" t="s">
        <v>3</v>
      </c>
      <c r="E1438" s="4">
        <v>64</v>
      </c>
    </row>
    <row r="1439" spans="1:5" ht="25.5" x14ac:dyDescent="0.2">
      <c r="A1439" s="63" t="s">
        <v>18</v>
      </c>
      <c r="B1439" s="64" t="s">
        <v>17</v>
      </c>
      <c r="C1439" s="8" t="s">
        <v>4</v>
      </c>
      <c r="D1439" s="8" t="s">
        <v>3</v>
      </c>
      <c r="E1439" s="4">
        <v>90</v>
      </c>
    </row>
    <row r="1440" spans="1:5" ht="25.5" x14ac:dyDescent="0.2">
      <c r="A1440" s="63" t="s">
        <v>16</v>
      </c>
      <c r="B1440" s="64" t="s">
        <v>15</v>
      </c>
      <c r="C1440" s="8" t="s">
        <v>4</v>
      </c>
      <c r="D1440" s="8" t="s">
        <v>3</v>
      </c>
      <c r="E1440" s="4">
        <v>120</v>
      </c>
    </row>
    <row r="1441" spans="1:5" ht="25.5" x14ac:dyDescent="0.2">
      <c r="A1441" s="63" t="s">
        <v>14</v>
      </c>
      <c r="B1441" s="64" t="s">
        <v>13</v>
      </c>
      <c r="C1441" s="8" t="s">
        <v>4</v>
      </c>
      <c r="D1441" s="8" t="s">
        <v>3</v>
      </c>
      <c r="E1441" s="4">
        <v>150</v>
      </c>
    </row>
    <row r="1442" spans="1:5" ht="25.5" x14ac:dyDescent="0.2">
      <c r="A1442" s="63" t="s">
        <v>12</v>
      </c>
      <c r="B1442" s="64" t="s">
        <v>11</v>
      </c>
      <c r="C1442" s="8" t="s">
        <v>4</v>
      </c>
      <c r="D1442" s="8" t="s">
        <v>3</v>
      </c>
      <c r="E1442" s="4">
        <v>96</v>
      </c>
    </row>
    <row r="1443" spans="1:5" ht="25.5" x14ac:dyDescent="0.2">
      <c r="A1443" s="63" t="s">
        <v>10</v>
      </c>
      <c r="B1443" s="64" t="s">
        <v>9</v>
      </c>
      <c r="C1443" s="8" t="s">
        <v>4</v>
      </c>
      <c r="D1443" s="8" t="s">
        <v>3</v>
      </c>
      <c r="E1443" s="4">
        <v>140</v>
      </c>
    </row>
    <row r="1444" spans="1:5" ht="25.5" x14ac:dyDescent="0.2">
      <c r="A1444" s="63" t="s">
        <v>8</v>
      </c>
      <c r="B1444" s="64" t="s">
        <v>7</v>
      </c>
      <c r="C1444" s="8" t="s">
        <v>4</v>
      </c>
      <c r="D1444" s="8" t="s">
        <v>3</v>
      </c>
      <c r="E1444" s="4">
        <v>160</v>
      </c>
    </row>
    <row r="1445" spans="1:5" ht="25.5" x14ac:dyDescent="0.2">
      <c r="A1445" s="63" t="s">
        <v>6</v>
      </c>
      <c r="B1445" s="64" t="s">
        <v>5</v>
      </c>
      <c r="C1445" s="8" t="s">
        <v>4</v>
      </c>
      <c r="D1445" s="8" t="s">
        <v>3</v>
      </c>
      <c r="E1445" s="4">
        <v>200</v>
      </c>
    </row>
    <row r="1446" spans="1:5" x14ac:dyDescent="0.2">
      <c r="A1446" s="7"/>
      <c r="B1446" s="6"/>
      <c r="C1446" s="5"/>
      <c r="D1446" s="5"/>
      <c r="E1446" s="4"/>
    </row>
    <row r="1447" spans="1:5" x14ac:dyDescent="0.2">
      <c r="A1447" s="66"/>
      <c r="B1447" s="67"/>
      <c r="C1447" s="3"/>
      <c r="D1447" s="3"/>
      <c r="E1447" s="2"/>
    </row>
    <row r="1450" spans="1:5" x14ac:dyDescent="0.2">
      <c r="A1450" s="1" t="s">
        <v>2</v>
      </c>
    </row>
    <row r="1451" spans="1:5" ht="12.75" customHeight="1" x14ac:dyDescent="0.2">
      <c r="A1451" s="120" t="s">
        <v>1</v>
      </c>
      <c r="B1451" s="120"/>
      <c r="C1451" s="120"/>
      <c r="D1451" s="120"/>
    </row>
    <row r="1452" spans="1:5" x14ac:dyDescent="0.2">
      <c r="A1452" s="121" t="s">
        <v>0</v>
      </c>
      <c r="B1452" s="121"/>
      <c r="C1452" s="121"/>
      <c r="D1452" s="121"/>
    </row>
    <row r="1453" spans="1:5" x14ac:dyDescent="0.2">
      <c r="A1453" s="121"/>
      <c r="B1453" s="121"/>
      <c r="C1453" s="121"/>
      <c r="D1453" s="121"/>
    </row>
    <row r="1458" spans="3:3" x14ac:dyDescent="0.2">
      <c r="C1458">
        <v>1</v>
      </c>
    </row>
  </sheetData>
  <mergeCells count="3">
    <mergeCell ref="A1451:D1451"/>
    <mergeCell ref="A1452:D1452"/>
    <mergeCell ref="A1453:D1453"/>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54CCE-000E-4FF7-9A4A-F5958987797D}">
  <sheetPr codeName="Folha2"/>
  <dimension ref="A2:A7"/>
  <sheetViews>
    <sheetView workbookViewId="0">
      <selection activeCell="A10" sqref="A10"/>
    </sheetView>
  </sheetViews>
  <sheetFormatPr defaultRowHeight="12.75" x14ac:dyDescent="0.2"/>
  <sheetData>
    <row r="2" spans="1:1" x14ac:dyDescent="0.2">
      <c r="A2" t="s">
        <v>2722</v>
      </c>
    </row>
    <row r="4" spans="1:1" x14ac:dyDescent="0.2">
      <c r="A4" t="s">
        <v>2707</v>
      </c>
    </row>
    <row r="5" spans="1:1" x14ac:dyDescent="0.2">
      <c r="A5" t="s">
        <v>2723</v>
      </c>
    </row>
    <row r="6" spans="1:1" x14ac:dyDescent="0.2">
      <c r="A6" t="s">
        <v>2724</v>
      </c>
    </row>
    <row r="7" spans="1:1" x14ac:dyDescent="0.2">
      <c r="A7" t="s">
        <v>2725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4</vt:i4>
      </vt:variant>
      <vt:variant>
        <vt:lpstr>Intervalos com Nome</vt:lpstr>
      </vt:variant>
      <vt:variant>
        <vt:i4>5</vt:i4>
      </vt:variant>
    </vt:vector>
  </HeadingPairs>
  <TitlesOfParts>
    <vt:vector size="9" baseType="lpstr">
      <vt:lpstr>Req (2)</vt:lpstr>
      <vt:lpstr>Req</vt:lpstr>
      <vt:lpstr>LPU Area de Coimbra</vt:lpstr>
      <vt:lpstr>Dados</vt:lpstr>
      <vt:lpstr>Req!Área_de_Impressão</vt:lpstr>
      <vt:lpstr>'Req (2)'!Área_de_Impressão</vt:lpstr>
      <vt:lpstr>MQT</vt:lpstr>
      <vt:lpstr>Req!Títulos_de_Impressão</vt:lpstr>
      <vt:lpstr>'Req (2)'!Títulos_de_Impressão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 1</dc:creator>
  <cp:lastModifiedBy>Abílio Joaquim de Jesus Félix</cp:lastModifiedBy>
  <cp:lastPrinted>2026-03-13T11:59:40Z</cp:lastPrinted>
  <dcterms:created xsi:type="dcterms:W3CDTF">2021-01-21T11:08:01Z</dcterms:created>
  <dcterms:modified xsi:type="dcterms:W3CDTF">2026-10-15T11:50:23Z</dcterms:modified>
</cp:coreProperties>
</file>
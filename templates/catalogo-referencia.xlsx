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ip.pt\fs01\DRF\DEPARTAMENTO_EDIFICACOES\EDIFICACOES_NORTE\CC\Guarda\CONTRATO 10024058\EXECUÇÃO\REQUISIÇÕES\"/>
    </mc:Choice>
  </mc:AlternateContent>
  <xr:revisionPtr revIDLastSave="0" documentId="13_ncr:1_{E353CF30-2131-4B7D-9380-5D53BED444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PU_MC_MPC" sheetId="11" r:id="rId1"/>
    <sheet name="LPU_TM_Tx" sheetId="12" r:id="rId2"/>
  </sheets>
  <externalReferences>
    <externalReference r:id="rId3"/>
    <externalReference r:id="rId4"/>
    <externalReference r:id="rId5"/>
  </externalReferences>
  <definedNames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8">#REF!</definedName>
    <definedName name="_DAT9">#REF!</definedName>
    <definedName name="_Toc223014946" localSheetId="0">LPU_MC_MPC!$B$1003</definedName>
    <definedName name="_xlnm.Print_Area" localSheetId="0">LPU_MC_MPC!$A$1:$J$1408</definedName>
    <definedName name="_xlnm.Print_Area" localSheetId="1">LPU_TM_Tx!$A$1:$D$23</definedName>
    <definedName name="Grupos">[1]Folha1!#REF!</definedName>
    <definedName name="Lista">#REF!</definedName>
    <definedName name="MQT" localSheetId="0">LPU_MC_MPC!$B$4:$F$1404</definedName>
    <definedName name="MQT">#REF!</definedName>
    <definedName name="quant">'[2]Anexo C'!#REF!</definedName>
    <definedName name="TABELA_OE">'[3]Sheet1 (2)'!$A$1:$B$88</definedName>
    <definedName name="TABL2">#REF!</definedName>
    <definedName name="TABL3">#REF!</definedName>
    <definedName name="TABL456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_xlnm.Print_Titles" localSheetId="0">LPU_MC_MPC!$1:$3</definedName>
    <definedName name="validação">[1]Folha1!#REF!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6" i="11" l="1"/>
  <c r="G1358" i="11"/>
  <c r="G1348" i="11"/>
  <c r="G1326" i="11"/>
  <c r="G1010" i="11"/>
  <c r="G961" i="11"/>
  <c r="G633" i="11"/>
  <c r="G518" i="11"/>
  <c r="G439" i="11"/>
  <c r="G322" i="11"/>
  <c r="G301" i="11"/>
  <c r="G145" i="11"/>
  <c r="G7" i="11"/>
  <c r="G385" i="11" l="1"/>
</calcChain>
</file>

<file path=xl/sharedStrings.xml><?xml version="1.0" encoding="utf-8"?>
<sst xmlns="http://schemas.openxmlformats.org/spreadsheetml/2006/main" count="5664" uniqueCount="2683">
  <si>
    <t>ANEXO D - LISTA DE PREÇOS UNITÁRIOS: MC E MPC</t>
  </si>
  <si>
    <t>Item</t>
  </si>
  <si>
    <t>Designação</t>
  </si>
  <si>
    <t>Uni</t>
  </si>
  <si>
    <t>Garantia</t>
  </si>
  <si>
    <t>F-12.</t>
  </si>
  <si>
    <t>MANUTENÇÃO</t>
  </si>
  <si>
    <t>F-12.08.</t>
  </si>
  <si>
    <t>EDIFICAÇÕES</t>
  </si>
  <si>
    <t>F-12.08.01.</t>
  </si>
  <si>
    <t>Construção Civil (Edifícios / Cais de Passageiros / Outras Construções)</t>
  </si>
  <si>
    <t xml:space="preserve">F-12.08.01.01. </t>
  </si>
  <si>
    <t>Movimentos de Terras e Demolições</t>
  </si>
  <si>
    <t xml:space="preserve">F-12.08.01.01.01. </t>
  </si>
  <si>
    <t>Movimento de Terras</t>
  </si>
  <si>
    <t>F-12.08.01.01.01.01.</t>
  </si>
  <si>
    <t>Escavações e Perfurações</t>
  </si>
  <si>
    <t>F-12.08.01.01.01.01.01.</t>
  </si>
  <si>
    <t>Escavação mecânica em qualquer natureza de terreno para abertura de valas até 1,20m de profundidade</t>
  </si>
  <si>
    <t>m3</t>
  </si>
  <si>
    <t>0 anos</t>
  </si>
  <si>
    <t>F-12.08.01.01.01.01.02.</t>
  </si>
  <si>
    <t>Idem, para valas de profundidade entre 1,20 e 2,00m</t>
  </si>
  <si>
    <t xml:space="preserve">F-12.08.01.01.01.01.03. </t>
  </si>
  <si>
    <t>Idem, para valas de profundidade entre 2,00 e 3,00m</t>
  </si>
  <si>
    <t xml:space="preserve">F-12.08.01.01.01.01.04. </t>
  </si>
  <si>
    <t>Idem, em travessias na via ferroviária c/ 0,80mx1,30m</t>
  </si>
  <si>
    <t>F-12.08.01.01.01.01.05.</t>
  </si>
  <si>
    <t>Escavação manual para abertura de valas até 1,20m de profundidade</t>
  </si>
  <si>
    <t xml:space="preserve">F-12.08.01.01.01.01.06. </t>
  </si>
  <si>
    <t xml:space="preserve">F-12.08.01.01.01.01.07. </t>
  </si>
  <si>
    <t>Execução de atravessamentos à via-férrea por perfuração mecânica dirigida até 600mm de diâmetro</t>
  </si>
  <si>
    <t>m</t>
  </si>
  <si>
    <t>5 anos</t>
  </si>
  <si>
    <t xml:space="preserve">F-12.08.01.01.01.01.08. </t>
  </si>
  <si>
    <t>Idem, com algaliamento em tubo PEAD</t>
  </si>
  <si>
    <t>F-12.08.01.01.01.01.09.</t>
  </si>
  <si>
    <t>Escavação de terreno de qualquer natureza</t>
  </si>
  <si>
    <t xml:space="preserve">F-12.08.01.01.01.01.10. </t>
  </si>
  <si>
    <t>Escavação em rocha</t>
  </si>
  <si>
    <t xml:space="preserve">F-12.08.01.01.01.01.11. </t>
  </si>
  <si>
    <t>Remoção de camada de terra vegetal de qualquer natureza, até 0,20m de profundidade</t>
  </si>
  <si>
    <t>m2</t>
  </si>
  <si>
    <t>F-12.08.01.01.01.01.12.</t>
  </si>
  <si>
    <t>Terraplenagem em terreno de qualquer natureza para redefinição de forma</t>
  </si>
  <si>
    <t xml:space="preserve">F-12.08.01.01.01.01.13. </t>
  </si>
  <si>
    <t>Idem, até uma profundidade de 1,20m</t>
  </si>
  <si>
    <t>F-12.08.01.01.01.02.</t>
  </si>
  <si>
    <t>Desmatações e Limpezas</t>
  </si>
  <si>
    <t/>
  </si>
  <si>
    <t xml:space="preserve">F-12.08.01.01.01.02.01. </t>
  </si>
  <si>
    <t xml:space="preserve">Fornecimento e aplicação de herbicidas </t>
  </si>
  <si>
    <t xml:space="preserve">F-12.08.01.01.01.02.02. </t>
  </si>
  <si>
    <t xml:space="preserve">Limpeza de valetas </t>
  </si>
  <si>
    <t xml:space="preserve">F-12.08.01.01.01.02.03. </t>
  </si>
  <si>
    <t>Limpeza de bermas em arruamentos</t>
  </si>
  <si>
    <t xml:space="preserve">F-12.08.01.01.01.02.04. </t>
  </si>
  <si>
    <t xml:space="preserve">Limpeza de caleiras com grelhas </t>
  </si>
  <si>
    <t xml:space="preserve">F-12.08.01.01.01.02.05. </t>
  </si>
  <si>
    <t>Desmatação de coberto vegetal</t>
  </si>
  <si>
    <t xml:space="preserve">F-12.08.01.01.01.02.06. </t>
  </si>
  <si>
    <t>Idem com deservagem química</t>
  </si>
  <si>
    <t xml:space="preserve">F-12.08.01.01.01.02.07. </t>
  </si>
  <si>
    <t>Deservagem de pavimentos</t>
  </si>
  <si>
    <t xml:space="preserve">F-12.08.01.01.01.02.08. </t>
  </si>
  <si>
    <t>Abate de árvores, com DAP (diâmetro à altura do peito) entre 0,15 m e 0,50 m</t>
  </si>
  <si>
    <t>un</t>
  </si>
  <si>
    <t xml:space="preserve">F-12.08.01.01.01.02.09. </t>
  </si>
  <si>
    <t>Idem entre 0,50 m e 0,80 m</t>
  </si>
  <si>
    <t xml:space="preserve">F-12.08.01.01.01.02.10. </t>
  </si>
  <si>
    <t>Idem superior a 0,80 m</t>
  </si>
  <si>
    <t xml:space="preserve">F-12.08.01.01.01.02.11. </t>
  </si>
  <si>
    <t>Remoção de cepos</t>
  </si>
  <si>
    <t xml:space="preserve">F-12.08.01.01.01.02.12. </t>
  </si>
  <si>
    <t>Tratamentos fitossanitários em árvores</t>
  </si>
  <si>
    <t xml:space="preserve">F-12.08.01.01.01.02.13. </t>
  </si>
  <si>
    <t>Fornecimento e aplicação de emulsão betuminosa em árvores de qualquer natureza.</t>
  </si>
  <si>
    <t xml:space="preserve">F-12.08.01.01.01.02.14. </t>
  </si>
  <si>
    <t xml:space="preserve">Limpeza e remoção de terras e resíduos urbanos </t>
  </si>
  <si>
    <t xml:space="preserve">F-12.08.01.01.02. </t>
  </si>
  <si>
    <t>Demolições</t>
  </si>
  <si>
    <t>F-12.08.01.01.02.01.</t>
  </si>
  <si>
    <t>Paredes (incluindo revestimentos)</t>
  </si>
  <si>
    <t xml:space="preserve">F-12.08.01.01.02.01.01. </t>
  </si>
  <si>
    <t>Demolição de paredes com espessura de 10 a 20 cm, em alvenaria de tijolo ou blocos de cimento para abertura de vãos de portas, janelas e outros</t>
  </si>
  <si>
    <t xml:space="preserve">F-12.08.01.01.02.01.02. </t>
  </si>
  <si>
    <t>Idem para espessura de 21 a 30 cm</t>
  </si>
  <si>
    <t>F-12.08.01.01.02.01.03.</t>
  </si>
  <si>
    <t>Idem para espessura de 31 a 40 cm</t>
  </si>
  <si>
    <t>F-12.08.01.01.02.01.04.</t>
  </si>
  <si>
    <t>Idem para espessura de 41 a 50 cm</t>
  </si>
  <si>
    <t xml:space="preserve">F-12.08.01.01.02.01.05. </t>
  </si>
  <si>
    <t>Demolição de paredes com espessura de 10 a 20 cm, em alvenaria de tijolo ou blocos de cimento</t>
  </si>
  <si>
    <t>F-12.08.01.01.02.01.06.</t>
  </si>
  <si>
    <t xml:space="preserve">F-12.08.01.01.02.01.07. </t>
  </si>
  <si>
    <t xml:space="preserve">F-12.08.01.01.02.01.08. </t>
  </si>
  <si>
    <t xml:space="preserve">F-12.08.01.01.02.01.09. </t>
  </si>
  <si>
    <t>Demolição de paredes com espessura de 10 a 20 cm, em alvenaria de tijolo maciço ou alvenaria de pedra</t>
  </si>
  <si>
    <t>F-12.08.01.01.02.01.10.</t>
  </si>
  <si>
    <t>F-12.08.01.01.02.01.11.</t>
  </si>
  <si>
    <t>Idem para espessura de 31 a 50 cm</t>
  </si>
  <si>
    <t>F-12.08.01.01.02.01.12.</t>
  </si>
  <si>
    <t>Idem para espessura de 51 a 70 cm</t>
  </si>
  <si>
    <t>F-12.08.01.01.02.01.13.</t>
  </si>
  <si>
    <t>Demolição de paredes de betão</t>
  </si>
  <si>
    <t>F-12.08.01.01.02.01.14.</t>
  </si>
  <si>
    <t>Demolição de paredes de tabique</t>
  </si>
  <si>
    <t xml:space="preserve">F-12.08.01.01.02.01.15. </t>
  </si>
  <si>
    <t xml:space="preserve">Picagem de reboco em paredes </t>
  </si>
  <si>
    <t xml:space="preserve">F-12.08.01.01.02.01.16. </t>
  </si>
  <si>
    <t xml:space="preserve">Picagem de encasque em paredes </t>
  </si>
  <si>
    <t xml:space="preserve">F-12.08.01.01.02.01.17. </t>
  </si>
  <si>
    <t>Abertura de fissuras em paredes para posterior tratamento.</t>
  </si>
  <si>
    <t>F-12.08.01.01.02.01.18.</t>
  </si>
  <si>
    <t>Levantamento de lambris de azulejo ou forra de pedra em paredes</t>
  </si>
  <si>
    <t xml:space="preserve">F-12.08.01.01.02.01.19. </t>
  </si>
  <si>
    <t>Levantamento de forra de qualquer tipo</t>
  </si>
  <si>
    <t xml:space="preserve">F-12.08.01.01.02.01.20. </t>
  </si>
  <si>
    <t xml:space="preserve">Desmonte de divisórias </t>
  </si>
  <si>
    <t xml:space="preserve">F-12.08.01.01.02.01.21. </t>
  </si>
  <si>
    <t>Demolições de paredes em gesso cartonado incluindo estrutura e isolamento</t>
  </si>
  <si>
    <t xml:space="preserve">F-12.08.01.01.02.01.22. </t>
  </si>
  <si>
    <t>Abertura e tapamento de roços em paredes de alvenaria de pedra</t>
  </si>
  <si>
    <t xml:space="preserve">F-12.08.01.01.02.01.23. </t>
  </si>
  <si>
    <t>Idem em paredes de alvenaria de tijolo</t>
  </si>
  <si>
    <t>F-12.08.01.01.02.02.</t>
  </si>
  <si>
    <t>Pavimentos</t>
  </si>
  <si>
    <t>F-12.08.01.01.02.02.01.</t>
  </si>
  <si>
    <t>Levantamento de tacos, alcatifa, parquet, mosaico em corticite, mosaico vinílico, linóleo e outros revestimentos ligeiros</t>
  </si>
  <si>
    <t>F-12.08.01.01.02.02.02.</t>
  </si>
  <si>
    <t xml:space="preserve">Idem em mosaico hidráulico e cerâmico </t>
  </si>
  <si>
    <t>F-12.08.01.01.02.02.03.</t>
  </si>
  <si>
    <t>Idem em madeira ou derivados</t>
  </si>
  <si>
    <t xml:space="preserve">F-12.08.01.01.02.02.04. </t>
  </si>
  <si>
    <t>Idem para pavimento técnico sobrelevado e respetiva estrutura</t>
  </si>
  <si>
    <t xml:space="preserve">F-12.08.01.01.02.02.05. </t>
  </si>
  <si>
    <t>Levantamento rodapé cerâmico</t>
  </si>
  <si>
    <t>ml</t>
  </si>
  <si>
    <t>F-12.08.01.01.02.02.06.</t>
  </si>
  <si>
    <t xml:space="preserve">F-12.08.01.01.02.02.07. </t>
  </si>
  <si>
    <t xml:space="preserve">Picagem e levantamento de betonilha </t>
  </si>
  <si>
    <t xml:space="preserve">F-12.08.01.01.02.02.08. </t>
  </si>
  <si>
    <t>Demolição de caixa de pavimento betuminoso</t>
  </si>
  <si>
    <t>F-12.08.01.01.02.02.08.01.</t>
  </si>
  <si>
    <t>Até 0,10m de espessura</t>
  </si>
  <si>
    <t>F-12.08.01.01.02.02.08.02.</t>
  </si>
  <si>
    <t>Idem entre 0,11m e 0,20m de espessura</t>
  </si>
  <si>
    <t>F-12.08.01.01.02.02.08.03.</t>
  </si>
  <si>
    <t>Idem entre 0,21m e 0,30m de espessura</t>
  </si>
  <si>
    <t xml:space="preserve">F-12.08.01.01.02.02.09. </t>
  </si>
  <si>
    <t>Levantamento de lajetas pré-fabricadas em pavimentos</t>
  </si>
  <si>
    <t xml:space="preserve">F-12.08.01.01.02.02.10. </t>
  </si>
  <si>
    <t>Idem, em pedra</t>
  </si>
  <si>
    <t xml:space="preserve">F-12.08.01.01.02.02.11. </t>
  </si>
  <si>
    <t>Idem, em calçada</t>
  </si>
  <si>
    <t xml:space="preserve">F-12.08.01.01.02.02.12. </t>
  </si>
  <si>
    <t>Idem em pavê</t>
  </si>
  <si>
    <t xml:space="preserve">F-12.08.01.01.02.02.13. </t>
  </si>
  <si>
    <t>Levantamento de telas de pavimento não coladas (manta geotêxtil, tela PVC, telas anti germinantes)</t>
  </si>
  <si>
    <t xml:space="preserve">F-12.08.01.01.02.02.14. </t>
  </si>
  <si>
    <t>Abertura e tapamento de roços em pavimento até ao diâmetro de 160mm</t>
  </si>
  <si>
    <t xml:space="preserve">F-12.08.01.01.02.02.15. </t>
  </si>
  <si>
    <t>Idem para diâmetro superior a 160 mm e inferior a 250 mm</t>
  </si>
  <si>
    <t>F-12.08.01.01.02.03.</t>
  </si>
  <si>
    <t>Tetos</t>
  </si>
  <si>
    <t>F-12.08.01.01.02.03.01.</t>
  </si>
  <si>
    <t>Levantamento de forro de qualquer tipo</t>
  </si>
  <si>
    <t>F-12.08.01.01.02.03.02.</t>
  </si>
  <si>
    <t>Levantamento de estafe estucado</t>
  </si>
  <si>
    <t xml:space="preserve">F-12.08.01.01.02.03.03. </t>
  </si>
  <si>
    <t>Levantamento de teto falso de qualquer tipo</t>
  </si>
  <si>
    <t xml:space="preserve">F-12.08.01.01.02.03.04. </t>
  </si>
  <si>
    <t xml:space="preserve">Picagem de reboco </t>
  </si>
  <si>
    <t>F-12.08.01.01.02.04.</t>
  </si>
  <si>
    <t>Caixilharias</t>
  </si>
  <si>
    <t>F-12.08.01.01.02.04.01.</t>
  </si>
  <si>
    <t>Levantamento de vãos de porta e janela de qualquer tipo</t>
  </si>
  <si>
    <t>F-12.08.01.01.02.04.02.</t>
  </si>
  <si>
    <t>Levantamento de portadas</t>
  </si>
  <si>
    <t>F-12.08.01.01.02.05.</t>
  </si>
  <si>
    <t>Loiças Sanitárias</t>
  </si>
  <si>
    <t>F-12.08.01.01.02.05.01.</t>
  </si>
  <si>
    <t>Levantamento de loiça sanitária de pé ou de encastrar</t>
  </si>
  <si>
    <t>F-12.08.01.01.02.05.02.</t>
  </si>
  <si>
    <t>Idem para banheiras e bases de chuveiro</t>
  </si>
  <si>
    <t>F-12.08.01.01.02.05.03.</t>
  </si>
  <si>
    <t>Idem para divisórias de banheira ou chuveiro</t>
  </si>
  <si>
    <t>F-12.08.01.01.02.05.04.</t>
  </si>
  <si>
    <t>Idem bancadas de lavatórios</t>
  </si>
  <si>
    <t>F-12.08.01.01.02.05.05.</t>
  </si>
  <si>
    <t>Idem para acessórios de wc</t>
  </si>
  <si>
    <t>F-12.08.01.01.02.06.</t>
  </si>
  <si>
    <t>Coberturas</t>
  </si>
  <si>
    <t xml:space="preserve">F-12.08.01.01.02.06.01. </t>
  </si>
  <si>
    <t>Levantamento de chapas metálicas</t>
  </si>
  <si>
    <t>F-12.08.01.01.02.06.02.</t>
  </si>
  <si>
    <t>Idem em policarbonato compacto ou alveolar</t>
  </si>
  <si>
    <t>F-12.08.01.01.02.06.03.</t>
  </si>
  <si>
    <t>Idem em vidro</t>
  </si>
  <si>
    <t>F-12.08.01.01.02.06.04.</t>
  </si>
  <si>
    <t>Idem em telha cerâmica</t>
  </si>
  <si>
    <t xml:space="preserve">F-12.08.01.01.02.06.05. </t>
  </si>
  <si>
    <t>Desmonte e transporte de varedo e ripado em madeira</t>
  </si>
  <si>
    <t xml:space="preserve">F-12.08.01.01.02.06.06. </t>
  </si>
  <si>
    <t>Desmonte de madres e frechais de madeira</t>
  </si>
  <si>
    <t xml:space="preserve">F-12.08.01.01.02.06.07. </t>
  </si>
  <si>
    <t>Desmonte e transporte de estruturas de madeira</t>
  </si>
  <si>
    <t>F-12.08.01.01.02.06.08.</t>
  </si>
  <si>
    <t xml:space="preserve">Desmonte e transporte de estrutura metálica </t>
  </si>
  <si>
    <t>kg</t>
  </si>
  <si>
    <t xml:space="preserve">F-12.08.01.01.02.06.09. </t>
  </si>
  <si>
    <t>Levantamento de rufos, caleiras e algerozes de qualquer natureza</t>
  </si>
  <si>
    <t xml:space="preserve">F-12.08.01.01.02.06.10. </t>
  </si>
  <si>
    <t>Levantamento de tubos de queda de qualquer natureza</t>
  </si>
  <si>
    <t xml:space="preserve">F-12.08.01.01.02.06.11. </t>
  </si>
  <si>
    <t>Levantamento de tela de impermeabilização de qualquer tipo</t>
  </si>
  <si>
    <t xml:space="preserve">F-12.08.01.01.02.06.12. </t>
  </si>
  <si>
    <t>Desmonte de chapas de fibrocimento com amianto</t>
  </si>
  <si>
    <t xml:space="preserve">F-12.08.01.01.02.06.13. </t>
  </si>
  <si>
    <t>Demolição de coberturas em laje de betão</t>
  </si>
  <si>
    <t xml:space="preserve">F-12.08.01.01.02.06.14. </t>
  </si>
  <si>
    <t>Levantamento de beirado</t>
  </si>
  <si>
    <t xml:space="preserve">F-12.08.01.01.02.06.15. </t>
  </si>
  <si>
    <t>Levantamento, armazenamento temporário e recolocação das telhas cerâmicas de qualquer tipo</t>
  </si>
  <si>
    <t>F-12.08.01.01.02.07.</t>
  </si>
  <si>
    <t>Diversos</t>
  </si>
  <si>
    <t>F-12.08.01.01.02.07.01.</t>
  </si>
  <si>
    <t>Demolição de elementos de betão armado</t>
  </si>
  <si>
    <t>F-12.08.01.01.02.07.02.</t>
  </si>
  <si>
    <t xml:space="preserve">Demolição de edifícios com recurso a meios mecânicos </t>
  </si>
  <si>
    <t>F-12.08.01.01.02.07.03.</t>
  </si>
  <si>
    <t>Abertura e tapamento de negativos/furos em paredes e tetos de qualquer natureza com diâmetro inferior ou igual a 160mm ou seção equivalente</t>
  </si>
  <si>
    <t>F-12.08.01.01.02.07.04.</t>
  </si>
  <si>
    <t>Demolição de chaminés de qualquer natureza</t>
  </si>
  <si>
    <t>F-12.08.01.01.02.07.05.</t>
  </si>
  <si>
    <t>Demolição de barreiras acústicas de qualquer natureza, incluindo fundações e elementos de suporte</t>
  </si>
  <si>
    <t>F-12.08.01.01.02.08.</t>
  </si>
  <si>
    <t>Vedações</t>
  </si>
  <si>
    <t xml:space="preserve">F-12.08.01.01.02.08.01. </t>
  </si>
  <si>
    <t>Levantamento de vedações em painéis metálicos</t>
  </si>
  <si>
    <t xml:space="preserve">F-12.08.01.01.02.08.02. </t>
  </si>
  <si>
    <t>Idem em rede metálica</t>
  </si>
  <si>
    <t xml:space="preserve">F-12.08.01.01.02.08.03. </t>
  </si>
  <si>
    <t>Levantamento de prumos de qualquer natureza em vedações</t>
  </si>
  <si>
    <t xml:space="preserve">F-12.08.01.01.02.08.04. </t>
  </si>
  <si>
    <t>Levantamento de vedação do tipo ovelheira</t>
  </si>
  <si>
    <t>F-12.08.01.01.02.08.05.</t>
  </si>
  <si>
    <t>Levantamento de vedações em painéis de betão pré-fabricados</t>
  </si>
  <si>
    <t>F-12.08.01.01.02.08.06.</t>
  </si>
  <si>
    <t>Levantamento de portões em vedações</t>
  </si>
  <si>
    <t>F-12.08.01.01.02.09.</t>
  </si>
  <si>
    <t>Encaminhamento a destino final licenciado</t>
  </si>
  <si>
    <t>F-12.08.01.01.02.09.01.</t>
  </si>
  <si>
    <t>Triagem, remoção, carga, transporte, armazenamento e encaminhamento de resíduos a destino final licenciado</t>
  </si>
  <si>
    <t>ton</t>
  </si>
  <si>
    <t>F-12.08.01.01.02.09.02.</t>
  </si>
  <si>
    <t>Triagem, remoção, carga, transporte, armazenamento e encaminhamento de resíduos perigosos a destino final licenciado</t>
  </si>
  <si>
    <t>F-12.08.01.01.02.09.03.</t>
  </si>
  <si>
    <t>Fornecimento dos meios necessários (contentor/bidão) para recolha de resíduos</t>
  </si>
  <si>
    <t>F-12.08.01.01.02.09.04.</t>
  </si>
  <si>
    <t>Fornecimento dos meios necessários (big bag) para recolha de resíduos</t>
  </si>
  <si>
    <t xml:space="preserve">F-12.08.01.01.03. </t>
  </si>
  <si>
    <t>Aterros e Macadames</t>
  </si>
  <si>
    <t>F-12.08.01.01.03.01.</t>
  </si>
  <si>
    <t>Aterro com material de empréstimo selecionado</t>
  </si>
  <si>
    <t>F-12.08.01.01.03.02.</t>
  </si>
  <si>
    <t>Fornecimento e aplicação de ABGE 0/32</t>
  </si>
  <si>
    <t>F-12.08.01.01.03.03.</t>
  </si>
  <si>
    <t>Fornecimento e aplicação de pó de pedra</t>
  </si>
  <si>
    <t>F-12.08.01.01.03.04.</t>
  </si>
  <si>
    <t>Fornecimento e colocação de gravilha, com granulometria 2/6mm</t>
  </si>
  <si>
    <t>F-12.08.01.01.03.05.</t>
  </si>
  <si>
    <t>Fornecimento e aplicação de brita de origem granítica</t>
  </si>
  <si>
    <t xml:space="preserve">F-12.08.01.01.03.05.01. </t>
  </si>
  <si>
    <t>com granulometria 6/14mm</t>
  </si>
  <si>
    <t xml:space="preserve">F-12.08.01.01.03.05.02. </t>
  </si>
  <si>
    <t>com granulometria 14/20mm</t>
  </si>
  <si>
    <t>F-12.08.01.01.03.05.03.</t>
  </si>
  <si>
    <t>com granulometria 20/40mm</t>
  </si>
  <si>
    <t>F-12.08.01.01.03.06.</t>
  </si>
  <si>
    <t>Fornecimento e colocação de material britado de enrocamento, vulgo Rachão</t>
  </si>
  <si>
    <t>F-12.08.01.01.03.07.</t>
  </si>
  <si>
    <t>Fornecimento e colocação de manta geotêxtil:</t>
  </si>
  <si>
    <t xml:space="preserve">F-12.08.01.01.03.07.01. </t>
  </si>
  <si>
    <t>de 200 gr/m2</t>
  </si>
  <si>
    <t>F-12.08.01.01.03.07.02.</t>
  </si>
  <si>
    <t>de 300 gr/m2</t>
  </si>
  <si>
    <t xml:space="preserve">F-12.08.01.01.03.07.03. </t>
  </si>
  <si>
    <t>de 400 gr/m2</t>
  </si>
  <si>
    <t xml:space="preserve">F-12.08.01.01.03.07.04. </t>
  </si>
  <si>
    <t>de 600 gr/m2</t>
  </si>
  <si>
    <t xml:space="preserve">F-12.08.01.02. </t>
  </si>
  <si>
    <t>Betões. Alvenarias e Cantarias (inclui a recolha, triagem, remoção, transporte a armazenamento preliminar e encaminhamento a destino final licenciado, bem como, o cumprimento legal inerente)</t>
  </si>
  <si>
    <t>F-12.08.01.02.01</t>
  </si>
  <si>
    <t>Betões</t>
  </si>
  <si>
    <t>F-12.08.01.02.01.01</t>
  </si>
  <si>
    <t>Edifícios</t>
  </si>
  <si>
    <t>F-12.08.01.02.01.01.01</t>
  </si>
  <si>
    <t>Fornecimento e aplicação de betão de limpeza em fundações</t>
  </si>
  <si>
    <t>F-12.08.01.02.01.01.02</t>
  </si>
  <si>
    <t>Fornecimento e aplicação de betão ciclópico em fundações</t>
  </si>
  <si>
    <t>F-12.08.01.02.01.01.03</t>
  </si>
  <si>
    <t>Fornecimento e aplicação de betão armado C16/20, até 1m3</t>
  </si>
  <si>
    <t>F-12.08.01.02.01.01.04</t>
  </si>
  <si>
    <t>Idem, C20/25</t>
  </si>
  <si>
    <t>F-12.08.01.02.01.01.05</t>
  </si>
  <si>
    <t>Idem, C25/30</t>
  </si>
  <si>
    <t>F-12.08.01.02.01.01.06</t>
  </si>
  <si>
    <t>Idem, C30/35</t>
  </si>
  <si>
    <t>F-12.08.01.02.01.01.07</t>
  </si>
  <si>
    <t xml:space="preserve">Fornecimento e aplicação de betão armado C16/20, a partir de 1m3 </t>
  </si>
  <si>
    <t>F-12.08.01.02.01.01.08</t>
  </si>
  <si>
    <t>F-12.08.01.02.01.01.09</t>
  </si>
  <si>
    <t>F-12.08.01.02.01.01.10</t>
  </si>
  <si>
    <t>F-12.08.01.02.01.02</t>
  </si>
  <si>
    <t>Muros e Maciços</t>
  </si>
  <si>
    <t>F-12.08.01.02.01.02.01</t>
  </si>
  <si>
    <t>Construção de muros de suporte em pedra arrumada à mão e argamassada</t>
  </si>
  <si>
    <t>F-12.08.01.02.01.02.02</t>
  </si>
  <si>
    <t>Construção de muro de gabião</t>
  </si>
  <si>
    <t>F-12.08.01.02.01.02.03</t>
  </si>
  <si>
    <t>Execução de argamassagem e recalçamento de fendas em taludes ou muros, revestimento de taludes</t>
  </si>
  <si>
    <t>F-12.08.01.02.01.02.04</t>
  </si>
  <si>
    <t>Execução de selagens com argamassa monocomponente de retração compensada, à base de cimento</t>
  </si>
  <si>
    <t>F-12.08.01.02.01.02.05</t>
  </si>
  <si>
    <t xml:space="preserve">Fornecimento e aplicação de betão em maciços e dados de postes de catenária, de acordo com a GR.IT.CAT.004 </t>
  </si>
  <si>
    <t>F-12.08.01.02.01.03</t>
  </si>
  <si>
    <t>Pré-Fabricados</t>
  </si>
  <si>
    <t>F-12.08.01.02.01.03.01</t>
  </si>
  <si>
    <t>Fornecimento e assentamento de pilaretes pré-fabricados para suporte de placas de vedação</t>
  </si>
  <si>
    <t>F-12.08.01.02.01.03.02</t>
  </si>
  <si>
    <t xml:space="preserve">Idem de placas de vedação maciças em betão </t>
  </si>
  <si>
    <t>F-12.08.01.02.01.03.03</t>
  </si>
  <si>
    <t>Idem de placas de vedação em betão.  tipo CP - A. para fixação em pilares</t>
  </si>
  <si>
    <t>F-12.08.01.02.01.03.04</t>
  </si>
  <si>
    <t>Idem de placas de vedação em betão.  tipo CP - B para fixação em pilares</t>
  </si>
  <si>
    <t>F-12.08.01.02.01.03.05</t>
  </si>
  <si>
    <t>Fornecimento e assentamento de bordaduras de plataforma em betão armado</t>
  </si>
  <si>
    <t>F-12.08.01.02.01.03.06</t>
  </si>
  <si>
    <t xml:space="preserve">Reparação / fixação de bordaduras </t>
  </si>
  <si>
    <t>F-12.08.01.02.01.03.07</t>
  </si>
  <si>
    <t>Fornecimento e assentamento de caleira de "autoestrada" pré-fabricada em betão armado com 1000mm de comprimento</t>
  </si>
  <si>
    <t>F-12.08.01.02.01.03.07.01</t>
  </si>
  <si>
    <t>com secção 500mmx500mm e rasgo superior de 30mm</t>
  </si>
  <si>
    <t>F-12.08.01.02.01.03.07.02</t>
  </si>
  <si>
    <t>com secção 500mmx500mm e rasgo superior de 50mm</t>
  </si>
  <si>
    <t>F-12.08.01.02.01.03.08</t>
  </si>
  <si>
    <t>Fornecimento e aplicação de marcos indicadores de paragem</t>
  </si>
  <si>
    <t>F-12.08.01.02.01.03.09</t>
  </si>
  <si>
    <t>Fornecimento e aplicação de lajes aligeiradas (vigotas pré-esforçadas + blocos cerâmicos/abobadilhas)</t>
  </si>
  <si>
    <t>F-12.08.01.02.01.03.10</t>
  </si>
  <si>
    <t>Fornecimento e assentamento de tampas de betão armado</t>
  </si>
  <si>
    <t>F-12.08.01.02.01.03.11</t>
  </si>
  <si>
    <t>Fornecimento e assentamento de lancis pré-fabricados em betão, com 1000mm de comprimento com as seguintes dimensões:</t>
  </si>
  <si>
    <t xml:space="preserve">F-12.08.01.02.01.03.11.01 </t>
  </si>
  <si>
    <t>200mmx80mmx80mm</t>
  </si>
  <si>
    <t>F-12.08.01.02.01.03.11.02</t>
  </si>
  <si>
    <t>200mmx200mmx170mm</t>
  </si>
  <si>
    <t>F-12.08.01.02.01.03.11.03</t>
  </si>
  <si>
    <t>250mmx150mmx120mm</t>
  </si>
  <si>
    <t>F-12.08.01.02.01.03.11.04</t>
  </si>
  <si>
    <t>250mmx240mmx200mm</t>
  </si>
  <si>
    <t>F-12.08.01.02.01.03.12</t>
  </si>
  <si>
    <t>Fornecimento e aplicação de placas para passadeiras, antiderrapantes, em betão armado C20/25 e aço A400NR</t>
  </si>
  <si>
    <t>F-12.08.01.02.01.03.13</t>
  </si>
  <si>
    <t>Fornecimento e assentamento de lancil de segurança não galgável, pré-fabricado em betão com secção 350mmx350mmx120mm</t>
  </si>
  <si>
    <t>F-12.08.01.02.01.03.14</t>
  </si>
  <si>
    <t>Idem, com secção 300mmx250mmx120mm</t>
  </si>
  <si>
    <t>F-12.08.01.02.01.03.15</t>
  </si>
  <si>
    <t>Fornecimento e assentamento de caixa de visita em anéis de betão pré-fabricado, com Ø 1,00m até 2,00m de profundidade</t>
  </si>
  <si>
    <t>F-12.08.01.02.01.03.16</t>
  </si>
  <si>
    <t>Idem, para caixas de 2,0m a 4,0m de profundidade</t>
  </si>
  <si>
    <t>F-12.08.01.02.01.03.17</t>
  </si>
  <si>
    <t>Fornecimento e assentamento de caixa de visita em anéis de betão pré-fabricado, com Ø 1,50m até 2,00m de profundidade</t>
  </si>
  <si>
    <t>F-12.08.01.02.01.03.18</t>
  </si>
  <si>
    <t>Idem, para caixas de 2m a 4m de profundidade</t>
  </si>
  <si>
    <t>F-12.08.01.02.01.03.19</t>
  </si>
  <si>
    <t xml:space="preserve">Fornecimento e assentamento de canalete com tampa, em betão pré-fabricado </t>
  </si>
  <si>
    <t>F-12.08.01.02.01.03.19.01</t>
  </si>
  <si>
    <t>com secção 390mmx150mm</t>
  </si>
  <si>
    <t>F-12.08.01.02.01.03.19.02</t>
  </si>
  <si>
    <t>com secção 250mmx150mm</t>
  </si>
  <si>
    <t>F-12.08.01.02.01.03.19.03</t>
  </si>
  <si>
    <t>com secção 600mmx150mm</t>
  </si>
  <si>
    <t>F-12.08.01.02.01.03.20</t>
  </si>
  <si>
    <t xml:space="preserve">Fornecimento e assentamento de canalete com grade galvanizada, anti roubo em betão pré-fabricado </t>
  </si>
  <si>
    <t>F-12.08.01.02.01.03.20.01</t>
  </si>
  <si>
    <t>com secção 280mmx240mm</t>
  </si>
  <si>
    <t>F-12.08.01.02.01.03.20.02</t>
  </si>
  <si>
    <t>com secção 225mmx215mm</t>
  </si>
  <si>
    <t>F-12.08.01.02.01.03.20.03</t>
  </si>
  <si>
    <t>com secção 165mmx175mm</t>
  </si>
  <si>
    <t>F-12.08.01.02.01.03.21</t>
  </si>
  <si>
    <t>Fornecimento e assentamento de tampas de betão armado perfuradas</t>
  </si>
  <si>
    <t>F-12.08.01.02.01.03.22</t>
  </si>
  <si>
    <t xml:space="preserve">Fornecimento e assentamento de caixa para águas pluviais com grelha em ferro fundido, basculante, com dimensão 800mmx550mmx1100mmx100mm </t>
  </si>
  <si>
    <t>F-12.08.01.02.01.03.23</t>
  </si>
  <si>
    <t>Fornecimento e assentamento de manilhas pré-fabricadas em betão</t>
  </si>
  <si>
    <t>F-12.08.01.02.01.03.23.01</t>
  </si>
  <si>
    <t>Ø 200mm</t>
  </si>
  <si>
    <t>F-12.08.01.02.01.03.23.02</t>
  </si>
  <si>
    <t>Ø 300mm</t>
  </si>
  <si>
    <t>F-12.08.01.02.01.03.23.03</t>
  </si>
  <si>
    <t>Ø 400mm</t>
  </si>
  <si>
    <t>F-12.08.01.02.01.03.23.04</t>
  </si>
  <si>
    <t>Ø 500mm</t>
  </si>
  <si>
    <t>F-12.08.01.02.01.03.23.05</t>
  </si>
  <si>
    <t>Ø 600mm</t>
  </si>
  <si>
    <t>F-12.08.01.02.01.03.23.06</t>
  </si>
  <si>
    <t>Ø 800mm</t>
  </si>
  <si>
    <t>F-12.08.01.02.01.03.24</t>
  </si>
  <si>
    <t>Fornecimento e assentamento de manilhas reforçadas classe IV pré-fabricadas em betão</t>
  </si>
  <si>
    <t>F-12.08.01.02.01.03.24.01</t>
  </si>
  <si>
    <t>F-12.08.01.02.01.03.24.02</t>
  </si>
  <si>
    <t>F-12.08.01.02.01.03.24.03</t>
  </si>
  <si>
    <t>F-12.08.01.02.01.03.24.04</t>
  </si>
  <si>
    <t>F-12.08.01.02.01.03.24.05</t>
  </si>
  <si>
    <t>Ø 1000mm</t>
  </si>
  <si>
    <t>F-12.08.01.02.01.03.25</t>
  </si>
  <si>
    <t>Fornecimento e assentamento de meias-manilhas pré-fabricadas em betão</t>
  </si>
  <si>
    <t xml:space="preserve">F-12.08.01.02.01.03.25.01 </t>
  </si>
  <si>
    <t>F-12.08.01.02.01.03.25.02</t>
  </si>
  <si>
    <t>F-12.08.01.02.01.03.25.03</t>
  </si>
  <si>
    <t>F-12.08.01.02.01.03.25.04</t>
  </si>
  <si>
    <t>F-12.08.01.02.01.03.26</t>
  </si>
  <si>
    <t>Fornecimento e assentamento de marcos delimitadores de propriedade IP</t>
  </si>
  <si>
    <t>F-12.08.01.02.01.03.27</t>
  </si>
  <si>
    <t xml:space="preserve">Fornecimento e colocação de separadores "New Jersey" simétricos, pré-fabricados em betão </t>
  </si>
  <si>
    <t>F-12.08.01.02.01.03.27.01</t>
  </si>
  <si>
    <t>Com 2 m de comprimento</t>
  </si>
  <si>
    <t>F-12.08.01.02.01.03.27.02</t>
  </si>
  <si>
    <t>Com 4 m de comprimento</t>
  </si>
  <si>
    <t>F-12.08.01.02.01.03.27.03</t>
  </si>
  <si>
    <t>Com 6 m de comprimento</t>
  </si>
  <si>
    <t>F-12.08.01.02.01.03.28</t>
  </si>
  <si>
    <t xml:space="preserve">Fornecimento e colocação de separadores "New Jersey" assimétricos, pré-fabricados em betão </t>
  </si>
  <si>
    <t>F-12.08.01.02.01.03.28.01</t>
  </si>
  <si>
    <t>F-12.08.01.02.01.03.28.02</t>
  </si>
  <si>
    <t>F-12.08.01.02.01.03.28.03</t>
  </si>
  <si>
    <t>F-12.08.01.02.01.03.29</t>
  </si>
  <si>
    <t>Fornecimento e assentamento de caixas de derivação com fundo pré-fabricadas em betão, com as seguintes dimensões:</t>
  </si>
  <si>
    <t>F-12.08.01.02.01.03.29.01</t>
  </si>
  <si>
    <t>400mmx400mmx420mm</t>
  </si>
  <si>
    <t>F-12.08.01.02.01.03.29.02</t>
  </si>
  <si>
    <t>500mmx500mmx500mm</t>
  </si>
  <si>
    <t>F-12.08.01.02.01.03.29.03</t>
  </si>
  <si>
    <t>600mmx600mmx640mm</t>
  </si>
  <si>
    <t>F-12.08.01.02.01.03.30</t>
  </si>
  <si>
    <t>Fornecimento e assentamento de blocos decorativos em betão, formato de argola/lua para muros, com dimensão 0,40x0,40x0,10m</t>
  </si>
  <si>
    <t>F-12.08.01.02.01.03.31</t>
  </si>
  <si>
    <t>Fornecimento e assentamento de capeamento de muro em betão</t>
  </si>
  <si>
    <t>F-12.08.01.02.01.03.32</t>
  </si>
  <si>
    <t>Fornecimento e assentamento de capeamento em U em betão para muros</t>
  </si>
  <si>
    <t>F-12.08.01.02.01.03.33</t>
  </si>
  <si>
    <t>Idem em betão com cimento branco</t>
  </si>
  <si>
    <t>F-12.08.01.02.01.03.34</t>
  </si>
  <si>
    <t>Reparação/fixação de capeamentos em betão em muros</t>
  </si>
  <si>
    <t>F-12.08.01.02.01.03.35</t>
  </si>
  <si>
    <t>Fornecimento e aplicação de barreiras acústicas em betão de lava pré-fabricado com uma face absorvente, em estrutura existente</t>
  </si>
  <si>
    <t>F-12.08.01.02.01.03.36</t>
  </si>
  <si>
    <t>Idem em betão poroso</t>
  </si>
  <si>
    <t>F-12.08.01.02.01.03.37</t>
  </si>
  <si>
    <t>Fornecimento e aplicação de ripado em betão</t>
  </si>
  <si>
    <t>F-12.08.01.02.01.03.38</t>
  </si>
  <si>
    <t>Fornecimento e aplicação de fugas para chaminés em betão com secção 300x300x200mm</t>
  </si>
  <si>
    <t>F-12.08.01.02.01.03.39</t>
  </si>
  <si>
    <t>Idem com secção 500x300x200mm</t>
  </si>
  <si>
    <t>F-12.08.01.02.01.03.40</t>
  </si>
  <si>
    <t>Fornecimento e instalação de chapéu de chaminé com ventiladores e tampa para assentamento em fugas, com secção 300x200mm.</t>
  </si>
  <si>
    <t>F-12.08.01.02.01.03.41</t>
  </si>
  <si>
    <t>Idem com secção 500x300mm</t>
  </si>
  <si>
    <t>F-12.08.01.02.01.04</t>
  </si>
  <si>
    <t>Tratamentos</t>
  </si>
  <si>
    <t>F-12.08.01.02.01.04.01</t>
  </si>
  <si>
    <t>Remoção de betão delaminado ou picagem de espessuras de recobrimento de armaduras para execução de tratamentos de reparação.</t>
  </si>
  <si>
    <t>F-12.08.01.02.01.04.02</t>
  </si>
  <si>
    <t xml:space="preserve">Tratamento de armaduras de betão armado </t>
  </si>
  <si>
    <t>F-12.08.01.02.01.04.03</t>
  </si>
  <si>
    <t xml:space="preserve">Regularização de superfícies e espessuras de recobrimento </t>
  </si>
  <si>
    <t>F-12.08.01.02.01.04.04</t>
  </si>
  <si>
    <t>Execução de acabamento de proteção sobre superfícies tratadas</t>
  </si>
  <si>
    <t>F-12.08.01.02.01.04.05</t>
  </si>
  <si>
    <t xml:space="preserve">Execução de revestimento de proteção e pintura de betão </t>
  </si>
  <si>
    <t>F-12.08.01.02.02</t>
  </si>
  <si>
    <t>Alvenarias</t>
  </si>
  <si>
    <t>F-12.08.01.02.02.01</t>
  </si>
  <si>
    <t>Caixas de Visita</t>
  </si>
  <si>
    <t>F-12.08.01.02.02.01.01</t>
  </si>
  <si>
    <t>Construção de caixas de visita em alvenaria de tijolo com 30x20x11, com as dimensões com 0,40mx0,40mx0,50m, assente com argamassa de cimento e areia ao traço 1:4, rebocado e tampa em betão armado com 0,05m de espessura, aro e contra-aro metálico galvanizado em cantoneira em "L" 50mmx50mmx4mm, com 80 microns de espessura de galvanização</t>
  </si>
  <si>
    <t>F-12.08.01.02.02.01.02</t>
  </si>
  <si>
    <t>Idem, com as dimensões de 0,50mx0,50mx0,60m</t>
  </si>
  <si>
    <t>F-12.08.01.02.02.01.03</t>
  </si>
  <si>
    <t>Idem, com as dimensões de 0,60mx0,60mx0,80m</t>
  </si>
  <si>
    <t>F-12.08.01.02.02.01.04</t>
  </si>
  <si>
    <t>F-12.08.01.02.02.01.05</t>
  </si>
  <si>
    <t>F-12.08.01.02.02.01.06</t>
  </si>
  <si>
    <t xml:space="preserve">Alteamento de caixas de visita em plataformas até 1,50x1,50m </t>
  </si>
  <si>
    <t>F-12.08.01.02.02.01.07</t>
  </si>
  <si>
    <t xml:space="preserve">Alteamento de caixas de visita em plataformas a partir de 1,50x1,50m </t>
  </si>
  <si>
    <t>F-12.08.01.02.02.02</t>
  </si>
  <si>
    <t>Paredes</t>
  </si>
  <si>
    <t>F-12.08.01.02.02.02.01</t>
  </si>
  <si>
    <t>Fornecimento e assentamento de alvenaria em tijolo furado 30x20x7, assente em argamassa de cimento e areia ao traço 1:3</t>
  </si>
  <si>
    <t>F-12.08.01.02.02.02.02</t>
  </si>
  <si>
    <t>Idem em tijolo de 30x20x9</t>
  </si>
  <si>
    <t>F-12.08.01.02.02.02.03</t>
  </si>
  <si>
    <t>Idem em tijolo de 30x20x11</t>
  </si>
  <si>
    <t>F-12.08.01.02.02.02.04</t>
  </si>
  <si>
    <t>Idem em tijolo de 30x20x15</t>
  </si>
  <si>
    <t>F-12.08.01.02.02.02.05</t>
  </si>
  <si>
    <t>Idem em tijolo de 30x20x22</t>
  </si>
  <si>
    <t>F-12.08.01.02.02.02.06</t>
  </si>
  <si>
    <t>Fornecimento e assentamento de alvenaria de blocos de cimento 40x20x15, assente em argamassa de cimento e areia ao traço 1:3</t>
  </si>
  <si>
    <t>F-12.08.01.02.02.02.07</t>
  </si>
  <si>
    <t>Idem 40x20x20</t>
  </si>
  <si>
    <t>F-12.08.01.02.02.02.08</t>
  </si>
  <si>
    <t>Idem 50x20x20</t>
  </si>
  <si>
    <t>F-12.08.01.02.02.02.09</t>
  </si>
  <si>
    <t>Idem 50x20x25</t>
  </si>
  <si>
    <t>F-12.08.01.02.02.02.10</t>
  </si>
  <si>
    <t>Fornecimento e assentamento de alvenaria em pedra argamassada em paredes e muros</t>
  </si>
  <si>
    <t>F-12.08.01.02.02.02.11</t>
  </si>
  <si>
    <t>Fornecimento e assentamento de alvenaria de tijolo de vidro de 19x19x8, com argamassa para o efeito</t>
  </si>
  <si>
    <t>F-12.08.01.02.02.02.12</t>
  </si>
  <si>
    <t>Fornecimento e assentamento de blocos de betão equipados com placas de isolamento acústico nas cavidades com dimensão 495 x 195 x 195 mm</t>
  </si>
  <si>
    <t>F-12.08.01.02.03</t>
  </si>
  <si>
    <t>Cantarias</t>
  </si>
  <si>
    <t>F-12.08.01.02.03.01</t>
  </si>
  <si>
    <t>Fornecimento e assentamento de molduras de mármore polido em janelas e portas, com a espessura de 30mm</t>
  </si>
  <si>
    <t>F-12.08.01.02.03.02</t>
  </si>
  <si>
    <t>Idem, em moleanos bujardado</t>
  </si>
  <si>
    <t>F-12.08.01.02.03.03</t>
  </si>
  <si>
    <t>Idem, em moleanos amaciado</t>
  </si>
  <si>
    <t>F-12.08.01.02.03.04</t>
  </si>
  <si>
    <t>Idem, em granito polido</t>
  </si>
  <si>
    <t>F-12.08.01.02.03.05</t>
  </si>
  <si>
    <t>idem, em granito flamejado</t>
  </si>
  <si>
    <t>F-12.08.01.02.03.06</t>
  </si>
  <si>
    <t>Idem, em lioz polido</t>
  </si>
  <si>
    <t>F-12.08.01.02.03.07</t>
  </si>
  <si>
    <t>Fornecimento e assentamento de soleiras e peitoris em mármore polido de portas e janelas, com a espessura de 30mm</t>
  </si>
  <si>
    <t>F-12.08.01.02.03.08</t>
  </si>
  <si>
    <t>F-12.08.01.02.03.09</t>
  </si>
  <si>
    <t>F-12.08.01.02.03.10</t>
  </si>
  <si>
    <t>F-12.08.01.02.03.11</t>
  </si>
  <si>
    <t>F-12.08.01.02.03.12</t>
  </si>
  <si>
    <t>Fornecimento e assentamento de degrau (cobertor) de escada em mármore polido, com a espessura de 40mm</t>
  </si>
  <si>
    <t>F-12.08.01.02.03.13</t>
  </si>
  <si>
    <t>Idem, em granito amaciado</t>
  </si>
  <si>
    <t>F-12.08.01.02.03.14</t>
  </si>
  <si>
    <t>F-12.08.01.02.03.15</t>
  </si>
  <si>
    <t>F-12.08.01.02.03.16</t>
  </si>
  <si>
    <t>Fornecimento e assentamento de espelho de escada em mármore polido, com a espessura de 20mm</t>
  </si>
  <si>
    <t>F-12.08.01.02.03.17</t>
  </si>
  <si>
    <t>F-12.08.01.02.03.18</t>
  </si>
  <si>
    <t>F-12.08.01.02.03.19</t>
  </si>
  <si>
    <t>F-12.08.01.02.03.20</t>
  </si>
  <si>
    <t>Fornecimento e assentamento de socos em mármore polido, com espessura de 20mm</t>
  </si>
  <si>
    <t>F-12.08.01.02.03.21</t>
  </si>
  <si>
    <t>F-12.08.01.02.03.22</t>
  </si>
  <si>
    <t>F-12.08.01.02.03.23</t>
  </si>
  <si>
    <t>F-12.08.01.02.03.24</t>
  </si>
  <si>
    <t>Fornecimento e assentamento de bancada em compósito de pedra, constituído por mais de 90% de quartzo natural polido com proteção bacteriana e 20mm de espessura</t>
  </si>
  <si>
    <t>F-12.08.01.02.03.25</t>
  </si>
  <si>
    <t>Fornecimento e assentamento de pedra de bancada em granito, com 30mm de espessura</t>
  </si>
  <si>
    <t>F-12.08.01.02.03.26</t>
  </si>
  <si>
    <t>Fornecimento e assentamento de pedra de bancada em mármore, com 30mm de espessura</t>
  </si>
  <si>
    <t>F-12.08.01.02.03.27</t>
  </si>
  <si>
    <t>Fornecimento e aplicação de monomassas em textura variada para reparação de cantarias danificadas</t>
  </si>
  <si>
    <t>F-12.08.01.02.03.28</t>
  </si>
  <si>
    <t>Fornecimento e instalação de fita antiderrapante e autoadesiva em degraus de escadas, com a largura de 50mm</t>
  </si>
  <si>
    <t>F-12.08.01.02.03.29</t>
  </si>
  <si>
    <t>Fornecimento e aplicação de sistema antiderrapante com sílica em degraus de escadas, com largura de 50mm</t>
  </si>
  <si>
    <t>F-12.08.01.02.03.30</t>
  </si>
  <si>
    <t>Bujardamento de faixa antiderrapante em degraus de escada</t>
  </si>
  <si>
    <t>F-12.08.01.03</t>
  </si>
  <si>
    <t>Limpezas e Desobstruções:</t>
  </si>
  <si>
    <t>F-12.08.01.03.01</t>
  </si>
  <si>
    <t>de Drenagens Pluviais</t>
  </si>
  <si>
    <t>F-12.08.01.03.01.01</t>
  </si>
  <si>
    <t>Limpeza e desobstrução de caixas de visita até 2 m3 de volume</t>
  </si>
  <si>
    <t>F-12.08.01.03.01.02</t>
  </si>
  <si>
    <t>Limpeza e desobstrução de caixas de visita entre 2 e 5 m3 de volume</t>
  </si>
  <si>
    <t>F-12.08.01.03.01.03</t>
  </si>
  <si>
    <t>Limpeza e desobstrução de passagem hidráulica até D600 mm</t>
  </si>
  <si>
    <t>F-12.08.01.03.01.04</t>
  </si>
  <si>
    <t>Limpeza de desobstrução de passagem hidráulica até D1000 mm</t>
  </si>
  <si>
    <t>F-12.08.01.03.02</t>
  </si>
  <si>
    <t>de Coberturas</t>
  </si>
  <si>
    <t>F-12.08.01.03.02.01</t>
  </si>
  <si>
    <t>Limpeza de revestimento de cobertura de qualquer tipo, por meio de jato de água com produto químico</t>
  </si>
  <si>
    <t>F-12.08.01.03.02.02</t>
  </si>
  <si>
    <t>Limpeza de revestimento de cobertura de qualquer tipo por meios manuais</t>
  </si>
  <si>
    <t>F-12.08.01.03.02.03</t>
  </si>
  <si>
    <t>Limpeza e desobstrução de algerozes, caleiras e tubos de queda</t>
  </si>
  <si>
    <t>F-12.08.01.03.03</t>
  </si>
  <si>
    <t>F-12.08.01.03.03.01</t>
  </si>
  <si>
    <t>Lavagem de pedra em cantaria, socos, cimalhas, capitéis, ombreiras</t>
  </si>
  <si>
    <t>F-12.08.01.03.03.02</t>
  </si>
  <si>
    <t>Remoção de graffiti em painéis de azulejo</t>
  </si>
  <si>
    <t>F-12.08.01.03.03.03</t>
  </si>
  <si>
    <t>Remoção de pinturas graffiti</t>
  </si>
  <si>
    <t>F-12.08.01.03.03.04</t>
  </si>
  <si>
    <t>Fornecimento e instalação de proteção de anti graffiti</t>
  </si>
  <si>
    <t>F-12.08.01.03.03.05</t>
  </si>
  <si>
    <t>Lavagem de pavimentos, paredes e outras superfícies</t>
  </si>
  <si>
    <t>F-12.08.01.03.03.06</t>
  </si>
  <si>
    <t>Limpeza de redes anti pombo</t>
  </si>
  <si>
    <t>F-12.08.01.03.03.07</t>
  </si>
  <si>
    <t>Limpeza de espigões anti pombo</t>
  </si>
  <si>
    <t>F-12.08.01.04</t>
  </si>
  <si>
    <t>Trabalhos em Coberturas e afins</t>
  </si>
  <si>
    <t>F-12.08.01.04.01</t>
  </si>
  <si>
    <t>F-12.08.01.04.01.01</t>
  </si>
  <si>
    <t>Revestimentos de Coberturas</t>
  </si>
  <si>
    <t xml:space="preserve">F-12.08.01.04.01.01.01 </t>
  </si>
  <si>
    <t>Fornecimento e instalação de telhas do tipo marselha ou lusa</t>
  </si>
  <si>
    <t>F-12.08.01.04.01.01.02</t>
  </si>
  <si>
    <t>Idem em canudo</t>
  </si>
  <si>
    <t>F-12.08.01.04.01.01.03</t>
  </si>
  <si>
    <t>Idem, claraboia</t>
  </si>
  <si>
    <t>F-12.08.01.04.01.01.04</t>
  </si>
  <si>
    <t>Idem, passadeira</t>
  </si>
  <si>
    <t>F-12.08.01.04.01.01.05</t>
  </si>
  <si>
    <t>Idem, ventilador</t>
  </si>
  <si>
    <t>F-12.08.01.04.01.01.06</t>
  </si>
  <si>
    <t>Idem, beirado</t>
  </si>
  <si>
    <t>F-12.08.01.04.01.01.07</t>
  </si>
  <si>
    <t>Idem, telhões de espigão</t>
  </si>
  <si>
    <t>F-12.08.01.04.01.01.08</t>
  </si>
  <si>
    <t>Idem, telhão de início</t>
  </si>
  <si>
    <t>F-12.08.01.04.01.01.09</t>
  </si>
  <si>
    <t>Idem, telhão de três águas</t>
  </si>
  <si>
    <t>F-12.08.01.04.01.01.10</t>
  </si>
  <si>
    <t>Idem, telha bebé</t>
  </si>
  <si>
    <t>F-12.08.01.04.01.01.11</t>
  </si>
  <si>
    <t>Idem, telha de cume</t>
  </si>
  <si>
    <t>F-12.08.01.04.01.01.12</t>
  </si>
  <si>
    <t>Reposição de telhas em coberturas previamente recolhidas ou fornecidas pela IP</t>
  </si>
  <si>
    <t>F-12.08.01.04.01.01.13</t>
  </si>
  <si>
    <t>Fornecimento e instalação de chapas de naturocimento em coberturas</t>
  </si>
  <si>
    <t>F-12.08.01.04.01.01.14</t>
  </si>
  <si>
    <t>Idem, chapas acrílicas de 6 mm</t>
  </si>
  <si>
    <t>F-12.08.01.04.01.01.15</t>
  </si>
  <si>
    <t>Idem, chapas de policarbonato compacto de 8mm</t>
  </si>
  <si>
    <t>F-12.08.01.04.01.01.16</t>
  </si>
  <si>
    <t>Idem, chapas de policarbonato alveolar de 10mm</t>
  </si>
  <si>
    <t>F-12.08.01.04.01.01.17</t>
  </si>
  <si>
    <t>Idem, em chapas zincadas</t>
  </si>
  <si>
    <t>F-12.08.01.04.01.01.18</t>
  </si>
  <si>
    <t>Fornecimento e assentamento de chapa perfilada com geometria trapezoidal com 0,50 mm de espessura e revestimento de lacagem com 55 microns</t>
  </si>
  <si>
    <t>F-12.08.01.04.01.01.19</t>
  </si>
  <si>
    <t>Fornecimento e assentamento de chapas lacadas em painéis sandwich com chapa exterior de 0,50 mm e chapa interior com 0,40 mm de espessura, com isolamento de 30mm</t>
  </si>
  <si>
    <t>F-12.08.01.04.01.01.20</t>
  </si>
  <si>
    <t>com isolamento de 40 mm</t>
  </si>
  <si>
    <t>F-12.08.01.04.01.01.21</t>
  </si>
  <si>
    <t>com isolamento de 50 mm</t>
  </si>
  <si>
    <t>F-12.08.01.04.01.01.22</t>
  </si>
  <si>
    <t>com isolamento de 60 mm</t>
  </si>
  <si>
    <t>F-12.08.01.04.01.01.23</t>
  </si>
  <si>
    <t>Reparação de beirado à portuguesa</t>
  </si>
  <si>
    <t>F-12.08.01.04.01.01.24</t>
  </si>
  <si>
    <t>Fornecimento e instalação de sistema subtelha com placas fibrobetuminosas</t>
  </si>
  <si>
    <t>F-12.08.01.04.01.01.25</t>
  </si>
  <si>
    <t>Fornecimento e instalação de cobertura modular autoportante em policarbonato alveolar multifacetado com 12mm</t>
  </si>
  <si>
    <t>F-12.08.01.04.01.01.26</t>
  </si>
  <si>
    <t>Idem, com 16mm</t>
  </si>
  <si>
    <t>F-12.08.01.04.01.01.27</t>
  </si>
  <si>
    <t>Idem, com 20mm</t>
  </si>
  <si>
    <t>F-12.08.01.04.01.01.28</t>
  </si>
  <si>
    <t>Execução de revestimento de cobertura com chapa de zinco com acabamento de quartzo zincado com fixação agrafada</t>
  </si>
  <si>
    <t>F-12.08.01.04.01.02</t>
  </si>
  <si>
    <t>Caleiras, Tubos de Queda e Algerozes</t>
  </si>
  <si>
    <t>F-12.08.01.04.01.02.01</t>
  </si>
  <si>
    <t>Fornecimento e instalação de caleira em alumínio lacado</t>
  </si>
  <si>
    <t>F-12.08.01.04.01.02.02</t>
  </si>
  <si>
    <t>Idem, em chapa de zinco com acabamento de quartzo zincado</t>
  </si>
  <si>
    <t>F-12.08.01.04.01.02.03</t>
  </si>
  <si>
    <t>Idem em PVC</t>
  </si>
  <si>
    <t>F-12.08.01.04.01.02.04</t>
  </si>
  <si>
    <t>Fornecimento e instalação de algeroz em tubo PVC</t>
  </si>
  <si>
    <t>F-12.08.01.04.01.02.05</t>
  </si>
  <si>
    <t>Idem, em alumínio lacado</t>
  </si>
  <si>
    <t>F-12.08.01.04.01.02.06</t>
  </si>
  <si>
    <t>F-12.08.01.04.01.02.07</t>
  </si>
  <si>
    <t>Fornecimento e instalação de rufos em chapa zincada, até 90cm de desenvolvimento</t>
  </si>
  <si>
    <t>F-12.08.01.04.01.02.08</t>
  </si>
  <si>
    <t>F-12.08.01.04.01.02.09</t>
  </si>
  <si>
    <t>F-12.08.01.04.01.02.10</t>
  </si>
  <si>
    <t>Fornecimento e instalação de tubos de queda em aço galvanizado com DN 75mm</t>
  </si>
  <si>
    <t>F-12.08.01.04.01.02.11</t>
  </si>
  <si>
    <t>Idem com DN 90mm</t>
  </si>
  <si>
    <t>F-12.08.01.04.01.02.12</t>
  </si>
  <si>
    <t>Idem com DN 110mm</t>
  </si>
  <si>
    <t>F-12.08.01.04.01.02.13</t>
  </si>
  <si>
    <t>Idem com DN 125mm</t>
  </si>
  <si>
    <t>F-12.08.01.04.01.02.14</t>
  </si>
  <si>
    <t>Fornecimento e instalação de tubos de queda em PVC com DN 75mm</t>
  </si>
  <si>
    <t>F-12.08.01.04.01.02.15</t>
  </si>
  <si>
    <t>F-12.08.01.04.01.02.16</t>
  </si>
  <si>
    <t>F-12.08.01.04.01.02.17</t>
  </si>
  <si>
    <t>F-12.08.01.04.01.02.18</t>
  </si>
  <si>
    <t>Fornecimento e instalação de tubos de queda em alumínio com DN 75mm</t>
  </si>
  <si>
    <t>F-12.08.01.04.01.02.19</t>
  </si>
  <si>
    <t>Idem, em alumínio lacado com DN 90 mm</t>
  </si>
  <si>
    <t>F-12.08.01.04.01.02.20</t>
  </si>
  <si>
    <t>Idem, em alumínio lacado com DN 110 mm</t>
  </si>
  <si>
    <t>F-12.08.01.04.01.02.21</t>
  </si>
  <si>
    <t>Idem, em alumínio lacado com DN 125 mm</t>
  </si>
  <si>
    <t>F-12.08.01.04.01.02.22</t>
  </si>
  <si>
    <t>Fornecimento e instalação de tubos de queda em ferro fundido com DN 75mm</t>
  </si>
  <si>
    <t>F-12.08.01.04.01.02.23</t>
  </si>
  <si>
    <t>Idem, em ferro fundido com DN 90 mm</t>
  </si>
  <si>
    <t>F-12.08.01.04.01.02.24</t>
  </si>
  <si>
    <t>Idem, em ferro fundido com DN 110 mm</t>
  </si>
  <si>
    <t>F-12.08.01.04.01.02.25</t>
  </si>
  <si>
    <t>Idem, em ferro fundido com DN 125 mm</t>
  </si>
  <si>
    <t>F-12.08.01.04.01.02.26</t>
  </si>
  <si>
    <t xml:space="preserve">Fornecimento e instalação de pinha de ralo metálica </t>
  </si>
  <si>
    <t>F-12.08.01.04.01.02.27</t>
  </si>
  <si>
    <t>Idem, em inox</t>
  </si>
  <si>
    <t>F-12.08.01.04.01.02.28</t>
  </si>
  <si>
    <t>Idem, em PVC</t>
  </si>
  <si>
    <t>F-12.08.01.04.01.02.29</t>
  </si>
  <si>
    <t>Fornecimento e instalação de gárgulas em chapa zincada</t>
  </si>
  <si>
    <t>F-12.08.01.04.01.02.30</t>
  </si>
  <si>
    <t>F-12.08.01.04.01.02.31</t>
  </si>
  <si>
    <t>Idem, em alumínio</t>
  </si>
  <si>
    <t>F-12.08.01.05</t>
  </si>
  <si>
    <t>Impermeabilizações e isolamentos</t>
  </si>
  <si>
    <t>F-12.08.01.05.01</t>
  </si>
  <si>
    <t>Fornecimento e aplicação de sistema de impermeabilização com tela betuminosa com acabamento em alumínio</t>
  </si>
  <si>
    <t>F-12.08.01.05.02</t>
  </si>
  <si>
    <t>Idem em cobre</t>
  </si>
  <si>
    <t>F-12.08.01.05.03</t>
  </si>
  <si>
    <t>Idem em xisto</t>
  </si>
  <si>
    <t>F-12.08.01.05.04</t>
  </si>
  <si>
    <t>Fornecimento e aplicação de sistema de impermeabilização com tela de PVC</t>
  </si>
  <si>
    <t>F-12.08.01.05.05</t>
  </si>
  <si>
    <t>Idem em EPDM</t>
  </si>
  <si>
    <t>F-12.08.01.05.06</t>
  </si>
  <si>
    <t>Fornecimento e aplicação de sistema de impermeabilização de poliureia projetada a quente</t>
  </si>
  <si>
    <t>F-12.08.01.05.07</t>
  </si>
  <si>
    <t>Fornecimento e aplicação de betonilha armada para camada de forma em coberturas</t>
  </si>
  <si>
    <t>F-12.08.01.05.08</t>
  </si>
  <si>
    <t>Fornecimento e aplicação de sistema de impermeabilização em manta líquida flexível bi-componente</t>
  </si>
  <si>
    <t>F-12.08.01.05.09</t>
  </si>
  <si>
    <t>Fornecimento e aplicação de isolamento em juntas de dilatação com material adequado a este fim</t>
  </si>
  <si>
    <t>F-12.08.01.05.10</t>
  </si>
  <si>
    <t>Fornecimento e aplicação de emulsão betuminosa</t>
  </si>
  <si>
    <t>F-12.08.01.05.11</t>
  </si>
  <si>
    <t>Fornecimento e aplicação de impermeabilização com produto à base de copolímeros acrílicos que seja permeável ao vapor de água e de elasticidade permanente, com duas demãos de primário impermeabilizante à base de cimento, e aplicação de massa pastosa a perfazer no mínimo 3kg/m2</t>
  </si>
  <si>
    <t>F-12.08.01.05.12</t>
  </si>
  <si>
    <t>Fornecimento e aplicação de sistema de impermeabilização de caleiras e algerozes com tela asfáltica</t>
  </si>
  <si>
    <t>F-12.08.01.05.13</t>
  </si>
  <si>
    <t>Fornecimento e aplicação de silicone líquido em coberturas</t>
  </si>
  <si>
    <t>F-12.08.01.05.14</t>
  </si>
  <si>
    <t>Idem com aplicação com malha de reforço em poliéster/poliamida</t>
  </si>
  <si>
    <t>F-12.08.01.05.15</t>
  </si>
  <si>
    <t xml:space="preserve">Fornecimento e aplicação de cola e veda </t>
  </si>
  <si>
    <t>F-12.08.01.05.16</t>
  </si>
  <si>
    <t>Fornecimento e aplicação de silicone</t>
  </si>
  <si>
    <t>F-12.08.01.05.17</t>
  </si>
  <si>
    <t>Fornecimento e aplicação de proteção pesada em lajetas térmicas constituída por camada de isolamento térmico XPS e argamassa reforçada</t>
  </si>
  <si>
    <t>F-12.08.01.05.18</t>
  </si>
  <si>
    <t>Fornecimento e aplicação de proteção pesada em godo</t>
  </si>
  <si>
    <t>F-12.08.01.05.19</t>
  </si>
  <si>
    <t>Fornecimento e aplicação de placas de isolamento térmico XPS com 30mm de espessura</t>
  </si>
  <si>
    <t>F-12.08.01.05.20</t>
  </si>
  <si>
    <t>Idem, com 40mm</t>
  </si>
  <si>
    <t>F-12.08.01.05.21</t>
  </si>
  <si>
    <t>Idem, com 50mm</t>
  </si>
  <si>
    <t>F-12.08.01.05.22</t>
  </si>
  <si>
    <t>Idem, com 60mm</t>
  </si>
  <si>
    <t>F-12.08.01.05.23</t>
  </si>
  <si>
    <t>Idem, com 80mm</t>
  </si>
  <si>
    <t>F-12.08.01.05.24</t>
  </si>
  <si>
    <t>Fornecimento e instalação de placas de isolamento térmico EPS com 30mm de espessura</t>
  </si>
  <si>
    <t>F-12.08.01.05.25</t>
  </si>
  <si>
    <t>F-12.08.01.05.26</t>
  </si>
  <si>
    <t>F-12.08.01.05.27</t>
  </si>
  <si>
    <t>F-12.08.01.05.28</t>
  </si>
  <si>
    <t>F-12.08.01.05.29</t>
  </si>
  <si>
    <t>Fornecimento e instalação de placas semirrígidas de isolamento térmico em lã de rocha com 40mm de espessura</t>
  </si>
  <si>
    <t>F-12.08.01.05.30</t>
  </si>
  <si>
    <t>F-12.08.01.05.31</t>
  </si>
  <si>
    <t>F-12.08.01.05.32</t>
  </si>
  <si>
    <t>Fornecimento e instalação de placas semirrígidas e revestidas a alumínio de isolamento térmico em lã de rocha com 40mm de espessura</t>
  </si>
  <si>
    <t>F-12.08.01.05.33</t>
  </si>
  <si>
    <t>F-12.08.01.05.34</t>
  </si>
  <si>
    <t>F-12.08.01.05.35</t>
  </si>
  <si>
    <t>Fornecimento e instalação de placas de isolamento térmico PIR com 30mm</t>
  </si>
  <si>
    <t>F-12.08.01.05.36</t>
  </si>
  <si>
    <t>Idem com 40mm</t>
  </si>
  <si>
    <t>F-12.08.01.05.37</t>
  </si>
  <si>
    <t>Idem com 50mm</t>
  </si>
  <si>
    <t>F-12.08.01.05.38</t>
  </si>
  <si>
    <t>Idem com 60mm</t>
  </si>
  <si>
    <t>F-12.08.01.05.39</t>
  </si>
  <si>
    <t>Idem com 80mm</t>
  </si>
  <si>
    <t>F-12.08.01.05.40</t>
  </si>
  <si>
    <t>Idem com 100mm</t>
  </si>
  <si>
    <t>F-12.08.01.05.41</t>
  </si>
  <si>
    <t>Idem com 120mm</t>
  </si>
  <si>
    <t>F-12.08.01.05.42</t>
  </si>
  <si>
    <t>Fornecimento e instalação de placas de isolamento térmico PUR com 30mm</t>
  </si>
  <si>
    <t>F-12.08.01.05.43</t>
  </si>
  <si>
    <t>F-12.08.01.05.44</t>
  </si>
  <si>
    <t>F-12.08.01.05.45</t>
  </si>
  <si>
    <t>F-12.08.01.05.46</t>
  </si>
  <si>
    <t>Fornecimento e aplicação de membrana drenante em polietileno de alta densidade pitonada</t>
  </si>
  <si>
    <t>F-12.08.01.05.47</t>
  </si>
  <si>
    <t>Fornecimento e aplicação de barreiras de vapor em polietileno de baixa densidade com 0,2mm de espessura</t>
  </si>
  <si>
    <t>F-12.08.01.05.48</t>
  </si>
  <si>
    <t>Fornecimento e aplicação de barreiras de vapor à base de betume modificado e folha de alumínio</t>
  </si>
  <si>
    <t>F-12.08.01.05.49</t>
  </si>
  <si>
    <t>Fornecimento e aplicação de telas de proteção de zinco em zinco titânio laminado que é protegido na face inferior por uma camada de 60 mícrones com uma estrutura de acrilato de uretano, polimerizado por U.V.</t>
  </si>
  <si>
    <t>F-12.08.01.05.50</t>
  </si>
  <si>
    <t>Fornecimento e instalação de telas de proteção de zinco em membrana de polietileno de alta densidade com aspeto cinzento distinto com 0,6mm de espessura e pitão de 8,6 mm.</t>
  </si>
  <si>
    <t>F-12.08.01.05.51</t>
  </si>
  <si>
    <t>Fornecimento e instalação de impregnante repelente de água à base de siloxanos, incluindo conveniente preparação da base</t>
  </si>
  <si>
    <t>F-12.08.01.05.52</t>
  </si>
  <si>
    <t>Fornecimento e aplicação de sistema de selagem de juntas de caleiras composto por fita bi-adesiva de termoplásticos e borracha não butílica com primário encapsulado, membrana de base elastomérica e selante monocomponente à base de borracha de silicone.</t>
  </si>
  <si>
    <t>F-12.08.01.05.53</t>
  </si>
  <si>
    <t>Fornecimento e instalação de fita de calafetagem em vãos de portas e janelas</t>
  </si>
  <si>
    <t>F-12.08.01.06</t>
  </si>
  <si>
    <t>Revestimentos</t>
  </si>
  <si>
    <t>F-12.08.01.06.01</t>
  </si>
  <si>
    <t>Exteriores</t>
  </si>
  <si>
    <t>F-12.08.01.06.01.01</t>
  </si>
  <si>
    <t>Fornecimento e aplicação de betão armado em pavimentos</t>
  </si>
  <si>
    <t>F-12.08.01.06.01.02</t>
  </si>
  <si>
    <t>Fornecimento e aplicação de enrocamento e massame</t>
  </si>
  <si>
    <t>F-12.08.01.06.01.03</t>
  </si>
  <si>
    <t>Fornecimento e aplicação de sarrisca granítica</t>
  </si>
  <si>
    <t>F-12.08.01.06.01.04</t>
  </si>
  <si>
    <t>Fornecimento e aplicação de betonilha com espessura de 10cm, constituído por 400kg cimento/m3 e traço 1:3 de areia,</t>
  </si>
  <si>
    <t>F-12.08.01.06.01.05</t>
  </si>
  <si>
    <t>Fornecimento e assentamento de lajetas pré-fabricadas de betão com as dimensões de 600mmx400mm com acabamento liso</t>
  </si>
  <si>
    <t>F-12.08.01.06.01.06</t>
  </si>
  <si>
    <t>Idem com acabamento em godo</t>
  </si>
  <si>
    <t>F-12.08.01.06.01.07</t>
  </si>
  <si>
    <t>Fornecimento e assentamento de lajetas pré-fabricadas de betão com as dimensões de 400mmx400mm com acabamento liso</t>
  </si>
  <si>
    <t>F-12.08.01.06.01.08</t>
  </si>
  <si>
    <t>F-12.08.01.06.01.09</t>
  </si>
  <si>
    <t>Idem com acabamento travertino romano cor amarela.</t>
  </si>
  <si>
    <t>F-12.08.01.06.01.10</t>
  </si>
  <si>
    <t>Levantamento, tratamento da base, nivelamento e reposição de lajetas prefabricadas</t>
  </si>
  <si>
    <t>F-12.08.01.06.01.11</t>
  </si>
  <si>
    <t>Fornecimento e aplicação de lajetas pré-fabricadas em faixa com 40 cm de largura (amarelo) - Lajetas de faixas de segurança de acordo com a norma GR.IT.CCA.008 Faixa de Segurança em Plataformas</t>
  </si>
  <si>
    <t>F-12.08.01.06.01.12</t>
  </si>
  <si>
    <t>Fornecimento e aplicação de lajetas pré-fabricadas - Pavimento tátil direcional em faixas de encaminhamento de acordo com a norma GR.IT.CCA.011 Faixa de Encaminhamento Estações Ferroviárias</t>
  </si>
  <si>
    <t>F-12.08.01.06.01.13</t>
  </si>
  <si>
    <t>Fornecimento e aplicação de lajetas pré-fabricadas - Faixa de cautela com 60cm -Faixa de cautela em estações ferroviárias de acordo com a norma GR.IT.CCA.010</t>
  </si>
  <si>
    <t>F-12.08.01.06.01.14</t>
  </si>
  <si>
    <t>Fornecimento e aplicação de calçada de vidraço 5x5cm</t>
  </si>
  <si>
    <t>F-12.08.01.06.01.15</t>
  </si>
  <si>
    <t>Idem, em calçada granítica 5x5cm</t>
  </si>
  <si>
    <t>F-12.08.01.06.01.16</t>
  </si>
  <si>
    <t>Idem, em calçada basáltica 5x5cm</t>
  </si>
  <si>
    <t>F-12.08.01.06.01.17</t>
  </si>
  <si>
    <t>Polimento/amaciamento de calçada</t>
  </si>
  <si>
    <t>F-12.08.01.06.01.18</t>
  </si>
  <si>
    <t>Levantamento, tratamento da base, nivelamento e reposição de calçada</t>
  </si>
  <si>
    <t>F-12.08.01.06.01.19</t>
  </si>
  <si>
    <t>Fornecimento e assentamento de calçada em cubos de granito 7x7cm</t>
  </si>
  <si>
    <t>F-12.08.01.06.01.20</t>
  </si>
  <si>
    <t>Idem, 11x11cm</t>
  </si>
  <si>
    <t>F-12.08.01.06.01.21</t>
  </si>
  <si>
    <t>Idem, em paralelo de granito</t>
  </si>
  <si>
    <t>F-12.08.01.06.01.22</t>
  </si>
  <si>
    <t>Fornecimento e assentamento de calçada em cubo de granito 7x7cm, assente sobre massame com aguada de cimento</t>
  </si>
  <si>
    <t>F-12.08.01.06.01.23</t>
  </si>
  <si>
    <t>F-12.08.01.06.01.24</t>
  </si>
  <si>
    <t>F-12.08.01.06.01.25</t>
  </si>
  <si>
    <t>Fornecimento e aplicação de camada de desgaste betuminosa a quente em camada de 4 cm de espessura (após compactação), incluindo compactação e rega de colagem.</t>
  </si>
  <si>
    <t>F-12.08.01.06.01.26</t>
  </si>
  <si>
    <t>Idem, em camada de 6 cm de espessura após compactação</t>
  </si>
  <si>
    <t>F-12.08.01.06.01.27</t>
  </si>
  <si>
    <t>Idem, em camada de 8 cm de espessura após compactação</t>
  </si>
  <si>
    <t>F-12.08.01.06.01.28</t>
  </si>
  <si>
    <t>Fornecimento e aplicação de camada de desgaste betuminosa a frio em camada até 4 cm de espessura (após compactação), incluindo compactação e rega de colagem.</t>
  </si>
  <si>
    <t>F-12.08.01.06.01.29</t>
  </si>
  <si>
    <t>F-12.08.01.06.01.30</t>
  </si>
  <si>
    <t>F-12.08.01.06.01.31</t>
  </si>
  <si>
    <t>Fornecimento e assentamento de revestimento de pavimento em pavê com blocos de encaixe de betão retangulares de 100x200mm</t>
  </si>
  <si>
    <t>F-12.08.01.06.01.32</t>
  </si>
  <si>
    <t>Idem, com blocos hexagonais de 200x175mm</t>
  </si>
  <si>
    <t>F-12.08.01.06.01.33</t>
  </si>
  <si>
    <t>Idem, com blocos quadrados de 190x190mm</t>
  </si>
  <si>
    <t>F-12.08.01.06.01.34</t>
  </si>
  <si>
    <t>Fornecimento e assentamento de grelhas de enrelvamento com blocos de encaixe de betão de dimensão 600x400mm</t>
  </si>
  <si>
    <t>F-12.08.01.06.01.35</t>
  </si>
  <si>
    <t>Fornecimento e aplicação de revestimento de pavimento em granito cinzala com 2cm de espessura e acabamento bujardado</t>
  </si>
  <si>
    <t>F-12.08.01.06.01.36</t>
  </si>
  <si>
    <t>Fornecimento e aplicação de revestimento de pavimento em granito branco de Alcains com 2cm de espessura e acabamento estriado</t>
  </si>
  <si>
    <t>F-12.08.01.06.01.37</t>
  </si>
  <si>
    <t xml:space="preserve">Fornecimento e assentamento de revestimento constituído por lajetas de betão pré-fabricado com acabamento tipo Calçada Portuguesa 0,50x0,50x0,05m </t>
  </si>
  <si>
    <t>F-12.08.01.06.01.38</t>
  </si>
  <si>
    <t>Fornecimento e aplicação de faixa de segurança em PVC com 40 cm de largura (amarelo) de acordo com a norma GR.IT.CCA.008 Faixa de Segurança em Plataformas</t>
  </si>
  <si>
    <t>F-12.08.01.06.01.39</t>
  </si>
  <si>
    <t>Fornecimento e aplicação de revestimento em mosaico de porcelanato podotáctil, em plataforma ferroviária, cor ouro, com as dimensões de 20x20 cm, em faixa de segurança de acordo com a IT.CCA.008</t>
  </si>
  <si>
    <t>F-12.08.01.06.01.40</t>
  </si>
  <si>
    <t>Fornecimento e aplicação de faixa cautela, em mosaico de porcelanato podotáctil, de dimensões de 20x20 de acordo com a IT.CCA.010</t>
  </si>
  <si>
    <t>F-12.08.01.06.01.41</t>
  </si>
  <si>
    <t>Fornecimento e aplicação de faixa de encaminhamento, em mosaico de porcelanato podotáctil, de dimensões de 20x20 de acordo com a IT.CCA.011</t>
  </si>
  <si>
    <t>F-12.08.01.06.02</t>
  </si>
  <si>
    <t>Interiores</t>
  </si>
  <si>
    <t>F-12.08.01.06.02.01</t>
  </si>
  <si>
    <t>Fornecimento e aplicação de betonilha de regularização afagada até 0,06 m de espessura</t>
  </si>
  <si>
    <t>F-12.08.01.06.02.02</t>
  </si>
  <si>
    <t>Idem com aditivo hidrófugo</t>
  </si>
  <si>
    <t>F-12.08.01.06.02.03</t>
  </si>
  <si>
    <t>Fornecimento e aplicação de betão leve com agregado de argila expandida em enchimento de pavimento ou camadas de forma</t>
  </si>
  <si>
    <t>F-12.08.01.06.02.04</t>
  </si>
  <si>
    <t xml:space="preserve">Fornecimento e aplicação de mosaico antiderrapante, 33x33cm </t>
  </si>
  <si>
    <t>F-12.08.01.06.02.05</t>
  </si>
  <si>
    <t>Idem, 20x20</t>
  </si>
  <si>
    <t>F-12.08.01.06.02.06</t>
  </si>
  <si>
    <t>Idem, 30x30 acabamento mate</t>
  </si>
  <si>
    <t>F-12.08.01.06.02.07</t>
  </si>
  <si>
    <t>Idem, 20x20 acabamento mate</t>
  </si>
  <si>
    <t>F-12.08.01.06.02.08</t>
  </si>
  <si>
    <t>Idem, mosaico porcelanato vidrado retificado 50x50</t>
  </si>
  <si>
    <t>F-12.08.01.06.02.09</t>
  </si>
  <si>
    <t>Idem, mosaico porcelanato vidrado retificado 33x33</t>
  </si>
  <si>
    <t>F-12.08.01.06.02.10</t>
  </si>
  <si>
    <t>Idem, mosaico extrudido não vidrado 30x30</t>
  </si>
  <si>
    <t>F-12.08.01.06.02.11</t>
  </si>
  <si>
    <t>Fornecimento e instalação de rodapé 33x8</t>
  </si>
  <si>
    <t>F-12.08.01.06.02.12</t>
  </si>
  <si>
    <t>Idem, 10x20</t>
  </si>
  <si>
    <t>F-12.08.01.06.02.13</t>
  </si>
  <si>
    <t>Idem, 15x15</t>
  </si>
  <si>
    <t>F-12.08.01.06.02.14</t>
  </si>
  <si>
    <t>Idem, em porcelanato vidrado retificado 33x8</t>
  </si>
  <si>
    <t>F-12.08.01.06.02.15</t>
  </si>
  <si>
    <t>Idem, extrudido não vidrado 11,5x24</t>
  </si>
  <si>
    <t>F-12.08.01.06.02.16</t>
  </si>
  <si>
    <t>Fornecimento e aplicação de mosaico vinílico 30x30</t>
  </si>
  <si>
    <t>F-12.08.01.06.02.17</t>
  </si>
  <si>
    <t>Idem, pavimento em manta vinílica com junta soldada com classificação UPEC U4P3</t>
  </si>
  <si>
    <t>F-12.08.01.06.02.18</t>
  </si>
  <si>
    <t>Fornecimento e aplicação de mosaico em pedra Lioz com a espessura de 3 cm</t>
  </si>
  <si>
    <t>F-12.08.01.06.02.19</t>
  </si>
  <si>
    <t>Fornecimento e aplicação de mosaico em pedra de moleanos, com a espessura de 3 cm</t>
  </si>
  <si>
    <t>F-12.08.01.06.02.20</t>
  </si>
  <si>
    <t>Fornecimento e aplicação de pavimento flutuante com melamina da classe AC3 com 8 mm de espessura</t>
  </si>
  <si>
    <t>F-12.08.01.06.02.21</t>
  </si>
  <si>
    <t>Idem, da classe AC4</t>
  </si>
  <si>
    <t>F-12.08.01.06.02.22</t>
  </si>
  <si>
    <t>Idem da classe AC5 hidrófugo com 12 mm de espessura</t>
  </si>
  <si>
    <t>F-12.08.01.06.02.23</t>
  </si>
  <si>
    <t>Fornecimento e aplicação de perfis de remate para pavimento</t>
  </si>
  <si>
    <t>F-12.08.01.06.02.24</t>
  </si>
  <si>
    <t>Fornecimento e aplicação de rodapé em MDF com acabamento em melamina com 8 cm de altura</t>
  </si>
  <si>
    <t>F-12.08.01.06.02.25</t>
  </si>
  <si>
    <t>Fornecimento e aplicação de revestimento de pavimento em granito cinzala com 2cm de espessura e acabamento amaciado</t>
  </si>
  <si>
    <t>F-12.08.01.06.02.26</t>
  </si>
  <si>
    <t>Fornecimento e aplicação de rodapé em pedra de granito cinzala de acabamento polido com 2cm de espessura e 10cm de altura</t>
  </si>
  <si>
    <t>F-12.08.01.06.02.27</t>
  </si>
  <si>
    <t>Fornecimento e aplicação de revestimento de pavimento em granito branco de Alcains com 2cm de espessura e acabamento amaciado</t>
  </si>
  <si>
    <t>F-12.08.01.06.02.28</t>
  </si>
  <si>
    <t>Fornecimento e aplicação de revestimento de pavimento em granito branco vimieiro com 3cm de espessura e acabamento areado</t>
  </si>
  <si>
    <t>F-12.08.01.06.02.29</t>
  </si>
  <si>
    <t xml:space="preserve">Betumação de juntas de revestimentos </t>
  </si>
  <si>
    <t>F-12.08.01.06.02.30</t>
  </si>
  <si>
    <t>Renovação de betume em juntas de revestimentos incluindo remoção, raspagem e limpeza do suporte</t>
  </si>
  <si>
    <t>F-12.08.01.06.02.31</t>
  </si>
  <si>
    <t>Execução de pavimento técnico sobrelevado constituído por módulos 60x60 com acabamento vinílico incluindo estrutura metálica de pedestais ajustáveis e barras de travamento</t>
  </si>
  <si>
    <t>F-12.08.01.06.02.32</t>
  </si>
  <si>
    <t>Idem com acabamento em pedra natural</t>
  </si>
  <si>
    <t>F-12.08.01.06.02.33</t>
  </si>
  <si>
    <t>Idem com acabamento em parquet</t>
  </si>
  <si>
    <t>F-12.08.01.06.02.34</t>
  </si>
  <si>
    <t>Fornecimento e aplicação de pavimento vinílico autoportante (encaixe macho-fêmea) com dimensão 635x635 mm</t>
  </si>
  <si>
    <t>F-12.08.01.06.02.35</t>
  </si>
  <si>
    <t xml:space="preserve">Fornecimento e aplicação de pedestais amovíveis ajustáveis para estrutura metálica do pavimento sobrelevado </t>
  </si>
  <si>
    <t>F-12.08.01.07.</t>
  </si>
  <si>
    <t>Paredes e Tetos (Inclui a recolha, triagem, remoção, transporte a armazenamento preliminar e encaminhamento a destino final licenciado)</t>
  </si>
  <si>
    <t>F-12.08.01.07.01</t>
  </si>
  <si>
    <t>F-12.08.01.07.01.01</t>
  </si>
  <si>
    <t>Fornecimento e aplicação de emboço e reboco acabado esponjado em paredes interiores e exteriores com argamassa de cimento e areia ao traço 1:3</t>
  </si>
  <si>
    <t>F-12.08.01.07.01.02</t>
  </si>
  <si>
    <t>Fornecimento e aplicação de emboço e reboco acabado estanhado em paredes interiores e exteriores com argamassa de cimento e areia ao traço 1:3</t>
  </si>
  <si>
    <t>F-12.08.01.07.01.03</t>
  </si>
  <si>
    <r>
      <t>Fornecimento e aplicação</t>
    </r>
    <r>
      <rPr>
        <u/>
        <sz val="10"/>
        <rFont val="Calibri"/>
        <family val="2"/>
      </rPr>
      <t xml:space="preserve"> </t>
    </r>
    <r>
      <rPr>
        <sz val="10"/>
        <rFont val="Calibri"/>
        <family val="2"/>
      </rPr>
      <t>de emboço e reboco armado com rede de fibra de vidro ou outra rede sintética, acabado esponjado em paredes interiores e exteriores com argamassa de cimento e areia ao traço 1:3</t>
    </r>
  </si>
  <si>
    <t>F-12.08.01.07.01.04</t>
  </si>
  <si>
    <t>Idem com rede de aço galvanizado distendido.</t>
  </si>
  <si>
    <t>F-12.08.01.07.01.05</t>
  </si>
  <si>
    <t>Fornecimento e aplicação  de rebocos à base de cal, com cal hidráulica, cal viva e cal lafarge.</t>
  </si>
  <si>
    <t>F-12.08.01.07.01.06</t>
  </si>
  <si>
    <t>Fornecimento e aplicação de emboço e reboco com argamassa bastarda à base de cal e cimento.</t>
  </si>
  <si>
    <t>F-12.08.01.07.01.07</t>
  </si>
  <si>
    <t>Idem em reboco armado com rede sintética.</t>
  </si>
  <si>
    <t>F-12.08.01.07.01.08</t>
  </si>
  <si>
    <t>Idem em reboco armado com rede de aço galvanizada.</t>
  </si>
  <si>
    <t>F-12.08.01.07.01.09</t>
  </si>
  <si>
    <t xml:space="preserve">Fornecimento e aplicação de barramento de igualização de betão e agente adesivo para argamassas à base de resinas sintéticas e cargas minerais em camadas entre 1 a 2 mm de espessura.
</t>
  </si>
  <si>
    <t>F-12.08.01.07.01.10</t>
  </si>
  <si>
    <t>Fornecimento e aplicação de barramento de selagem de poros e de regularização, com argamassa monocomponente à base de cimento e areias selecionadas, sílica de fumo e resinas sintéticas, em camadas de espessura de 1 a 5 mm.</t>
  </si>
  <si>
    <t>F-12.08.01.07.01.11</t>
  </si>
  <si>
    <r>
      <t>Fornecimento e aplicação</t>
    </r>
    <r>
      <rPr>
        <strike/>
        <sz val="10"/>
        <rFont val="Calibri"/>
        <family val="2"/>
      </rPr>
      <t xml:space="preserve"> </t>
    </r>
    <r>
      <rPr>
        <sz val="10"/>
        <rFont val="Calibri"/>
        <family val="2"/>
      </rPr>
      <t>de estuque em paredes</t>
    </r>
  </si>
  <si>
    <t>F-12.08.01.07.01.12</t>
  </si>
  <si>
    <t>Fornecimento e aplicação de azulejo brilhante, com as dimensões de 197mmx197mmx7,5mm</t>
  </si>
  <si>
    <t>F-12.08.01.07.01.13</t>
  </si>
  <si>
    <t>Idem,   com as dimensões de 197mmx97mmx5,8mm</t>
  </si>
  <si>
    <t>F-12.08.01.07.01.14</t>
  </si>
  <si>
    <r>
      <t xml:space="preserve">Idem,  </t>
    </r>
    <r>
      <rPr>
        <strike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com as dimensões de 147mmx147mmx5,8mm</t>
    </r>
  </si>
  <si>
    <t>F-12.08.01.07.01.15</t>
  </si>
  <si>
    <t>Fornecimento e aplicação  de azulejo mate,  com as dimensões de 197mmx197mmx7,5mm</t>
  </si>
  <si>
    <t>F-12.08.01.07.01.16</t>
  </si>
  <si>
    <t>Idem,  com as dimensões de 197mmx97mmx5,8mm</t>
  </si>
  <si>
    <t>F-12.08.01.07.01.17</t>
  </si>
  <si>
    <t>Idem, com as dimensões de 147mmx147mmx5,8mm</t>
  </si>
  <si>
    <t>F-12.08.01.07.01.18</t>
  </si>
  <si>
    <t xml:space="preserve">Fornecimento e aplicação de forras em placas de revestimento hidráulico com aspeto travertino romano cor creme, incluindo preparação do suporte, nivelamento e colagem, com placas 800x400x30mm. </t>
  </si>
  <si>
    <t>F-12.08.01.07.01.19</t>
  </si>
  <si>
    <t>Idem com placas 400x400x30mm</t>
  </si>
  <si>
    <t>F-12.08.01.07.01.20</t>
  </si>
  <si>
    <t>Idem com placas 400x200x30mm</t>
  </si>
  <si>
    <t>F-12.08.01.07.01.21</t>
  </si>
  <si>
    <t>Idem com placas 800x400x50mm</t>
  </si>
  <si>
    <t>F-12.08.01.07.01.22</t>
  </si>
  <si>
    <t>Idem com placas 500x500x20mm</t>
  </si>
  <si>
    <t>F-12.08.01.07.01.23</t>
  </si>
  <si>
    <t>Idem com placas 800x400x30mm com furação</t>
  </si>
  <si>
    <t>F-12.08.01.07.01.24</t>
  </si>
  <si>
    <t>Idem com placas bordadura 800x400mm</t>
  </si>
  <si>
    <t>F-12.08.01.07.01.25</t>
  </si>
  <si>
    <t>Reaplicação de forras de revestimento hidráulico</t>
  </si>
  <si>
    <t>F-12.08.01.07.01.26</t>
  </si>
  <si>
    <t xml:space="preserve">Fornecimento e aplicação de painéis  horários em azulejo, incluindo moldura, com as dimensões de 1,45 x 1,00 m </t>
  </si>
  <si>
    <t>F-12.08.01.07.01.27</t>
  </si>
  <si>
    <t>Fornecimento e montagem de paredes divisórias interiores, constituidas por gesso cartonado e perfis de aço, de perfil 100/600(mm) cx.isol. 70mm - (15+70+15), com isolamento</t>
  </si>
  <si>
    <t>F-12.08.01.07.01.28</t>
  </si>
  <si>
    <t>Idem, hidrofugado</t>
  </si>
  <si>
    <t>F-12.08.01.07.01.29</t>
  </si>
  <si>
    <t>Fornecimento e montagem de paredes divisórias interiores, constituidas por gesso cartonado e perfis de aço, de perfil 84/400(mm) cx. Isol. 46mm - (19+46+19), com isolamento</t>
  </si>
  <si>
    <t>F-12.08.01.07.01.30</t>
  </si>
  <si>
    <t>F-12.08.01.07.01.31</t>
  </si>
  <si>
    <t>Fornecimento e montagem de paredes divisórias interiores,  constituidas por gesso cartonado e perfis de aço, de perfil  72/600(mm) cx. Isol. 34mm - (19+34+19), com isolamento</t>
  </si>
  <si>
    <t>F-12.08.01.07.01.32</t>
  </si>
  <si>
    <t>F-12.08.01.07.01.33</t>
  </si>
  <si>
    <t>Fornecimento e montagem  de paredes divisórias interiores, constituidas por gesso cartonado e perfis de aço, de perfil 84/400(mm) cx. 46mm - (19+46+19), sem isolamento</t>
  </si>
  <si>
    <t>F-12.08.01.07.01.34</t>
  </si>
  <si>
    <t>Fornecimento e montagem  de paredes divisórias interiores, constituidas por gesso cartonado e perfis de aço, de perfil  72/600(mm) cx. 34mm - (19+34+19), sem isolamento</t>
  </si>
  <si>
    <t>F-12.08.01.07.01.35</t>
  </si>
  <si>
    <t>Fornecimento e montagem de revestimento em painéis hPL compacto  alta pressão  com 8 mm de espessura</t>
  </si>
  <si>
    <t>F-12.08.01.07.01.36</t>
  </si>
  <si>
    <t>Fornecimento e montagem de revestimento em painéis aglomerado de fibras de alta densidade, com 9 mm de espessura</t>
  </si>
  <si>
    <t>F-12.08.01.07.01.37</t>
  </si>
  <si>
    <t>Idem em estrutura já existente</t>
  </si>
  <si>
    <t>F-12.08.01.07.01.38</t>
  </si>
  <si>
    <t xml:space="preserve">Fornecimento e montagem  de revestimento de parede em painéis de aglomerado de madeira e betão </t>
  </si>
  <si>
    <t>F-12.08.01.07.01.39</t>
  </si>
  <si>
    <t xml:space="preserve">Fornecimento e montagem de revestimento de parede em painéis compósitos constituído por duas chapas de alumínio com núcleo mineral ou polietileno, com espessura total de 4mm </t>
  </si>
  <si>
    <t>F-12.08.01.07.01.40</t>
  </si>
  <si>
    <t>Idem, a aplicar em estrutura de suporte existente</t>
  </si>
  <si>
    <t>F-12.08.01.07.01.41</t>
  </si>
  <si>
    <t xml:space="preserve">Fornecimento e montagem de revestimento de parede em painéis compósitos constituído por duas chapas de alumínio com núcleo mineral ou polietileno, com espessura total de 8mm </t>
  </si>
  <si>
    <t>F-12.08.01.07.01.42</t>
  </si>
  <si>
    <t>F-12.08.01.07.01.43</t>
  </si>
  <si>
    <t>Fornecimento e  aplicação de revestimento de parede em granito cinzala com 3cm de espessura e acabamento amaciado</t>
  </si>
  <si>
    <t>F-12.08.01.07.01.44</t>
  </si>
  <si>
    <t>Fornecimento e aplicação de revestimento de parede em pedra de ardósia negra com 2cm de espessura e acabamento amaciado</t>
  </si>
  <si>
    <t>F-12.08.01.07.01.45</t>
  </si>
  <si>
    <t>Fornecimento e instalação de mosaico de vidro</t>
  </si>
  <si>
    <t>F-12.08.01.07.01.46</t>
  </si>
  <si>
    <t>Fornecimento e aplicação de mosaico em pastilha cerâmica</t>
  </si>
  <si>
    <t>F-12.08.01.07.01.47</t>
  </si>
  <si>
    <t>Fornecimento e assentamento de revestimento em sistema capote XPS, ou equivalente, com 60 mm de espessura</t>
  </si>
  <si>
    <t>F-12.08.01.07.01.48</t>
  </si>
  <si>
    <t>Fornecimento e montagem de paineis fenólico em paredes divisórias</t>
  </si>
  <si>
    <t>F-12.08.01.07.01.49</t>
  </si>
  <si>
    <t>Fornecimento e montagem de placas OSB, a aplicar em suporte existente, categoria 2 e com 10mm de espessura</t>
  </si>
  <si>
    <t>F-12.08.01.07.01.50</t>
  </si>
  <si>
    <t>Idem com 12mm de espessura</t>
  </si>
  <si>
    <t>F-12.08.01.07.01.51</t>
  </si>
  <si>
    <t>Idem com 15mm de espessura</t>
  </si>
  <si>
    <t>F-12.08.01.07.01.52</t>
  </si>
  <si>
    <t>Idem com 18mm de espessura</t>
  </si>
  <si>
    <t>F-12.08.01.07.01.53</t>
  </si>
  <si>
    <t>Idem com 22mm de espessura</t>
  </si>
  <si>
    <t>F-12.08.01.07.01.54</t>
  </si>
  <si>
    <t>Fornecimento e montagem  de placas OSB, a aplicar em suporte existente, categoria 3 e com 10mm de espessura</t>
  </si>
  <si>
    <t>F-12.08.01.07.01.55</t>
  </si>
  <si>
    <t>F-12.08.01.07.01.56</t>
  </si>
  <si>
    <t>F-12.08.01.07.01.57</t>
  </si>
  <si>
    <t>F-12.08.01.07.01.58</t>
  </si>
  <si>
    <t>F-12.08.01.07.01.59</t>
  </si>
  <si>
    <t>Fornecimento e montagem de painéis compósito de madeira e cimento com 8mm de espessura</t>
  </si>
  <si>
    <t>F-12.08.01.07.01.60</t>
  </si>
  <si>
    <t>Idem, com a espessura de 10mm.</t>
  </si>
  <si>
    <t>F-12.08.01.07.01.61</t>
  </si>
  <si>
    <t>Idem, com a espessura de 12mm.</t>
  </si>
  <si>
    <t>F-12.08.01.07.01.62</t>
  </si>
  <si>
    <t>Idem, com a espessura de 16mm na cor cinza</t>
  </si>
  <si>
    <t>F-12.08.01.07.01.63</t>
  </si>
  <si>
    <t>Idem, com a espessura de 16mm na cor preta</t>
  </si>
  <si>
    <t>F-12.08.01.07.01.64</t>
  </si>
  <si>
    <t>Fornecimento e montagem de placas de contraplacado marítimo a aplicar em suporte existente, com 6 mm de espessura</t>
  </si>
  <si>
    <t>F-12.08.01.07.01.65</t>
  </si>
  <si>
    <t>Idem com 8mm de espessura</t>
  </si>
  <si>
    <t>F-12.08.01.07.01.66</t>
  </si>
  <si>
    <t>Idem com 10mm de espessura</t>
  </si>
  <si>
    <t>F-12.08.01.07.01.67</t>
  </si>
  <si>
    <t>F-12.08.01.07.01.68</t>
  </si>
  <si>
    <t>F-12.08.01.07.01.69</t>
  </si>
  <si>
    <t>F-12.08.01.07.01.70</t>
  </si>
  <si>
    <t>Idem com 21mm de espessura</t>
  </si>
  <si>
    <t>F-12.08.01.07.01.71</t>
  </si>
  <si>
    <t>Fornecimento e montagem de painéis sandwich de fachada, nervurado, composto por chapa de 0,60mm e chapa de 0,40mm da classe S250GZD com revestimento a zinco e posterior revestimento colorido nas faces exteriores e núcleo de isolamento térmico em PIR, com espessura total de 40mm</t>
  </si>
  <si>
    <t>F-12.08.01.07.01.72</t>
  </si>
  <si>
    <t>Idem com espessura total de 50mm</t>
  </si>
  <si>
    <t>F-12.08.01.07.01.73</t>
  </si>
  <si>
    <t>Idem com espessura total de 60mm</t>
  </si>
  <si>
    <t>F-12.08.01.07.01.74</t>
  </si>
  <si>
    <t>Idem com espessura total de 80mm</t>
  </si>
  <si>
    <t>F-12.08.01.07.01.75</t>
  </si>
  <si>
    <t>Idem com espessura total de 100mm</t>
  </si>
  <si>
    <t>F-12.08.01.07.01.76</t>
  </si>
  <si>
    <t>Fornecimento e montagem de painéis sandwich de fachada, perfilado composto por chapa de 0,50mm e chapa de 0,40mm da classe S250GZD com revestimento a zinco e posterior revestimento colorido nas faces exteriores e núcleo de isolamento térmico em PIR, com espessura total de 40mm</t>
  </si>
  <si>
    <t>F-12.08.01.07.01.77</t>
  </si>
  <si>
    <t>F-12.08.01.07.01.78</t>
  </si>
  <si>
    <t>F-12.08.01.07.01.79</t>
  </si>
  <si>
    <t>F-12.08.01.07.01.80</t>
  </si>
  <si>
    <t>F-12.08.01.07.01.81</t>
  </si>
  <si>
    <t>Fornecimento e montagem de painéis sandwich de fachada, liso, composto por chapa de 0,60mm e chapa de 0,40mm da classe S250GZD com revestimento a zinco e posterior revestimento colorido nas faces exteriores e núcleo de isolamento térmico em PIR, com espessura total de 40mm</t>
  </si>
  <si>
    <t>F-12.08.01.07.01.82</t>
  </si>
  <si>
    <t>F-12.08.01.07.01.83</t>
  </si>
  <si>
    <t>F-12.08.01.07.01.84</t>
  </si>
  <si>
    <t>F-12.08.01.07.01.85</t>
  </si>
  <si>
    <t>F-12.08.01.07.01.86</t>
  </si>
  <si>
    <t>Fornecimento e montagem de painéis de aço S250GD de perfil trapezoidal em fachadas em estrutura existente, pré-lacado sobre galvanização de 140gr/m2, revestido a 55microns de HDX e 12 microns de epoxy, com 0,5mm de espessura.</t>
  </si>
  <si>
    <t>F-12.08.01.07.01.87</t>
  </si>
  <si>
    <t>Idem com 0,6mm de espessura.</t>
  </si>
  <si>
    <t>F-12.08.01.07.01.88</t>
  </si>
  <si>
    <t>Idem com 0,8mm de espessura.</t>
  </si>
  <si>
    <t>F-12.08.01.07.02.</t>
  </si>
  <si>
    <t>F-12.08.01.07.02.01</t>
  </si>
  <si>
    <t>Fornecimento e aplicação de emboço e reboco acabado esponjado em tetos interiores e exteriores com argamassa de cimento e areia ao traço 1:3</t>
  </si>
  <si>
    <t>F-12.08.01.07.02.02</t>
  </si>
  <si>
    <t>Fornecimento e aplicação de emboço e reboco acabado estanhado em tetos interiores e exteriores com argamassa de cimento e areia ao traço 1:3</t>
  </si>
  <si>
    <t>F-12.08.01.07.02.03</t>
  </si>
  <si>
    <t>Fornecimento e aplicação de estuque em tetos</t>
  </si>
  <si>
    <t>F-12.08.01.07.02.04</t>
  </si>
  <si>
    <t xml:space="preserve">Fornecimento e montagem de teto falso continuo em gesso cartonado  </t>
  </si>
  <si>
    <t>F-12.08.01.07.02.05</t>
  </si>
  <si>
    <t>Idem em gesso hidrófugo</t>
  </si>
  <si>
    <t>F-12.08.01.07.02.06</t>
  </si>
  <si>
    <t>Idem em placas microperfuradas</t>
  </si>
  <si>
    <t>F-12.08.01.07.02.07</t>
  </si>
  <si>
    <t>Fornecimento e montagem de teto falso acessivel em placas de gesso</t>
  </si>
  <si>
    <t>F-12.08.01.07.02.08</t>
  </si>
  <si>
    <t>Idem, em placas perfuradas</t>
  </si>
  <si>
    <t>F-12.08.01.07.02.09</t>
  </si>
  <si>
    <t>Fornecimento e montagem de teto falso em chapa de alumínio microperfurado</t>
  </si>
  <si>
    <t>F-12.08.01.07.02.10</t>
  </si>
  <si>
    <t>Idem, em chapa de alumínio</t>
  </si>
  <si>
    <t>F-12.08.01.07.02.11</t>
  </si>
  <si>
    <t>Idem, com lâminas de alumínio verticais</t>
  </si>
  <si>
    <t>F-12.08.01.07.02.12</t>
  </si>
  <si>
    <t>Reparação de emboço e reboco acabado esponjado em tetos interiores com argamassa de cimento e areia ao traço 1:3</t>
  </si>
  <si>
    <t>F-12.08.01.07.02.13</t>
  </si>
  <si>
    <t>Idem, acabado estanhado</t>
  </si>
  <si>
    <t>F-12.08.01.07.02.14</t>
  </si>
  <si>
    <t>Idem, em estuque</t>
  </si>
  <si>
    <t>F-12.08.01.07.02.15</t>
  </si>
  <si>
    <t xml:space="preserve">Reparação de teto falso continuo em gesso cartonado  </t>
  </si>
  <si>
    <t>F-12.08.01.07.02.16</t>
  </si>
  <si>
    <t>Idem , gesso hidrófugo</t>
  </si>
  <si>
    <t>F-12.08.01.07.02.17</t>
  </si>
  <si>
    <t>Reparação de teto falso acessivel em placas de gesso</t>
  </si>
  <si>
    <t>F-12.08.01.07.02.18</t>
  </si>
  <si>
    <t>F-12.08.01.07.02.19</t>
  </si>
  <si>
    <t>Reparação de teto falso em chapa de alumínio microperfurado</t>
  </si>
  <si>
    <t>F-12.08.01.07.02.20</t>
  </si>
  <si>
    <t>F-12.08.01.07.02.21</t>
  </si>
  <si>
    <t>F-12.08.01.07.02.22</t>
  </si>
  <si>
    <t>Reparação de teto de estafe</t>
  </si>
  <si>
    <t>F-12.08.01.07.02.23</t>
  </si>
  <si>
    <t>Projeção de fibras de celulose de cor branco ou cinza, com 19mm de espessura</t>
  </si>
  <si>
    <t>F-12.08.01.08</t>
  </si>
  <si>
    <t>Carpintarias. Vidros e Serralharias (Inclui a recolha, triagem, remoção e transporte dos materiais com potencial de reutilização/ valorizáveis a local designado pela Fiscalização ou recolha, triagem, remoção, transporte a armazenamento preliminar e encaminhamento a destino final licenciado)</t>
  </si>
  <si>
    <t>F-12.08.01.08.01</t>
  </si>
  <si>
    <t>Carpintarias</t>
  </si>
  <si>
    <t>F-12.08.01.08.01.01</t>
  </si>
  <si>
    <t>Pavimentos e Rodapés</t>
  </si>
  <si>
    <t>F-12.08.01.08.01.01.01.</t>
  </si>
  <si>
    <t>Fornecimento e montagem de vigamento de pinho em pavimentos de soalho</t>
  </si>
  <si>
    <t>F-12.08.01.08.01.01.02</t>
  </si>
  <si>
    <t>Fornecimento e montagem de grade de barrotes de pinho embebidas em betonilha para soalho</t>
  </si>
  <si>
    <t>F-12.08.01.08.01.01.03</t>
  </si>
  <si>
    <t>Idem, soalho de pinho novo com 2,2 a 3,3 cm de espessura</t>
  </si>
  <si>
    <t>F-12.08.01.08.01.01.04</t>
  </si>
  <si>
    <t>Fornecimento e aplicação de tacos de pinho em pavimento</t>
  </si>
  <si>
    <t>F-12.08.01.08.01.01.05</t>
  </si>
  <si>
    <t>Idem, parquet de pinho em pavimentos</t>
  </si>
  <si>
    <t>F-12.08.01.08.01.01.06</t>
  </si>
  <si>
    <t>Idem, parquet de madeira exótica em pavimentos</t>
  </si>
  <si>
    <t>F-12.08.01.08.01.01.07</t>
  </si>
  <si>
    <t>Fornecimento e aplicação de rodapé moldado em madeira exótica de até 10cm de altura</t>
  </si>
  <si>
    <t>F-12.08.01.08.01.01.08</t>
  </si>
  <si>
    <t>Idem, rodapé moldado em pinho de até 10cm de altura</t>
  </si>
  <si>
    <t>F-12.08.01.08.01.01.09</t>
  </si>
  <si>
    <t>Idem, rodapé moldado em aluminio de até 10cm de altura</t>
  </si>
  <si>
    <t>F-12.08.01.08.01.01.10</t>
  </si>
  <si>
    <t>Afagamento de pavimento de madeira de diversa natureza</t>
  </si>
  <si>
    <t>F-12.08.01.08.01.01.11</t>
  </si>
  <si>
    <t>Fornecimento e aplicação  de degrau (espelho) de escada em madeira tratada, com a espessura de 30mm</t>
  </si>
  <si>
    <t>F-12.08.01.08.01.01.12</t>
  </si>
  <si>
    <t>Fornecimento e aplicação de degrau (cobertor) de escada em madeira  tratada, com a espessura de 30mm</t>
  </si>
  <si>
    <t>F-12.08.01.08.01.02</t>
  </si>
  <si>
    <t>Paredes e Tetos</t>
  </si>
  <si>
    <t>F-12.08.01.08.01.02.01</t>
  </si>
  <si>
    <t>Fornecimento e aplicação de grade de barrotes de pinho em tetos para forrar</t>
  </si>
  <si>
    <t>F-12.08.01.08.01.02.02</t>
  </si>
  <si>
    <t>Idem, forro de madeira de pinho em tetos</t>
  </si>
  <si>
    <t>F-12.08.01.08.01.02.03</t>
  </si>
  <si>
    <t>Fornecimento e aplicação de madres em estruturas de telhados</t>
  </si>
  <si>
    <t>F-12.08.01.08.01.02.04</t>
  </si>
  <si>
    <t>Fornecimento e aplicação de frechais em estruturas de telhados</t>
  </si>
  <si>
    <t>F-12.08.01.08.01.02.05</t>
  </si>
  <si>
    <t>Fornecimento e aplicação de varedo de barrotes de pinho para cobertura</t>
  </si>
  <si>
    <t>F-12.08.01.08.01.02.06</t>
  </si>
  <si>
    <t>Fornecimento e aplicação de ripado de pinho para cobertura</t>
  </si>
  <si>
    <t>F-12.08.01.08.01.02.07</t>
  </si>
  <si>
    <t>Fornecimento e aplicação de ripado de PVC para cobertura</t>
  </si>
  <si>
    <t>F-12.08.01.08.01.02.08</t>
  </si>
  <si>
    <t>Fornecimento e aplicação de ripado metálico perfurado para cobertura</t>
  </si>
  <si>
    <t>F-12.08.01.08.01.02.09</t>
  </si>
  <si>
    <t>Fornecimento e aplicação de vigas de madeira de pinho bravo de qualidade estrutural em asnas de madeira e outras peças estruturais</t>
  </si>
  <si>
    <t>F-12.08.01.08.01.02.10</t>
  </si>
  <si>
    <t>Fornecimento e aplicação de vigas em madeira de casquinha de qualidade estrutural em asnas de madeira e outras peças estruturais</t>
  </si>
  <si>
    <t>F-12.08.01.08.01.02.11</t>
  </si>
  <si>
    <t>Fornecimento e aplicação de vigas de madeira lamelada de qualidade estrutural em asnas de madeira e outras peças estruturais</t>
  </si>
  <si>
    <t>F-12.08.01.08.01.02.12</t>
  </si>
  <si>
    <t>Fornecimento e aplicação de pés da galinha, tês, braçadeiras ou cintagem em aço aplicadas em asnas de madeira.</t>
  </si>
  <si>
    <t>F-12.08.01.08.01.02.13</t>
  </si>
  <si>
    <t>Fornecimento e aplicação de próteses em madeira, em ligação estrutural, com elementos metálicos.</t>
  </si>
  <si>
    <t>F-12.08.01.08.01.02.14</t>
  </si>
  <si>
    <t>Fornecimento e aplicação de próteses em madeira com colagem estrutural em elementos de madeira parcialmente inseridos em parede</t>
  </si>
  <si>
    <t>F-12.08.01.08.01.02.15</t>
  </si>
  <si>
    <t>Fornecimento e aplicação de próteses em argamassa epoxídica em elementos de madeira parcialmente inseridos em parede</t>
  </si>
  <si>
    <t>F-12.08.01.08.01.03</t>
  </si>
  <si>
    <t>Portas e Janelas</t>
  </si>
  <si>
    <t>F-12.08.01.08.01.03.01</t>
  </si>
  <si>
    <t>Fornecimento e aplicação de portas (interiores) novas, tipo almofadadas em madeira de pinho</t>
  </si>
  <si>
    <t>F-12.08.01.08.01.03.02</t>
  </si>
  <si>
    <t>Idem, tipo pré-fabricadas e folheadas em madeira exótica</t>
  </si>
  <si>
    <t>F-12.08.01.08.01.03.03</t>
  </si>
  <si>
    <t>Idem, tipo engradadas envidraçadas em madeira exótica</t>
  </si>
  <si>
    <t>F-12.08.01.08.01.03.04</t>
  </si>
  <si>
    <t>Fornecimento e aplicação de porta exterior em madeira de casquinha ou niagon</t>
  </si>
  <si>
    <t>F-12.08.01.08.01.03.05</t>
  </si>
  <si>
    <t>Fornecimento e aplicação de vãos de porta interior alveolar em mogno ou tola</t>
  </si>
  <si>
    <t>F-12.08.01.08.01.03.06</t>
  </si>
  <si>
    <t xml:space="preserve">Fornecimento e aplicação de aros de gola ou de aduela em madeira </t>
  </si>
  <si>
    <t>F-12.08.01.08.01.03.07</t>
  </si>
  <si>
    <t>Fornecimento e aplicação de guarnição de vãos em aros</t>
  </si>
  <si>
    <t>F-12.08.01.08.01.03.08</t>
  </si>
  <si>
    <t>Fornecimento e aplicação de caixilhos de janela em madeira  com vidros</t>
  </si>
  <si>
    <t>F-12.08.01.08.01.03.09</t>
  </si>
  <si>
    <t>Fornecimento e aplicação de janelas em madeira de casquinha, tipo engradadas, envidraçadas</t>
  </si>
  <si>
    <t>F-12.08.01.08.01.03.10</t>
  </si>
  <si>
    <t>Fornecimento e aplicação de portadas em contraplacado folheado</t>
  </si>
  <si>
    <t>F-12.08.01.08.01.03.11</t>
  </si>
  <si>
    <t>Reparação com substituição de madeiras em portas</t>
  </si>
  <si>
    <t>F-12.08.01.08.01.03.12</t>
  </si>
  <si>
    <t>Reparação com substituição de madeiras em janelas</t>
  </si>
  <si>
    <t>F-12.08.01.08.01.04</t>
  </si>
  <si>
    <t>Mobiliário</t>
  </si>
  <si>
    <t>F-12.08.01.08.01.04.01</t>
  </si>
  <si>
    <t xml:space="preserve">Fornecimento e montagem de armário de cozinha em laminado </t>
  </si>
  <si>
    <t>F-12.08.01.08.01.04.02</t>
  </si>
  <si>
    <t>Idem, com acabamento folheado</t>
  </si>
  <si>
    <t>F-12.08.01.08.01.04.03</t>
  </si>
  <si>
    <t>Fornecimento e montagem de prateleiras em madeira com instalação de suportes de parede</t>
  </si>
  <si>
    <t>F-12.08.01.08.02</t>
  </si>
  <si>
    <t>Ferragens</t>
  </si>
  <si>
    <t>F-12.08.01.08.02.01</t>
  </si>
  <si>
    <t>Fornecimento e aplicação de fechaduras de sobrepor tipo yale</t>
  </si>
  <si>
    <t>F-12.08.01.08.02.02</t>
  </si>
  <si>
    <t>Idem, para fechaduras de sobrepor tipo inglês</t>
  </si>
  <si>
    <t>F-12.08.01.08.02.03</t>
  </si>
  <si>
    <t>Idem, para fechaduras de sobrepor tipo francês</t>
  </si>
  <si>
    <t>F-12.08.01.08.02.04</t>
  </si>
  <si>
    <t>Idem, para fechaduras de embeber tipo yale</t>
  </si>
  <si>
    <t>F-12.08.01.08.02.05</t>
  </si>
  <si>
    <t>Idem, para fechaduras de embeber tipo francês</t>
  </si>
  <si>
    <t>F-12.08.01.08.02.06</t>
  </si>
  <si>
    <t>Idem, para fechaduras tubulares completas</t>
  </si>
  <si>
    <t>F-12.08.01.08.02.07</t>
  </si>
  <si>
    <t>Idem, para puxadores metálicos (pares)</t>
  </si>
  <si>
    <t>F-12.08.01.08.02.08</t>
  </si>
  <si>
    <t>Idem, para fechos de correr</t>
  </si>
  <si>
    <t>F-12.08.01.08.02.09</t>
  </si>
  <si>
    <t>Idem, para cremonas cromadas e respetivas barrinhas</t>
  </si>
  <si>
    <t>F-12.08.01.08.02.10</t>
  </si>
  <si>
    <t>Reparação de fechaduras encravadas de diversos tipos</t>
  </si>
  <si>
    <t>F-12.08.01.08.02.11</t>
  </si>
  <si>
    <t>Fornecimento e aplicação de canhão de fechadura de sobrepor de qualquer tipo</t>
  </si>
  <si>
    <t>F-12.08.01.08.02.12</t>
  </si>
  <si>
    <t>Idem, de embeber</t>
  </si>
  <si>
    <t>F-12.08.01.08.02.13</t>
  </si>
  <si>
    <t>Idem, com modelo de chave tipo IP</t>
  </si>
  <si>
    <t>F-12.08.01.08.02.14</t>
  </si>
  <si>
    <t>Fornecimento e aplicação de fechadura de 4 entradas</t>
  </si>
  <si>
    <t>F-12.08.01.08.02.15</t>
  </si>
  <si>
    <t>Idem, de  fechadura de 4 entradas com tranca</t>
  </si>
  <si>
    <t>F-12.08.01.08.02.16</t>
  </si>
  <si>
    <t>Idem,  de  fechadura de 2 entradas</t>
  </si>
  <si>
    <t>F-12.08.01.08.02.17</t>
  </si>
  <si>
    <t>Idem,  de fechadura de 2 entradas com tranca</t>
  </si>
  <si>
    <t>F-12.08.01.08.02.18</t>
  </si>
  <si>
    <t>Fornecimento e aplicação de fechaduras à face, simples, elétrica</t>
  </si>
  <si>
    <t>F-12.08.01.08.02.19</t>
  </si>
  <si>
    <t>Fornecimento e aplicação de fechaduras de sobrepor, de alta segurança  com trancas</t>
  </si>
  <si>
    <t>F-12.08.01.08.02.20</t>
  </si>
  <si>
    <t>Fornecimento e aplicação de fechaduras moedeiras para instalações sanitárias.</t>
  </si>
  <si>
    <t>F-12.08.01.08.02.21</t>
  </si>
  <si>
    <t>Fornecimento e aplicação de fechaduras de alta segurança com chave telescópica universal (chave universal IP LBA)</t>
  </si>
  <si>
    <t>F-12.08.01.08.02.22</t>
  </si>
  <si>
    <t>Fornecimento e aplicação  de molas aéreas com amortecimento para portas.</t>
  </si>
  <si>
    <t>F-12.08.01.08.02.23</t>
  </si>
  <si>
    <t>Reparação de molas aéreas / de pavimento com amortecimento para portas.</t>
  </si>
  <si>
    <t>F-12.08.01.08.02.24</t>
  </si>
  <si>
    <t>Fornecimento e montagem  de mola de pavimento, reversível, com amortecimento para portas de vidro até 100 kg (inclusivé), incluindo levantamento de porta e mola</t>
  </si>
  <si>
    <t>F-12.08.01.08.02.25</t>
  </si>
  <si>
    <t>Idem, para portas de 100 kg  até 120 kg (inclusivé)</t>
  </si>
  <si>
    <t>F-12.08.01.08.02.26</t>
  </si>
  <si>
    <t>Idem,  para portas com peso de 120 kg até 300 kg (inclusivé)</t>
  </si>
  <si>
    <t>F-12.08.01.08.02.27</t>
  </si>
  <si>
    <t>Idem, para portas com peso superior a 300 kg</t>
  </si>
  <si>
    <t>F-12.08.01.08.02.28</t>
  </si>
  <si>
    <t>Fornecimento e montagem  de dobradiças em portas</t>
  </si>
  <si>
    <t>F-12.08.01.08.02.29</t>
  </si>
  <si>
    <t>Fornecimento e montagem de dobradiças em janelas</t>
  </si>
  <si>
    <t>F-12.08.01.08.02.30</t>
  </si>
  <si>
    <t>Fornecimento e aplicação de puxadores de alumínio anodizado (par)</t>
  </si>
  <si>
    <t>F-12.08.01.08.02.31</t>
  </si>
  <si>
    <t>Idem, puxadores em latão polido (par)</t>
  </si>
  <si>
    <t>F-12.08.01.08.02.32</t>
  </si>
  <si>
    <t>Idem, puxadores em inox polido (par)</t>
  </si>
  <si>
    <t>F-12.08.01.08.02.33</t>
  </si>
  <si>
    <t>Idem, fechos niquelados de 75mm</t>
  </si>
  <si>
    <t>F-12.08.01.08.02.34</t>
  </si>
  <si>
    <t>Idem, fechos niquelados de 100mm</t>
  </si>
  <si>
    <t>F-12.08.01.08.02.35</t>
  </si>
  <si>
    <t>Idem, fechos cromados de 75mm</t>
  </si>
  <si>
    <t>F-12.08.01.08.02.36</t>
  </si>
  <si>
    <t>Idem, fechos cromados de 100mm</t>
  </si>
  <si>
    <t>F-12.08.01.08.02.37</t>
  </si>
  <si>
    <t>Idem, fechos de correr de 110mm</t>
  </si>
  <si>
    <t>F-12.08.01.08.02.38</t>
  </si>
  <si>
    <t>Idem, fechos de correr de 220mm</t>
  </si>
  <si>
    <t>F-12.08.01.08.02.39</t>
  </si>
  <si>
    <t>Fornecimento e aplicação de ferragens especiais em portas de cais (fechaduras, lemes, fechos,  rodízios, etc.)</t>
  </si>
  <si>
    <t>F-12.08.01.08.02.40</t>
  </si>
  <si>
    <t>Fornecimento e aplicação  de dobradiças cromadas de leme ou balanço de 3" a 4"</t>
  </si>
  <si>
    <t>F-12.08.01.08.02.41</t>
  </si>
  <si>
    <t xml:space="preserve">Fornecimento e montagem de retentor de porta tipo travão </t>
  </si>
  <si>
    <t>F-12.08.01.08.02.42</t>
  </si>
  <si>
    <t>Fornecimento e aplicação de fecho livre/ocupado</t>
  </si>
  <si>
    <t>F-12.08.01.08.02.43</t>
  </si>
  <si>
    <t>Fornecimento e instalação de cadeados de segurança (chave universal IP) em portões, incluindo chave e corrente</t>
  </si>
  <si>
    <t>F-12.08.01.08.02.44</t>
  </si>
  <si>
    <t>Fornecimento e montagem de fechaduras (chave universal IP)  em portões de via, incluindo chave</t>
  </si>
  <si>
    <t>F-12.08.01.08.02.45</t>
  </si>
  <si>
    <t>Fornecimento e montagem de fechaduras em mobiliário de escritório</t>
  </si>
  <si>
    <t>F-12.08.01.08.02.46</t>
  </si>
  <si>
    <t>Fornecimento e montagem de puxadores em mobiliário de escritório</t>
  </si>
  <si>
    <t>F-12.08.01.08.02.47</t>
  </si>
  <si>
    <t>Lubrificação de ferragens de porta de uma ou duas folhas, incluindo dobradiças, pivots, fechaduras, ferrolhos, fechos, braços, entre outros, com lubrificante a aprovar pela fiscalização</t>
  </si>
  <si>
    <t>F-12.08.01.08.02.48</t>
  </si>
  <si>
    <t>Fornecimento e aplicação  de testa ou  de contra testa para fechaduras de sobrepor</t>
  </si>
  <si>
    <t>F-12.08.01.08.02.49</t>
  </si>
  <si>
    <t>Fornecimento e aplicação  de testa ou contra testa para fechaduras de embeber</t>
  </si>
  <si>
    <t>F-12.08.01.08.02.50</t>
  </si>
  <si>
    <t>Fornecimento e aplicação de fechadura de embeber para cubículos sanitários, com sinalizador livre/ocupado</t>
  </si>
  <si>
    <t>F-12.08.01.08.02.51</t>
  </si>
  <si>
    <t>Fornecimento e aplicação de puxadores tubulares (par ) em aço inox acabamento escovado, com 40mm de diâmetro</t>
  </si>
  <si>
    <t>F-12.08.01.08.02.52</t>
  </si>
  <si>
    <t>Fornecimento e aplicação de dobradiças em aço inox para portas de vidro.</t>
  </si>
  <si>
    <t>F-12.08.01.08.02.53</t>
  </si>
  <si>
    <t>Fornecimento e aplicação de fechaduras em aço inox para portas de vidro.</t>
  </si>
  <si>
    <t>F-12.08.01.08.02.54</t>
  </si>
  <si>
    <t>Fornecimento e aplicação de puxadores em aço inox para portas de vidro.</t>
  </si>
  <si>
    <t>F-12.08.01.08.02.55</t>
  </si>
  <si>
    <t>Fornecimento e aplicação de braços superiores ou inferiores em aço inox para portas de vidro.</t>
  </si>
  <si>
    <t>F-12.08.01.08.02.56</t>
  </si>
  <si>
    <t>Fornecimento e aplicação de batentes de chão em portas</t>
  </si>
  <si>
    <t>F-12.08.01.08.02.57</t>
  </si>
  <si>
    <t>Execução de cópia de chave fornecida pela IP do tipo Yale</t>
  </si>
  <si>
    <t>F-12.08.01.08.02.58</t>
  </si>
  <si>
    <t>Idem do tipo Palheta ou Palhetão</t>
  </si>
  <si>
    <t>F-12.08.01.08.02.59</t>
  </si>
  <si>
    <t>Idem do tipo de segurança horizontal</t>
  </si>
  <si>
    <t>F-12.08.01.08.02.60</t>
  </si>
  <si>
    <t>Idem do tipo cruz</t>
  </si>
  <si>
    <t>F-12.08.01.08.03</t>
  </si>
  <si>
    <t>Estores</t>
  </si>
  <si>
    <t>F-12.08.01.08.03.01</t>
  </si>
  <si>
    <t>Fornecimento e montagem de estores de lâminas horizontais 25mm orientáveis em alumínio</t>
  </si>
  <si>
    <t>F-12.08.01.08.03.02</t>
  </si>
  <si>
    <t>Idem, de 15mm</t>
  </si>
  <si>
    <t>F-12.08.01.08.03.03</t>
  </si>
  <si>
    <t>Idem, de 25mm em PVC</t>
  </si>
  <si>
    <t>F-12.08.01.08.03.04</t>
  </si>
  <si>
    <t>Idem, de 15mm em PVC</t>
  </si>
  <si>
    <t>F-12.08.01.08.03.05</t>
  </si>
  <si>
    <t>Fornecimento e montagem  de estores em bandas verticais orientáveis, em tecido 100% poliéster com 89mm de largura</t>
  </si>
  <si>
    <t>F-12.08.01.08.03.06</t>
  </si>
  <si>
    <t>Idem, em tela de PVC com  89mm de largura</t>
  </si>
  <si>
    <t>F-12.08.01.08.03.07</t>
  </si>
  <si>
    <t>Fornecimento e montagem de tela Blackout B2 (com comando de corrente desmultiplicada)</t>
  </si>
  <si>
    <t>F-12.08.01.08.03.08</t>
  </si>
  <si>
    <t>Idem, em tela Blackout B5</t>
  </si>
  <si>
    <t>F-12.08.01.08.03.09</t>
  </si>
  <si>
    <t>Idem, em polyester</t>
  </si>
  <si>
    <t>F-12.08.01.08.03.10</t>
  </si>
  <si>
    <t>Idem, em tecido composto por polyester e PVC</t>
  </si>
  <si>
    <t>F-12.08.01.08.03.11</t>
  </si>
  <si>
    <t>Idem, em screens</t>
  </si>
  <si>
    <t>F-12.08.01.08.03.12</t>
  </si>
  <si>
    <t>Fornecimento e montagem de tela Blackout B2 (com comando elétrico)</t>
  </si>
  <si>
    <t>F-12.08.01.08.03.13</t>
  </si>
  <si>
    <t>F-12.08.01.08.03.14</t>
  </si>
  <si>
    <t>F-12.08.01.08.03.15</t>
  </si>
  <si>
    <t>F-12.08.01.08.03.16</t>
  </si>
  <si>
    <t>F-12.08.01.08.03.17</t>
  </si>
  <si>
    <t xml:space="preserve">Fornecimento e montagem de caixa de estore pré-fabricada em poliestireno expandido de alta densidade, reforçada interiormente com uma estrutura de aço e revestida lateralmente por uma base de gesso mineral. As extremidades inferiores serão rematadas por perfis de aluminio com aba para alinhamento e sustentação do reboco. </t>
  </si>
  <si>
    <t>F-12.08.01.08.03.18</t>
  </si>
  <si>
    <t xml:space="preserve">Idem,  pré-fabricada em poliestireno expandido de alta densidade, concebida para qualquer tipo de estore com lâminas orientáveis de recolha vertical,  reforçada interiormente com varões  de aço no comprimento.  A base será dotada de perfis de aluminio tanto pelo interior como pelo exterior para suporte do reboco </t>
  </si>
  <si>
    <t>F-12.08.01.08.03.19</t>
  </si>
  <si>
    <t xml:space="preserve">Idem,  em aluminio perfilado com plastificação, incluindo o conjunto de componentes interiores  e o estore completo com medida até 250 cm largura  </t>
  </si>
  <si>
    <t>F-12.08.01.08.03.20</t>
  </si>
  <si>
    <t xml:space="preserve">Idem,  constituída por uma combinação de perfis de PVC, com as medidas 155, 185 e 200 mm. </t>
  </si>
  <si>
    <t>F-12.08.01.08.03.21</t>
  </si>
  <si>
    <t>Fornecimento e montagem de estore de enrolar com réguas curvas de alumínio perfilado de 55 mm, injetadas pelo  interior com espuma de poliuretano de propriedades termo acusticas na densidade 90 /100 kg/m3.</t>
  </si>
  <si>
    <t>F-12.08.01.08.03.22</t>
  </si>
  <si>
    <t>Fornecimento e montagem de estore exterior de enrolar em lâminas orientáveis.</t>
  </si>
  <si>
    <t>F-12.08.01.08.03.23</t>
  </si>
  <si>
    <t>Fornecimento e montagem de estore de enrolar com réguas de alumínio perfilado de 45 mm, injetadas pelo  interior com espuma de poliuretano de propriedades termo acusticas na densidade 90 /100 kg/m3</t>
  </si>
  <si>
    <t>F-12.08.01.08.03.24</t>
  </si>
  <si>
    <t>Fornecimento e montagem de estore de enrolar com réguas curvas de alumínio extrudido de alta segurança</t>
  </si>
  <si>
    <t>F-12.08.01.08.03.25</t>
  </si>
  <si>
    <t>Fornecimento e montagem  de fita e enrolador em estores</t>
  </si>
  <si>
    <t>F-12.08.01.08.03.26</t>
  </si>
  <si>
    <t>Fornecimento e aplicação de redes mosquiteiras</t>
  </si>
  <si>
    <t>F-12.08.01.08.04</t>
  </si>
  <si>
    <t>Sinalética</t>
  </si>
  <si>
    <t>F-12.08.01.08.04.01</t>
  </si>
  <si>
    <t>Fornecimento e montagem de painéis informativos em alumínio termolacado, de dimensão variável, em modulação de 0,30x0,30m, incluindo tela vinilica  - Unidade de referência por painel de modulação (0,30x0,30m)</t>
  </si>
  <si>
    <t>F-12.08.01.08.04.02</t>
  </si>
  <si>
    <t>Idem com dupla face</t>
  </si>
  <si>
    <t>F-12.08.01.08.04.03</t>
  </si>
  <si>
    <t>Fornecimento e montagem de estrutura de suporte para painéis em poste Ø 60 mm ,  até 3,5 metros de comprimento</t>
  </si>
  <si>
    <t>F-12.08.01.08.04.04</t>
  </si>
  <si>
    <t>Fornecimento e montagem de estrutura de suporte para painéis de pórtico</t>
  </si>
  <si>
    <t>F-12.08.01.08.04.05</t>
  </si>
  <si>
    <t>Fornecimento e montagem de painéis informativos em alumínio termolacado, de dimensão variável, em modulação de 0,15x0,15m incluindo tela vinilica - Unidade de referência por painel de modulação (0,15x0,15m)"</t>
  </si>
  <si>
    <t>F-12.08.01.08.04.06</t>
  </si>
  <si>
    <t>F-12.08.01.08.04.07</t>
  </si>
  <si>
    <t>Fornecimento e aplicação de sinalética em  tela de vinil autocolante</t>
  </si>
  <si>
    <t>F-12.08.01.08.04.08</t>
  </si>
  <si>
    <t>Fornecimento e aplicação  de  sinalizador de segurança em PVC rígido, fotoluminescente, com 100mmx200mm, de uma face</t>
  </si>
  <si>
    <t>F-12.08.01.08.04.09</t>
  </si>
  <si>
    <t>Idem, 150mm*300mm</t>
  </si>
  <si>
    <t>F-12.08.01.08.04.10</t>
  </si>
  <si>
    <t>Idem, 200mm*400mm</t>
  </si>
  <si>
    <t>F-12.08.01.08.04.11</t>
  </si>
  <si>
    <t>Execução de letras em argamassa, em alto relevo com 0,25mx0,20mx0,015mm</t>
  </si>
  <si>
    <t>F-12.08.01.08.04.12</t>
  </si>
  <si>
    <t xml:space="preserve">Pintura de logomarca IP, respeitando as características do Manual Técnico de Sinalética da IP </t>
  </si>
  <si>
    <t>F-12.08.01.08.04.13</t>
  </si>
  <si>
    <t>Fornecimento e montagem de logomarca IP em estações e apeadeiros  ferroviários (Rebranding)</t>
  </si>
  <si>
    <t>F-12.08.01.08.04.14</t>
  </si>
  <si>
    <t>Fornecimento e aplicação de esquema de pintura de pavimento  do símbolo "cadeira de rodas" (DL 163/2006, de 8 de Agosto)</t>
  </si>
  <si>
    <t>F-12.08.01.08.04.15</t>
  </si>
  <si>
    <t>Fornecimento e montagem de logomarca IP, em poliéster reforçado a fibra de vidro conforme especificações do Manual Técnico de Sinalética da IP</t>
  </si>
  <si>
    <t>F-12.08.01.08.04.16</t>
  </si>
  <si>
    <t>Fornecimento e montagem  de fixações com fitas abraçadeiras metálicas ou aparafusadas</t>
  </si>
  <si>
    <t>F-12.08.01.08.04.17</t>
  </si>
  <si>
    <t>Fornecimento e montagem de pernas de sinalética de fixação suspensa</t>
  </si>
  <si>
    <t>F-12.08.01.08.04.18</t>
  </si>
  <si>
    <t>Fornecimento e aplicação  de faixas  em película opaca em paineis transparentes, de acordo com a GR.IT.CCA.005</t>
  </si>
  <si>
    <t>F-12.08.01.08.04.19</t>
  </si>
  <si>
    <t>Fornecimento e aplicação de painel compósito constituído por duas chapas de alumínio com núcleo mineral ou polietileno, com espessura total até 4mm</t>
  </si>
  <si>
    <t>F-12.08.01.08.04.20</t>
  </si>
  <si>
    <t>Fornecimento e aplicação de painel compósito constituído por duas chapas de alumínio com núcleo mineral ou polietileno, com espessura total de 4mm, com lettering impresso com tecnologia UV</t>
  </si>
  <si>
    <t>F-12.08.01.08.04.21</t>
  </si>
  <si>
    <t>Fornecimento e aplicação de sinais rodoviários circulares de 60cm de diâmetro, em tela de pelicula  de transferência refletora sobre chapa de aço de 2mm, com moldagem por estampagem e aba lateral de 20mm, zincada e revestida a pó termoendurecível, incluindo estrutura de suporte completa:  tubo circular de 50mm metalizado por imersão a quente, charneiras, abraçadeiras, parafusos e porcas, tampões; bem como todos os demais trabalhos necessários. 
Em conformidade com o Decreto regulamentar 22A/98 e legislação em vigor</t>
  </si>
  <si>
    <t>F-12.08.01.08.04.22</t>
  </si>
  <si>
    <t>Fornecimento e aplicação de sinais rodoviários rectângulares de dimensão 66x82cm, em tela de pelicula  de transferência refletora, sobrepostos em chapa de aço de 2mm, com moldagem por estampagem e aba lateral de 20mm, zincada e revestida a pó termoendurecível, incluindo estrutura de suporte completa:  tubo circular de 50mm metalizado por imersão a quente, charneiras, abraçadeiras, parafusos e porcas, tampões; bem como todos os demais trabalhos necessários. 
Em conformidade com o Decreto regulamentar 22A/98 e legislação em vigor</t>
  </si>
  <si>
    <t>F-12.08.01.08.04.23</t>
  </si>
  <si>
    <t>Fornecimento e aplicação de sinais rodoviários triângulares, em tela de pelicula  de transferência refletora sobrepostos em chapa de aço de 2mm, com moldagem por estampagem e aba lateral de 20mm, zincada e revestida a pó termoendurecível, incluindo estrutura de suporte completa:  tubo circular de 50mm metalizado por imersão a quente, charneiras, abraçadeiras, parafusos e porcas, tampões; bem como todos os demais trabalhos necessários. 
Em conformidade com o Decreto regulamentar 22A/98 e legislação em vigor</t>
  </si>
  <si>
    <t>F-12.08.01.08.04.24</t>
  </si>
  <si>
    <t>Fornecimento e aplicação de painel de chamada de "Atenção para a Passagem de comboios", com dimensão de 500mmx600mm, em conformidade com o Manual Técnico de Sinalética da IP, incluindo estrutura de suporte completa: tubo circular de 50mm metalizado por imersão a quente, charneiras, abraçadeiras, parafusos e porcas, tampões; bem como todos os demais trabalhos necessários.</t>
  </si>
  <si>
    <t>F-12.08.01.08.04.25</t>
  </si>
  <si>
    <t>Fornecimento e aplicação de painel genérico de indicação de "Passagem Proibida em acessos às linhas", com dimensão de 400mmx500mm, em conformidade com o Manual Técnico de Sinalética da IP, incluindo estrutura de suporte completa: tubo circular de 50mm metalizado por imersão a quente, charneiras, abraçadeiras, parafusos e porcas, tampões; bem como todos os demais trabalhos necessários.</t>
  </si>
  <si>
    <t>F-12.08.01.08.04.26</t>
  </si>
  <si>
    <t>Fornecimento e aplicação de painel adicional aos sinais rodoviários.</t>
  </si>
  <si>
    <t>F-12.08.01.08.05</t>
  </si>
  <si>
    <t>Vidros</t>
  </si>
  <si>
    <t>F-12.08.01.08.05.01</t>
  </si>
  <si>
    <t>Fornecimento,  substituição e montagem  de vidros, com 4mm de espessura, em áreas inferiores ou igual a 1m2</t>
  </si>
  <si>
    <t>F-12.08.01.08.05.02</t>
  </si>
  <si>
    <t>Idem, com 6mm</t>
  </si>
  <si>
    <t>F-12.08.01.08.05.03</t>
  </si>
  <si>
    <t>Idem, com 8mm</t>
  </si>
  <si>
    <t>F-12.08.01.08.05.04</t>
  </si>
  <si>
    <t>Idem, com 10mm</t>
  </si>
  <si>
    <t>F-12.08.01.08.05.05</t>
  </si>
  <si>
    <t>Idem, com 4mm vidro fosco cruzado</t>
  </si>
  <si>
    <t>F-12.08.01.08.05.06</t>
  </si>
  <si>
    <t>Idem, com 4mm vidro fosco crepe</t>
  </si>
  <si>
    <t>F-12.08.01.08.05.07</t>
  </si>
  <si>
    <t>Idem, com vidro aramado</t>
  </si>
  <si>
    <t>F-12.08.01.08.05.08</t>
  </si>
  <si>
    <t>Idem, com vidro martelado</t>
  </si>
  <si>
    <t>F-12.08.01.08.05.09</t>
  </si>
  <si>
    <t>Fornecimento,  subsitutição e montagem de vidros, com 4mm de espessura,  em áreas superiores a 1m2</t>
  </si>
  <si>
    <t>F-12.08.01.08.05.10</t>
  </si>
  <si>
    <t>F-12.08.01.08.05.11</t>
  </si>
  <si>
    <t>F-12.08.01.08.05.12</t>
  </si>
  <si>
    <t>F-12.08.01.08.05.13</t>
  </si>
  <si>
    <t>F-12.08.01.08.05.14</t>
  </si>
  <si>
    <t>F-12.08.01.08.05.15</t>
  </si>
  <si>
    <t>F-12.08.01.08.05.16</t>
  </si>
  <si>
    <t>F-12.08.01.08.05.17</t>
  </si>
  <si>
    <t>Fornecimento,  substituição e montagem de vidros laminados 4mm+4mm, em áreas inferiores ou igual a 1m2</t>
  </si>
  <si>
    <t>F-12.08.01.08.05.18</t>
  </si>
  <si>
    <t>Idem, com 4mm+6mm</t>
  </si>
  <si>
    <t>F-12.08.01.08.05.19</t>
  </si>
  <si>
    <t>Idem, com 4mm+8mm</t>
  </si>
  <si>
    <t>F-12.08.01.08.05.20</t>
  </si>
  <si>
    <t>Idem, com 6mm+6mm</t>
  </si>
  <si>
    <t>F-12.08.01.08.05.21</t>
  </si>
  <si>
    <t>Idem, com 6mm+8mm</t>
  </si>
  <si>
    <t>F-12.08.01.08.05.22</t>
  </si>
  <si>
    <t>Idem, com 10mm+10mm</t>
  </si>
  <si>
    <t>F-12.08.01.08.05.23</t>
  </si>
  <si>
    <t>Idem, com 12mm+12mm</t>
  </si>
  <si>
    <t>F-12.08.01.08.05.24</t>
  </si>
  <si>
    <t>Fornecimento,  substituição e montagem de vidros laminados 4mm+4mm, em áreas superiores a 1m2</t>
  </si>
  <si>
    <t>F-12.08.01.08.05.25</t>
  </si>
  <si>
    <t>F-12.08.01.08.05.26</t>
  </si>
  <si>
    <t>F-12.08.01.08.05.27</t>
  </si>
  <si>
    <t>F-12.08.01.08.05.28</t>
  </si>
  <si>
    <t>F-12.08.01.08.05.29</t>
  </si>
  <si>
    <t>F-12.08.01.08.05.30</t>
  </si>
  <si>
    <t>F-12.08.01.08.05.31</t>
  </si>
  <si>
    <t>Fornecimento e aplicação de painéis de vidro temperado fosco com 10mm de espessura</t>
  </si>
  <si>
    <t>F-12.08.01.08.05.32</t>
  </si>
  <si>
    <t>Fornecimento e aplicação de painéis de vidro temperado bronze com 10mm de espessura</t>
  </si>
  <si>
    <t>F-12.08.01.08.05.33</t>
  </si>
  <si>
    <t>Fornecimento e aplicação de pelicula autocolante fosca/opaca anti reflectora em vidros.</t>
  </si>
  <si>
    <t>F-12.08.01.08.05.34</t>
  </si>
  <si>
    <t>Fornecimento e aplicação de película protetora e refletora em vidros cor prata, 19 % luz transmitida</t>
  </si>
  <si>
    <t>F-12.08.01.08.05.35</t>
  </si>
  <si>
    <t>Fornecimento e aplicação de película protetora e refletora em vidros cor prata, 38 % luz transmitida</t>
  </si>
  <si>
    <t>F-12.08.01.08.05.36</t>
  </si>
  <si>
    <t>Fornecimento e  aplicação de película protetora e semi-refletora em vidros cor prata, 20 % luz transmitida</t>
  </si>
  <si>
    <t>F-12.08.01.08.05.37</t>
  </si>
  <si>
    <t>Fornecimento e  aplicação de película protetora e semi-refletora em vidros cor prata, 36 % luz transmitida</t>
  </si>
  <si>
    <t>F-12.08.01.08.05.38</t>
  </si>
  <si>
    <t>Fornecimento e  aplicação de película protetora de raios UV em vidros translúcida, 86 % luz transmitida</t>
  </si>
  <si>
    <t>F-12.08.01.08.05.39</t>
  </si>
  <si>
    <t>Fornecimento e  aplicação de película protetora cerâmica em vidros cor neutra claro, 60 % luz transmitida</t>
  </si>
  <si>
    <t>F-12.08.01.08.05.40</t>
  </si>
  <si>
    <t>Fornecimento e  aplicação de folha de policarbonato compacto de revestimento duro com 4 mm de espessura, resistente aos impactos,  UV e abrasão</t>
  </si>
  <si>
    <t>F-12.08.01.08.05.41</t>
  </si>
  <si>
    <t>Idem, com 6mm de espessura</t>
  </si>
  <si>
    <t>F-12.08.01.08.05.42</t>
  </si>
  <si>
    <t>Idem, com 8mm de espessura</t>
  </si>
  <si>
    <t>F-12.08.01.08.05.43</t>
  </si>
  <si>
    <t>Idem, com 10mm de espessura</t>
  </si>
  <si>
    <t>F-12.08.01.08.05.44</t>
  </si>
  <si>
    <t>Idem, com 10mm de espessura cor bronze</t>
  </si>
  <si>
    <t>F-12.08.01.08.05.45</t>
  </si>
  <si>
    <t>Fornecimento e aplicação  de garras e/ou apoios em aço inoxidável de suporte para painéis de vidro.</t>
  </si>
  <si>
    <t>F-12.08.01.08.05.46</t>
  </si>
  <si>
    <t>Fornecimento, substituição e montagem de paineis de vidro duplo temperado e laminado em coberturas</t>
  </si>
  <si>
    <t>F-12.08.01.08.05.47</t>
  </si>
  <si>
    <t>Idem em fachadas</t>
  </si>
  <si>
    <t>F-12.08.01.08.05.48</t>
  </si>
  <si>
    <t>Idem em portas e janelas</t>
  </si>
  <si>
    <t>F-12.08.01.08.05.49</t>
  </si>
  <si>
    <t>Fornecimento,  substituição  e  montagem de vidro laminado temperado de controlo solar de alta tecnologia ao qual é adicionada uma película de controlo solar (50 μ de espessura) entre duas folhas de PVB , côr Azul, com 17 mm de espessura com butiral azul,  incluindo sistema de fixação em perfis metálicos DN406,4mm pintados à côr Ral 9010 e aranhas de fixação (entre painéis de vidro), bem como os respetivos meios de elevação.</t>
  </si>
  <si>
    <t>F-12.08.01.08.05.50</t>
  </si>
  <si>
    <t>Fornecimento, substituição e montagem de vidro laminado temperado de controlo solar de alta tecnologia ao qual é adicionada uma película de controlo solar (50 μ de espessura) entre duas folhas de PVB, cor Azul, com 17 mm de espessura com butiral azul igual ao existente, incluindo sistema de fixação e aranhas de fixação, remoção do existente, limpeza dos canais nos esquadros e preparação dos esquadros para receber novo vidro, transporte a destino final autorizado dos produtos sobrantes, e todos os trabalhos necessários.</t>
  </si>
  <si>
    <t>F-12.08.01.08.05.51</t>
  </si>
  <si>
    <t>Fornecimento, substituição  e montagem de vidros tipo vitral de diversas cores em áreas inferiores ou igual a 1m2</t>
  </si>
  <si>
    <t>F-12.08.01.08.05.52</t>
  </si>
  <si>
    <t xml:space="preserve">Fornecimento e aplicação em caixas de elevadores de vidro laminado temperado de segurança </t>
  </si>
  <si>
    <t>F-12.08.01.08.05.53</t>
  </si>
  <si>
    <t>Fornecimento,  substituição e montagem de vidros duplos, em áreas superiores a 1m2</t>
  </si>
  <si>
    <t>F-12.08.01.08.05.54</t>
  </si>
  <si>
    <t>Fornecimento, substituição e montagem de vidros duplos, em áreas inferiores ou iguais a 1m2</t>
  </si>
  <si>
    <t>F-12.08.01.08.05.55</t>
  </si>
  <si>
    <t>Fornecimento, substituição  e montagem de vidros temperados incolores de 6 mm</t>
  </si>
  <si>
    <t>F-12.08.01.08.05.56</t>
  </si>
  <si>
    <t>Idem 8 mm</t>
  </si>
  <si>
    <t>F-12.08.01.08.05.57</t>
  </si>
  <si>
    <t>Idem 10 mm</t>
  </si>
  <si>
    <t>F-12.08.01.08.05.58</t>
  </si>
  <si>
    <t>Idem 12 mm</t>
  </si>
  <si>
    <t>F-12.08.01.08.05.59</t>
  </si>
  <si>
    <t xml:space="preserve">Fornecimento, substituição  e montagem de vidros temperados  coloridos </t>
  </si>
  <si>
    <t>F-12.08.01.08.05.59.01</t>
  </si>
  <si>
    <t>Idem, bronze 8 mm</t>
  </si>
  <si>
    <t>F-12.08.01.08.05.59.02</t>
  </si>
  <si>
    <t>Idem, bronze 10 mm</t>
  </si>
  <si>
    <t>F-12.08.01.08.05.59.03</t>
  </si>
  <si>
    <t>Idem, gris de 10 mm</t>
  </si>
  <si>
    <t>F-12.08.01.08.05.59.04</t>
  </si>
  <si>
    <t>Idem, verde de 8 mm</t>
  </si>
  <si>
    <t>F-12.08.01.08.05.59.05</t>
  </si>
  <si>
    <t>Idem, verde de 10 mm</t>
  </si>
  <si>
    <t>F-12.08.01.08.05.59.06</t>
  </si>
  <si>
    <t>Idem, azul de 8 mm</t>
  </si>
  <si>
    <t>F-12.08.01.08.05.59.07</t>
  </si>
  <si>
    <t>Idem, azul de 10 mm</t>
  </si>
  <si>
    <t>F-12.08.01.08.05.60</t>
  </si>
  <si>
    <t>Fornecimento, substituição  e montagem de vidros acrílicos com 4mm</t>
  </si>
  <si>
    <t>F-12.08.01.08.05.61</t>
  </si>
  <si>
    <t>Idem 6 mm</t>
  </si>
  <si>
    <t>F-12.08.01.08.05.62</t>
  </si>
  <si>
    <t>F-12.08.01.08.05.63</t>
  </si>
  <si>
    <t>F-12.08.01.08.05.64</t>
  </si>
  <si>
    <t>Fornecimento,  substituição e montagem de painéis de vidro laminado do tipo 10/2/10</t>
  </si>
  <si>
    <t>F-12.08.01.08.05.65</t>
  </si>
  <si>
    <t>Idem 12/02/12</t>
  </si>
  <si>
    <t>F-12.08.01.08.06</t>
  </si>
  <si>
    <t>Serralharias</t>
  </si>
  <si>
    <t>F-12.08.01.08.06.01</t>
  </si>
  <si>
    <t>Fornecimento e aplicação de caixilharia em janelas com corte térmico, sistema de batente com perfis de 67 e 74mm (fixo e móvel),  em alumínio lacado</t>
  </si>
  <si>
    <t>F-12.08.01.08.06.02</t>
  </si>
  <si>
    <t>Fornecimento e aplicação de caixilharia em janelas com corte térmico, sistema de oscilobatente com perfis de 67 e 74mm (fixo e móvel),  em alumínio lacado.</t>
  </si>
  <si>
    <t>F-12.08.01.08.06.03</t>
  </si>
  <si>
    <t>Fornecimento e aplicação de caixilharia em janelas de correr  em alumínio lacado, compostas por perfis fixos  90 mm e  perfis móveis adequados, de rutura térmica</t>
  </si>
  <si>
    <t>F-12.08.01.08.06.04</t>
  </si>
  <si>
    <t>Fornecimento e aplicação de caixilharia em janelas de correr  em alumínio lacado, compostas por perfis fixos  79 mm e  perfis móveis adequados, de rutura térmica</t>
  </si>
  <si>
    <t>F-12.08.01.08.06.05</t>
  </si>
  <si>
    <t>Fornecimento e aplicação de caixilharia em portas em alumínio lacado com rotura térmica</t>
  </si>
  <si>
    <t>F-12.08.01.08.06.06</t>
  </si>
  <si>
    <t>Fornecimento e aplicação de vãos fixos em caixilharia de perfis de aço galvanizado lacado à cor para montagem com soldadura afagada, com vidro de segurança 66.1</t>
  </si>
  <si>
    <t>F-12.08.01.08.06.07</t>
  </si>
  <si>
    <t>Idem em vãos móveis</t>
  </si>
  <si>
    <t>F-12.08.01.08.06.08</t>
  </si>
  <si>
    <t>Fornecimento e aplicação de caixilharia de batente ou oscilobatente, em perfis de PVC de 70mm, vidros 4/16/4 BECS , em portas e janelas</t>
  </si>
  <si>
    <t>F-12.08.01.08.06.09</t>
  </si>
  <si>
    <t>Fornecimento e aplicação de portadas/vedaluzes  em alumínio lacado</t>
  </si>
  <si>
    <t>F-12.08.01.08.06.10</t>
  </si>
  <si>
    <t xml:space="preserve">Idem em PVC </t>
  </si>
  <si>
    <t>F-12.08.01.08.06.11</t>
  </si>
  <si>
    <t>Fornecimento e  aplicação de divisória amovível com 0.07m de espessura em estrutura de alumínio e painel de madeira de mogno</t>
  </si>
  <si>
    <t>F-12.08.01.08.06.12</t>
  </si>
  <si>
    <t>F-12.08.01.08.06.13</t>
  </si>
  <si>
    <t>Fornecimento e montagem de cabine/frontal com estrutura em alumínio lacado e painéis em acrílico</t>
  </si>
  <si>
    <t>F-12.08.01.08.06.14</t>
  </si>
  <si>
    <t>Fornecimento e montagem  de cabine/frontal com estrutura em alumínio lacado, painéis em vidro temperado</t>
  </si>
  <si>
    <t>F-12.08.01.08.06.15</t>
  </si>
  <si>
    <t>Fornecimento e aplicação de caixilharia de ferro em janelas com galvanização</t>
  </si>
  <si>
    <t>F-12.08.01.08.06.16</t>
  </si>
  <si>
    <t>Fornecimento e aplicação de caixilharia de ferro em janelas com metalização</t>
  </si>
  <si>
    <t>F-12.08.01.08.06.17</t>
  </si>
  <si>
    <t>Fornecimento e aplicação de portas em ferro chapeadas numa face, com chapa de espessura minima de 2 mm,  de 1 batente</t>
  </si>
  <si>
    <t>F-12.08.01.08.06.18</t>
  </si>
  <si>
    <t>Idem, com 2 batentes</t>
  </si>
  <si>
    <t>F-12.08.01.08.06.19</t>
  </si>
  <si>
    <t>Idem, chapeada de ambos os lados de 1 batente</t>
  </si>
  <si>
    <t>F-12.08.01.08.06.20</t>
  </si>
  <si>
    <t>Idem, chapeada de ambos os lados de 2 batentes</t>
  </si>
  <si>
    <t>F-12.08.01.08.06.21</t>
  </si>
  <si>
    <t>Fornecimento e montagem de porta em chapa de aço com 2,5mm de espessura em cada face, soldada a ambas as faces de um engradado constituído por 5 perfis RHS 40x40x4 na horizontal e 3 perfis na vertical</t>
  </si>
  <si>
    <t>F-12.08.01.08.06.22</t>
  </si>
  <si>
    <t>Fornecimento e aplicação de portinholas contadores de água, metalizados com fechadura</t>
  </si>
  <si>
    <t>F-12.08.01.08.06.23</t>
  </si>
  <si>
    <t>F-12.08.01.08.06.24</t>
  </si>
  <si>
    <t>Fornecimento e aplicação de caixa com portinholas para contadores de água, metalizada com fechadura</t>
  </si>
  <si>
    <t>F-12.08.01.08.06.25</t>
  </si>
  <si>
    <t>F-12.08.01.08.06.26</t>
  </si>
  <si>
    <t>Fornecimento e montagem  de perfis em aço laminado e galvanizado a quente (tipo UPN, L, LD, T, etc,) em aplicações estruturais</t>
  </si>
  <si>
    <t>F-12.08.01.08.06.27</t>
  </si>
  <si>
    <t>Fornecimento e montagem de guardas em tubo de ferro galvanizado de DN50mm, a dois perfis horizontais, com prumos de suporte espaçados a 1,5m</t>
  </si>
  <si>
    <t>F-12.08.01.08.06.28</t>
  </si>
  <si>
    <t>Fornecimento e montagem de guardas em tubo de ferro galvanizado de DN50mm, a três perfis horizontais, com prumos de suporte espaçados a 1,5m</t>
  </si>
  <si>
    <t>F-12.08.01.08.06.29</t>
  </si>
  <si>
    <t>Fornecimento e montagem de grade metálica de protecção (para protecção de vãos), constituida por tubo quadrado RHS 20mmx20mmx2mm, com espaçamento máximo de 0,15m</t>
  </si>
  <si>
    <t>F-12.08.01.08.06.30</t>
  </si>
  <si>
    <t>Idem, tipo lagarto</t>
  </si>
  <si>
    <t>F-12.08.01.08.06.31</t>
  </si>
  <si>
    <t>Fornecimento e montagem de guarda metálica em plataformas de passageiros, de acordo com GR.IT.CCA.009 e peças desenhadas</t>
  </si>
  <si>
    <t>F-12.08.01.08.06.32</t>
  </si>
  <si>
    <t>Fornecimento e montagem de corrimão em  guarda metálica em plataformas de passageiros, de acordo com GR.IT.CCA.009 e peças desenhadas</t>
  </si>
  <si>
    <t>F-12.08.01.08.06.33</t>
  </si>
  <si>
    <t>Fornecimento e montagem de guarda metálica em plataformas de passageiros, de acordo com GR.IT.CCA.012 e peças desenhadas</t>
  </si>
  <si>
    <t>F-12.08.01.08.06.34</t>
  </si>
  <si>
    <t>Fornecimento e montagem de corrimão em  guarda metálica em plataformas de passageiros, de acordo com GR.IT.CCA.012 e peças desenhadas</t>
  </si>
  <si>
    <t>F-12.08.01.08.06.35</t>
  </si>
  <si>
    <t>Fornecimento e montagem  de guarda-corpos com 1,10m de altura em aço inoxidável 316</t>
  </si>
  <si>
    <t>F-12.08.01.08.06.36</t>
  </si>
  <si>
    <t>Fornecimento e montagem de guarda-corpos com 1,10m de altura em aço galvanizado e pintado a esmalte sintético</t>
  </si>
  <si>
    <t>F-12.08.01.08.06.37</t>
  </si>
  <si>
    <t>Fornecimento, aplicação e execução de artefactos executados com perfis comerciais de aço</t>
  </si>
  <si>
    <t>F-12.08.01.08.06.38</t>
  </si>
  <si>
    <t>Fornecimento e montagem de vãos Corta-Fogo</t>
  </si>
  <si>
    <t>F-12.08.01.08.06.38.01</t>
  </si>
  <si>
    <t>Até Classe E60</t>
  </si>
  <si>
    <t>F-12.08.01.08.06.38.02</t>
  </si>
  <si>
    <t>Da Classe E90 até Classe E240</t>
  </si>
  <si>
    <t>F-12.08.01.08.06.38.03</t>
  </si>
  <si>
    <t>Até Classe EI 240</t>
  </si>
  <si>
    <t>F-12.08.01.08.06.38.04</t>
  </si>
  <si>
    <t xml:space="preserve">Até Classe EW 60 </t>
  </si>
  <si>
    <t>F-12.08.01.08.06.39</t>
  </si>
  <si>
    <t>Fornecimento e montagem de barras antipânico, abertura pelo exterior através de canhão redondo DN 40 mm</t>
  </si>
  <si>
    <t>F-12.08.01.08.06.40</t>
  </si>
  <si>
    <t xml:space="preserve">Fornecimento e colocação de corrimãos em tubo de aço metalizado com DN 50 mm </t>
  </si>
  <si>
    <t>F-12.08.01.08.06.41</t>
  </si>
  <si>
    <t>Fornecimento e colocação de corrimãos em tubo de aço Inox com DN 50 mm</t>
  </si>
  <si>
    <t>F-12.08.01.08.06.42</t>
  </si>
  <si>
    <t>Fornecimento e montagem de portas em vidro curvo  laminado de alta tecnologia com uma película de controlo solar  de 50 µ espessura, laminada no interior de dois PVB, côr Azul, 17mm de espessura, incluindo ferragens</t>
  </si>
  <si>
    <t>F-12.08.01.08.06.43</t>
  </si>
  <si>
    <t>Fornecimento e montagem de portas em vidro  temperado,  com espessura entre 10 mm e 12mm, incluindo ferragens</t>
  </si>
  <si>
    <t>F-12.08.01.08.06.44</t>
  </si>
  <si>
    <t>Fornecimento e montagem de paineis em barreiras acústicas de betão poroso, incluindo estrutura.</t>
  </si>
  <si>
    <t>F-12.08.01.08.06.45</t>
  </si>
  <si>
    <t>Fornecimento e montagem de paineis em barreiras acústica de betão poroso</t>
  </si>
  <si>
    <t>F-12.08.01.08.06.46</t>
  </si>
  <si>
    <t>Reparação de painéis em barreiras acústicas de betão poroso, incluindo  estrutura</t>
  </si>
  <si>
    <t>F-12.08.01.08.06.47</t>
  </si>
  <si>
    <t>Fornecimento e montagem de paineis em barreiras acústicas, com grelhas de alumínio perfilado e termolacado e isolamento de lã de rocha, incluindo estrutura</t>
  </si>
  <si>
    <t>F-12.08.01.08.06.48</t>
  </si>
  <si>
    <t>Fornecimento e montagem de paineis em barreiras acústicas, com grelhas de alumínio perfilado e termolacado e isolamento de lã de rocha</t>
  </si>
  <si>
    <t>F-12.08.01.08.06.49</t>
  </si>
  <si>
    <t>Reparação de painéis em barreiras acústicas com grelhas de alumínio perfilado e termolacado e isolamento de lã de rocha, incluindo estrutura</t>
  </si>
  <si>
    <t>F-12.08.01.08.06.50</t>
  </si>
  <si>
    <t>Fornecimento e montagem de guarda metálica em plataformas de passageiros, com 1,00m de altura</t>
  </si>
  <si>
    <t>F-12.08.01.08.06.51</t>
  </si>
  <si>
    <t>Execução de soldaduras por pontos ou cordões até 25cm de comprimento, em elementos ou estruturas metálicas em aço, incluindo preparação da superfície, execução de solda, afagamento e proteção a zinco.</t>
  </si>
  <si>
    <t>F-12.08.01.08.06.52</t>
  </si>
  <si>
    <t>Execução de soldaduras por pontos ou cordões até 25cm de comprimento, em elementos em aço inoxidável, incluindo preparação da superfície, execução de solda e afagamento.</t>
  </si>
  <si>
    <t>F-12.08.01.08.06.53</t>
  </si>
  <si>
    <t>Execução de soldaduras a estanho por pontos ou cordões até 25cm de comprimento, em chapas de zinco, incluindo preparação da superfície, execução de solda e afagamento.</t>
  </si>
  <si>
    <t>F-12.08.01.08.06.54</t>
  </si>
  <si>
    <t>Fornecimento,  substituição e aplicação de vedantes de pelúcia em portas e janelas.</t>
  </si>
  <si>
    <t>F-12.08.01.08.06.55</t>
  </si>
  <si>
    <t>Fornecimento,  substituição e aplicação de borrachas vedantes em portas e janelas.</t>
  </si>
  <si>
    <t>F-12.08.01.08.06.56</t>
  </si>
  <si>
    <t>Fornecimento e aplicação de caixilharia de batente ou oscilobatente, sistema ARi ou equivalente, com vidro planistar de 6mm, caixa de 16mm com gás, e vidro duplo laminado 442 silence, em portas e janelas</t>
  </si>
  <si>
    <t>F-12.08.01.08.07</t>
  </si>
  <si>
    <t>Mobiliário Urbano</t>
  </si>
  <si>
    <t>F-12.08.01.08.07.01</t>
  </si>
  <si>
    <t>Fornecimento,  substituíção e montagem de estrados em madeira envernizada para bancos de passageiros, com 50mm de espessura</t>
  </si>
  <si>
    <t>F-12.08.01.08.07.02</t>
  </si>
  <si>
    <t>Fornecimento e aplicação de bancos com estrutura em inox e revestimento a chapa perfurada, tipo IP</t>
  </si>
  <si>
    <t>F-12.08.01.08.07.03</t>
  </si>
  <si>
    <r>
      <t xml:space="preserve">Fornecimento e aplicação </t>
    </r>
    <r>
      <rPr>
        <strike/>
        <sz val="10"/>
        <rFont val="Calibri"/>
        <family val="2"/>
      </rPr>
      <t xml:space="preserve"> </t>
    </r>
    <r>
      <rPr>
        <sz val="10"/>
        <rFont val="Calibri"/>
        <family val="2"/>
      </rPr>
      <t>de papeleira cilíndrica com estrutura em inox e revestimento a chapa perfurada em inox, tipo IP, Ø40cm</t>
    </r>
  </si>
  <si>
    <t>F-12.08.01.08.07.04</t>
  </si>
  <si>
    <t>Fornecimento e aplicação de papeleira cilíndrica com estrutura em aço zincado e revestimento a chapa perfurada, com pintura integral com resina de poliéster, Ø40cm</t>
  </si>
  <si>
    <t>F-12.08.01.08.07.05</t>
  </si>
  <si>
    <t>Fornecimento e aplicação de balde de papeleira cilíndrica com aro tubular e revestimento a chapa perfurada em inox</t>
  </si>
  <si>
    <t>F-12.08.01.08.07.06</t>
  </si>
  <si>
    <t>Fornecimento e aplicação de papeleira em meia lua, com capacidade de 50 litros, estrutura em inox e revestimento a chapa perfurada em inox, tipo IP</t>
  </si>
  <si>
    <t>F-12.08.01.08.07.07</t>
  </si>
  <si>
    <t>Fornecimento e aplicação de papeleira em meia lua, com capacidade de 50 litros, estrutura em aço zincado e revestimento a chapa perfurada, com pintura integral com resina de poliéster</t>
  </si>
  <si>
    <t>F-12.08.01.08.07.08</t>
  </si>
  <si>
    <t>Desempeno e reparação de bancos em chapa de aço inox perfurado</t>
  </si>
  <si>
    <t>F-12.08.01.08.07.09</t>
  </si>
  <si>
    <t>Fornecimento e aplicação  de módulos de estacionamento de bicicletas, tipo "sheffield" com 5 unidades de U invertido com dois pontos de apoio assentes em barra transversal, em aço metalizado com acabamento em cinza forja, incluindo reforço nas extremidades.</t>
  </si>
  <si>
    <t>F-12.08.01.08.07.10</t>
  </si>
  <si>
    <t>Idem com 1 unidade de U invertido</t>
  </si>
  <si>
    <t>F-12.08.01.08.07.11</t>
  </si>
  <si>
    <t>Idem em aço inoxidável AISI 316</t>
  </si>
  <si>
    <t>F-12.08.01.08.07.12</t>
  </si>
  <si>
    <t>Fornecimento e aplicação de cinzeiro, com chave, de fixação à parede em aço inoxidável</t>
  </si>
  <si>
    <t>F-12.08.01.08.07.13</t>
  </si>
  <si>
    <t>Fornecimento e aplicação  de cinzeiro de pé em aço inoxidável</t>
  </si>
  <si>
    <t>F-12.08.01.08.07.14</t>
  </si>
  <si>
    <t>Idem em aço com acabamento cromado.</t>
  </si>
  <si>
    <t>F-12.08.01.08.07.15</t>
  </si>
  <si>
    <t>Idem em aço com acabamento cinza forja</t>
  </si>
  <si>
    <t>F-12.08.01.08.07.16</t>
  </si>
  <si>
    <t>Fornecimento e aplicação de papeleira em polietileno de alta densidade, com 50l de capacidade, de fixação em prumo (incluido) ou em parede na cor cinzenta</t>
  </si>
  <si>
    <t>F-12.08.01.08.07.17</t>
  </si>
  <si>
    <t>Idem,  com cinzeiro</t>
  </si>
  <si>
    <t>F-12.08.01.08.07.18</t>
  </si>
  <si>
    <t xml:space="preserve">Fornecimento e aplicação  de pilaretes em tubo Ø90 e topo de aço zincado, com 1,20m, encastrado, e 0,90m acima do pavimento, metalizado e pintado a tinta de esmalte antracite escuro
</t>
  </si>
  <si>
    <t>F-12.08.01.08.07.19</t>
  </si>
  <si>
    <t>Idem, em barra dobrada (50x5mm) em formato "U", maciço fundação e pater de fixação.</t>
  </si>
  <si>
    <t>F-12.08.01.08.07.20</t>
  </si>
  <si>
    <t>Fornecimento e aplicação  de pilaretes, rebatíveis, em tubo Ø90 e topo de aço zincado, com 1,20m, encastrado, e 0,90m acima do pavimento, metalizado e pintado a tinta de esmalte antracite escuro</t>
  </si>
  <si>
    <t>F-12.08.01.08.07.21</t>
  </si>
  <si>
    <t>F-12.08.01.08.07.22</t>
  </si>
  <si>
    <t>Fornecimento e aplicação de sistema anti pombo com 3 espigões em aço inoxidável sobre base plástica em fachadas de edifícios</t>
  </si>
  <si>
    <t>F-12.08.01.08.07.23</t>
  </si>
  <si>
    <t>Idem, com 4 espigões</t>
  </si>
  <si>
    <t>F-12.08.01.08.07.24</t>
  </si>
  <si>
    <t>Idem, com 5 espigões</t>
  </si>
  <si>
    <t>F-12.08.01.08.07.25</t>
  </si>
  <si>
    <t>Fornecimento, substituição e montagem de rede anti pombos, com padrão de quadricula 50 x 50 mm</t>
  </si>
  <si>
    <t>F-12.08.01.08.07.26</t>
  </si>
  <si>
    <t>Idem, de rede anti andorinhas, com padrão de quadricula 19 x 19 mm</t>
  </si>
  <si>
    <t>F-12.08.01.08.07.27</t>
  </si>
  <si>
    <t>Fornecimento e aplicação de discos de gel ótico antiaves</t>
  </si>
  <si>
    <t>F-12.08.01.08.07.28</t>
  </si>
  <si>
    <t>Reparação e substituição de fixações em mobiliário urbano</t>
  </si>
  <si>
    <t>F-12.08.01.08.07.29</t>
  </si>
  <si>
    <t>Fornecimento substituição e aplicação de forras em granito boleado, em bancos de passageiros</t>
  </si>
  <si>
    <t>F-12.08.01.09.</t>
  </si>
  <si>
    <t>Pinturas (inclui a gestão dos resíduos resultantes do processo de pintura, com a devida triagem, recolha, transporte, armazenamento preliminar e encaminhamento a destino final licenciado)</t>
  </si>
  <si>
    <t>F-12.08.01.09.01</t>
  </si>
  <si>
    <t>De Paredes e Tetos</t>
  </si>
  <si>
    <t>F-12.08.01.09.01.01</t>
  </si>
  <si>
    <t>Fornecimento e aplicação de 2 demão de tinta de água de base aquosa de características antifúngicas, incluindo aplicação previa de primário adequado.</t>
  </si>
  <si>
    <t>F-12.08.01.09.01.02</t>
  </si>
  <si>
    <t>Fornecimento e aplicação de 2 demão de tinta  mineral mate baseada em silicato de potássio com boa resistência à exposição solar e raios UV, incluindo aplicação previa de primário adequado.</t>
  </si>
  <si>
    <t>F-12.08.01.09.01.03</t>
  </si>
  <si>
    <t>Fornecimento e  aplicação de 2 demão de tinta plástica numa área de pintura até 100m2, incluindo aplicação previa de primário adequado.</t>
  </si>
  <si>
    <t>F-12.08.01.09.01.04</t>
  </si>
  <si>
    <t>Idem, tinta de esmalte aquoso</t>
  </si>
  <si>
    <t>F-12.08.01.09.01.05</t>
  </si>
  <si>
    <t>Idem, tinta membranosa (borracha)</t>
  </si>
  <si>
    <t>F-12.08.01.09.01.06</t>
  </si>
  <si>
    <t>Idem, tinta texturada, com acabamento areado fino</t>
  </si>
  <si>
    <t>F-12.08.01.09.01.07</t>
  </si>
  <si>
    <t>Idem, tinta karapas</t>
  </si>
  <si>
    <t>F-12.08.01.09.01.08.</t>
  </si>
  <si>
    <t>Fornecimento e aplicação de 2 demão de tinta plástica, numa área de pintura superior a 100m2, incluindo aplicação previa de primário adequado.</t>
  </si>
  <si>
    <t>F-12.08.01.09.01.09</t>
  </si>
  <si>
    <t>F-12.08.01.09.01.10</t>
  </si>
  <si>
    <t>F-12.08.01.09.01.11</t>
  </si>
  <si>
    <t>F-12.08.01.09.01.12</t>
  </si>
  <si>
    <t>F-12.08.01.09.02</t>
  </si>
  <si>
    <t>De Carpintarias e Serralharias</t>
  </si>
  <si>
    <t>F-12.08.01.09.02.01</t>
  </si>
  <si>
    <t>Fornecimento e aplicação de tinta de esmalte, incluindo primário da mesma base</t>
  </si>
  <si>
    <t>F-12.08.01.09.02.02</t>
  </si>
  <si>
    <t>Fornecimento e aplicação de tinta de esmalte sobre pintura</t>
  </si>
  <si>
    <t>F-12.08.01.09.02.03</t>
  </si>
  <si>
    <t>Fornecimento e aplicação de tinta de esmalte conversor</t>
  </si>
  <si>
    <t>F-12.08.01.09.02.04</t>
  </si>
  <si>
    <t>Decapagem de tintas velhas e ferrugem em superfícies para receber pintura</t>
  </si>
  <si>
    <t>F-12.08.01.09.02.05</t>
  </si>
  <si>
    <t>Pintura a tinta tipo "ASPHALTENE 411-004" nas superfícies metálicas</t>
  </si>
  <si>
    <t>F-12.08.01.09.02.06</t>
  </si>
  <si>
    <t xml:space="preserve">Fornecimento e aplicação de velatura aquosa indicada para o embelezamento, proteção e conservação dos elementos de  madeiras. </t>
  </si>
  <si>
    <t>F-12.08.01.09.02.07</t>
  </si>
  <si>
    <t>Pintura a tinta de alumínio, em superficies metálicas</t>
  </si>
  <si>
    <t>F-12.08.01.09.02.08</t>
  </si>
  <si>
    <t>Pintura de convetores a tinta resistente a altas temperaturas</t>
  </si>
  <si>
    <t>F-12.08.01.09.02.09</t>
  </si>
  <si>
    <t>Fornecimento e aplicação  de tinta de esmalte em superfícies metálicas, incluindo a prévia preparação de superfície mediante limpeza manual padrão St2</t>
  </si>
  <si>
    <t>F-12.08.01.09.02.10</t>
  </si>
  <si>
    <t>Idem, padrão St3</t>
  </si>
  <si>
    <t>F-12.08.01.09.02.11</t>
  </si>
  <si>
    <t>Fornecimento e aplicação  de tinta de esmalte em superfícies metálicas, incluindo a prévia preparação de superfície mediante limpeza mecânica padrão Sa 2</t>
  </si>
  <si>
    <t>F-12.08.01.09.02.12</t>
  </si>
  <si>
    <t>Idem, padrão Sa 2 1/2</t>
  </si>
  <si>
    <t>F-12.08.01.09.02.13</t>
  </si>
  <si>
    <t>Idem, padrão Sa 3</t>
  </si>
  <si>
    <t>F-12.08.01.09.02.14</t>
  </si>
  <si>
    <t>Idem, padrão Sa 3 com galvanização a quente, com um recobrimento mínimo de 100 microns, de espessura seca</t>
  </si>
  <si>
    <t>F-12.08.01.09.03.</t>
  </si>
  <si>
    <t>Pinturas Diversas</t>
  </si>
  <si>
    <t>F-12.08.01.09.03.01</t>
  </si>
  <si>
    <t>Pintura de faixas de gares com tinta antiderrapante apropriada para marcação de pavimentos</t>
  </si>
  <si>
    <t>F-12.08.01.09.03.02</t>
  </si>
  <si>
    <t>Pintura de beirados à portuguesa</t>
  </si>
  <si>
    <t>F-12.08.01.09.03.03</t>
  </si>
  <si>
    <t>Fornecimento e aplicação  de esquema de pintura intumescente, aplicado conforme indicações do fabricante</t>
  </si>
  <si>
    <t>F-12.08.01.09.03.04</t>
  </si>
  <si>
    <t>Fornecimento e aplicação  de esquema de pintura de pavimentos com tinta antiderrapante com base epoxi</t>
  </si>
  <si>
    <t>F-12.08.01.09.03.05</t>
  </si>
  <si>
    <t>Fornecimento e aplicação de esquema de pintura de pavimentos com tinta antiderrapante com base de metacrilatos</t>
  </si>
  <si>
    <t>F-12.08.01.09.03.06</t>
  </si>
  <si>
    <t>Fornecimento e aplicação de tinta de esmalte em guarda de segurança metálicas em faixas na diagonal com as cores preto e amarelo, ou branco e vermelho</t>
  </si>
  <si>
    <t>F-12.08.01.09.03.07</t>
  </si>
  <si>
    <r>
      <t>Fornecimento e aplicação</t>
    </r>
    <r>
      <rPr>
        <strike/>
        <sz val="10"/>
        <rFont val="Calibri"/>
        <family val="2"/>
      </rPr>
      <t xml:space="preserve"> </t>
    </r>
    <r>
      <rPr>
        <sz val="10"/>
        <rFont val="Calibri"/>
        <family val="2"/>
      </rPr>
      <t>de tinta fotoluminescente, em faixas de encaminhamento e segurança</t>
    </r>
  </si>
  <si>
    <t>F-12.08.01.09.03.08</t>
  </si>
  <si>
    <t>Fornecimento e aplicação tinta monocomponente à base de copolímeros acrílicos termoplásticos, retrorrefletora</t>
  </si>
  <si>
    <t>F-12.08.01.09.03.09</t>
  </si>
  <si>
    <t>Fornecimento e aplicação de tinta metilmetacrilato, de alta durabilidade , com acabamento antiderrapante elevado</t>
  </si>
  <si>
    <t>F-12.08.01.09.04</t>
  </si>
  <si>
    <t>Vernizes</t>
  </si>
  <si>
    <t>F-12.08.01.09.04.01</t>
  </si>
  <si>
    <r>
      <t>Fornecimento e aplicação</t>
    </r>
    <r>
      <rPr>
        <strike/>
        <sz val="10"/>
        <rFont val="Calibri"/>
        <family val="2"/>
      </rPr>
      <t xml:space="preserve"> </t>
    </r>
    <r>
      <rPr>
        <sz val="10"/>
        <rFont val="Calibri"/>
        <family val="2"/>
      </rPr>
      <t>de verniz em pavimentos</t>
    </r>
  </si>
  <si>
    <t>F-12.08.01.09.04.02</t>
  </si>
  <si>
    <t>Envernizamento de portas, divisórias e lambris de madeira</t>
  </si>
  <si>
    <t>F-12.08.01.09.04.03</t>
  </si>
  <si>
    <t>Idem em mobiliário</t>
  </si>
  <si>
    <t>F-12.08.01.09.04.04</t>
  </si>
  <si>
    <t>Lixagem e limpeza de portas ou janelas exteriores e fornecimento e aplicação de verniz celuloso</t>
  </si>
  <si>
    <t>F-12.08.01.09.04.05</t>
  </si>
  <si>
    <t>Fornecimento e aplicação  de verniz celuloso em carpintarias</t>
  </si>
  <si>
    <t>F-12.08.01.09.04.06</t>
  </si>
  <si>
    <t>Fornecimento e aplicação de verniz de alto tráfego em pavimentos</t>
  </si>
  <si>
    <t>F-12.08.01.09.04.07</t>
  </si>
  <si>
    <t>Fornecimento e aplicação  de verniz acrílico em superfícies de betão ou calçada</t>
  </si>
  <si>
    <t>F-12.08.01.09.04.08</t>
  </si>
  <si>
    <t>Fornecimento e instalação de verniz aquoso em cantarias</t>
  </si>
  <si>
    <t>F-12.08.01.09.04.09</t>
  </si>
  <si>
    <t>Fornecimento e aplicação de impemeabilizante incolor de superfícies</t>
  </si>
  <si>
    <t xml:space="preserve">F-12.08.01.10. </t>
  </si>
  <si>
    <t>Canalizações e Equipamento Sanitário (inclui todos os acessórios necessários para o efeito)</t>
  </si>
  <si>
    <t xml:space="preserve">F-12.08.01.10.01. </t>
  </si>
  <si>
    <t>Tubagem para Águas</t>
  </si>
  <si>
    <t>F-12.08.01.10.01.01.</t>
  </si>
  <si>
    <t>Fornecimento e instalação de canalização em tubo galvanizado de 4"</t>
  </si>
  <si>
    <t>F-12.08.01.10.01.02.</t>
  </si>
  <si>
    <t>Idem, de 3"</t>
  </si>
  <si>
    <t>F-12.08.01.10.01.03.</t>
  </si>
  <si>
    <t>Idem, de 2"</t>
  </si>
  <si>
    <t>F-12.08.01.10.01.04.</t>
  </si>
  <si>
    <t>Idem, de 1"1/2</t>
  </si>
  <si>
    <t>F-12.08.01.10.01.05.</t>
  </si>
  <si>
    <t>Idem, de 1"1/4</t>
  </si>
  <si>
    <t>F-12.08.01.10.01.06.</t>
  </si>
  <si>
    <t>Idem, de 1"</t>
  </si>
  <si>
    <t>F-12.08.01.10.01.07.</t>
  </si>
  <si>
    <t>Idem, de 3/4"</t>
  </si>
  <si>
    <t>F-12.08.01.10.01.08.</t>
  </si>
  <si>
    <t>Idem, de 1/2"</t>
  </si>
  <si>
    <t>F-12.08.01.10.01.09.</t>
  </si>
  <si>
    <t>Fornecimento e instalação  de acessórios de traçado para tubo galvanizado de 4"</t>
  </si>
  <si>
    <t>F-12.08.01.10.01.10.</t>
  </si>
  <si>
    <t>Idem de 3"</t>
  </si>
  <si>
    <t>F-12.08.01.10.01.11.</t>
  </si>
  <si>
    <t>F-12.08.01.10.01.12.</t>
  </si>
  <si>
    <t>F-12.08.01.10.01.13.</t>
  </si>
  <si>
    <t>F-12.08.01.10.01.14.</t>
  </si>
  <si>
    <t>F-12.08.01.10.01.15.</t>
  </si>
  <si>
    <t>F-12.08.01.10.01.16.</t>
  </si>
  <si>
    <t>Fornecimento e instalação de tubagem em PVC rigido DN 63mm, PN10</t>
  </si>
  <si>
    <t>F-12.08.01.10.01.17.</t>
  </si>
  <si>
    <t>Idem, com DN 75</t>
  </si>
  <si>
    <t>F-12.08.01.10.01.18.</t>
  </si>
  <si>
    <t>Idem, com DN 90</t>
  </si>
  <si>
    <t>F-12.08.01.10.01.19.</t>
  </si>
  <si>
    <t>Idem, com DN 110</t>
  </si>
  <si>
    <t>F-12.08.01.10.01.20.</t>
  </si>
  <si>
    <t>Idem, com DN 125</t>
  </si>
  <si>
    <t>F-12.08.01.10.01.21.</t>
  </si>
  <si>
    <t>Fornecimento e instalação ou  de acessórios de traçado para  PVC rigido DN 63mm, PN10</t>
  </si>
  <si>
    <t>F-12.08.01.10.01.22</t>
  </si>
  <si>
    <t>F-12.08.01.10.01.23</t>
  </si>
  <si>
    <t>F-12.08.01.10.01.24</t>
  </si>
  <si>
    <t>F-12.08.01.10.01.25</t>
  </si>
  <si>
    <t>F-12.08.01.10.01.26</t>
  </si>
  <si>
    <t>Fornecimento e instalação de tubagem Inox, para cravar,  AISI 316, com DN 12mm</t>
  </si>
  <si>
    <t>F-12.08.01.10.01.27</t>
  </si>
  <si>
    <t xml:space="preserve">Idem, em tubo DN 15mm </t>
  </si>
  <si>
    <t>F-12.08.01.10.01.28</t>
  </si>
  <si>
    <t>Idem, em tubo DN 20mm</t>
  </si>
  <si>
    <t>F-12.08.01.10.01.29</t>
  </si>
  <si>
    <t>Idem, em tubo DN 25mm</t>
  </si>
  <si>
    <t>F-12.08.01.10.01.30</t>
  </si>
  <si>
    <t>Idem, em tubo DN 32mm</t>
  </si>
  <si>
    <t>F-12.08.01.10.01.31</t>
  </si>
  <si>
    <t>Idem, em tubo DN 40mm</t>
  </si>
  <si>
    <t>F-12.08.01.10.01.32</t>
  </si>
  <si>
    <t>Idem, em tubo DN 50mm</t>
  </si>
  <si>
    <t>F-12.08.01.10.01.33</t>
  </si>
  <si>
    <t>Fornecimento e aplicação  de acessórios de traçado para  tubo Inox de cravar, AISI 316, DN 12mm</t>
  </si>
  <si>
    <t>F-12.08.01.10.01.34</t>
  </si>
  <si>
    <t xml:space="preserve">Idem, para tubo DN 15mm </t>
  </si>
  <si>
    <t>F-12.08.01.10.01.35</t>
  </si>
  <si>
    <t>Idem, para tubo DN 20mm</t>
  </si>
  <si>
    <t>F-12.08.01.10.01.36</t>
  </si>
  <si>
    <t>Idem, para tubo DN 25mm</t>
  </si>
  <si>
    <t>F-12.08.01.10.01.37</t>
  </si>
  <si>
    <t>Idem, para tubo DN 32mm</t>
  </si>
  <si>
    <t>F-12.08.01.10.01.38</t>
  </si>
  <si>
    <t>Idem, para tubo DN 40mm</t>
  </si>
  <si>
    <t>F-12.08.01.10.01.39</t>
  </si>
  <si>
    <t>Idem, para tubo DN 50mm</t>
  </si>
  <si>
    <t>F-12.08.01.10.01.40</t>
  </si>
  <si>
    <t>Fornecimento e instalação de tubo PVC hidronil, PN10, DN 2"</t>
  </si>
  <si>
    <t>F-12.08.01.10.01.41</t>
  </si>
  <si>
    <t>Idem, DN 1. 1/2"</t>
  </si>
  <si>
    <t>F-12.08.01.10.01.42</t>
  </si>
  <si>
    <t>Idem, DN 1"</t>
  </si>
  <si>
    <t>F-12.08.01.10.01.43</t>
  </si>
  <si>
    <t>Idem, DN 3/4"</t>
  </si>
  <si>
    <t>F-12.08.01.10.01.44</t>
  </si>
  <si>
    <t>Idem, DN 1/2"</t>
  </si>
  <si>
    <t>F-12.08.01.10.01.45</t>
  </si>
  <si>
    <t>Fornecimento e instalação de acessórios de traçado para tubo PVC hidronil, PN10, DN 2"</t>
  </si>
  <si>
    <t>F-12.08.01.10.01.46</t>
  </si>
  <si>
    <t>F-12.08.01.10.01.47</t>
  </si>
  <si>
    <t>F-12.08.01.10.01.48</t>
  </si>
  <si>
    <t>F-12.08.01.10.01.49</t>
  </si>
  <si>
    <t>F-12.08.01.10.01.50</t>
  </si>
  <si>
    <t>Fornecimento e instalação de tubo PEAD, PN16, DN 2"</t>
  </si>
  <si>
    <t>F-12.08.01.10.01.51</t>
  </si>
  <si>
    <t>Idem, DN 1 1/2"</t>
  </si>
  <si>
    <t>F-12.08.01.10.01.52</t>
  </si>
  <si>
    <t>F-12.08.01.10.01.53</t>
  </si>
  <si>
    <t>F-12.08.01.10.01.54</t>
  </si>
  <si>
    <t>F-12.08.01.10.01.55</t>
  </si>
  <si>
    <t>Fornecimento e instalação  de acessórios de traçado para tubo PEAD, PN16, DN 2"</t>
  </si>
  <si>
    <t>F-12.08.01.10.01.56</t>
  </si>
  <si>
    <t>F-12.08.01.10.01.57</t>
  </si>
  <si>
    <t>F-12.08.01.10.01.58</t>
  </si>
  <si>
    <t>F-12.08.01.10.01.59</t>
  </si>
  <si>
    <t>F-12.08.01.10.01.60</t>
  </si>
  <si>
    <t>Fornecimento e instalação de canalização em tudo de polietilieno reticulado - PEX, classe 2, DN 12mm</t>
  </si>
  <si>
    <t>F-12.08.01.10.01.61</t>
  </si>
  <si>
    <t>Idem, DN 16mm</t>
  </si>
  <si>
    <t>F-12.08.01.10.01.62</t>
  </si>
  <si>
    <t>Idem, DN 20mm</t>
  </si>
  <si>
    <t>F-12.08.01.10.01.63</t>
  </si>
  <si>
    <t>Idem, DN 25mm</t>
  </si>
  <si>
    <t>F-12.08.01.10.01.64</t>
  </si>
  <si>
    <t>Idem, DN 32mm</t>
  </si>
  <si>
    <t>F-12.08.01.10.01.65</t>
  </si>
  <si>
    <t>Fornecimento e instalação  de acessórios de traçado para tubo "PEX" classe 2, DN 12mm</t>
  </si>
  <si>
    <t>F-12.08.01.10.01.66</t>
  </si>
  <si>
    <t>F-12.08.01.10.01.67</t>
  </si>
  <si>
    <t>F-12.08.01.10.01.68</t>
  </si>
  <si>
    <t>F-12.08.01.10.01.69</t>
  </si>
  <si>
    <t>F-12.08.01.10.01.70</t>
  </si>
  <si>
    <t>Fornecimento e instalação de canalização em tubo multicamada PE+AL+PEX, DN 14mm</t>
  </si>
  <si>
    <t>F-12.08.01.10.01.71</t>
  </si>
  <si>
    <t>F-12.08.01.10.01.72</t>
  </si>
  <si>
    <t>F-12.08.01.10.01.73</t>
  </si>
  <si>
    <t>Idem, DN 26mm</t>
  </si>
  <si>
    <t>F-12.08.01.10.01.74</t>
  </si>
  <si>
    <t>F-12.08.01.10.01.75</t>
  </si>
  <si>
    <t>Fornecimento e instalação ou  de acessórios de traçado para tubo multicamada PE+AL+PEX, DN 14mm</t>
  </si>
  <si>
    <t>F-12.08.01.10.01.76</t>
  </si>
  <si>
    <t>F-12.08.01.10.01.77</t>
  </si>
  <si>
    <t>F-12.08.01.10.01.78</t>
  </si>
  <si>
    <t>F-12.08.01.10.01.79</t>
  </si>
  <si>
    <t>F-12.08.01.10.01.80</t>
  </si>
  <si>
    <t>Fornecimento e instalação de coletores de distribuição de água, em latão, DN 3/4", PN10, com duas saídas DN 1/2"  dotadas de valvula de seccionamento, com acessórios de fixação / montagem</t>
  </si>
  <si>
    <t>F-12.08.01.10.01.81</t>
  </si>
  <si>
    <t>Idem, com três saídas</t>
  </si>
  <si>
    <t>F-12.08.01.10.01.82</t>
  </si>
  <si>
    <t>Idem, com 4 saídas</t>
  </si>
  <si>
    <t>F-12.08.01.10.01.83</t>
  </si>
  <si>
    <t>Fornecimento e instalação de caixa completa, para coletores de distribuição, com fechadura de bloqueio e encaixe rápido, para Instalação na parede ou pavimento, com dimensão até 500x400x140mm</t>
  </si>
  <si>
    <t>F-12.08.01.10.01.84</t>
  </si>
  <si>
    <t xml:space="preserve">Fornecimento e instalação de isolamento térmico flexível de célula fechada, em espuma elastomérica à base de borracha sintética de alta densidade - EPDM, 13mm de espessura, no envolvimento/proteção de tubagem com diâmetro exterior máximo até 22mm </t>
  </si>
  <si>
    <t>F-12.08.01.10.01.85</t>
  </si>
  <si>
    <t>Idem, para envolvimento / proteção de tubagem com diâmetro exterior [&gt;22mm até 42mm]</t>
  </si>
  <si>
    <t>F-12.08.01.10.01.86</t>
  </si>
  <si>
    <t>Fornecimento e instalação de isolamento térmico flexível de célula fechada, em espuma elastomérica à base de borracha sintética de alta densidade - EPDM, 19mm de espessura, no envolvimento/proteção de tubagem com diâmetro exterior [&gt;42mm até 65mm]</t>
  </si>
  <si>
    <t xml:space="preserve">F-12.08.01.10.02. </t>
  </si>
  <si>
    <t>Tubagem para Esgotos</t>
  </si>
  <si>
    <t>F-12.08.01.10.02.01.</t>
  </si>
  <si>
    <t>Fornecimento e assentamento de canalização em tubo PVC, PN4, DN 40mm</t>
  </si>
  <si>
    <t>F-12.08.01.10.02.02.</t>
  </si>
  <si>
    <t>Idem. em tubo com DN 50mm</t>
  </si>
  <si>
    <t>F-12.08.01.10.02.03.</t>
  </si>
  <si>
    <t>Idem. em tubo com DN 75mm</t>
  </si>
  <si>
    <t>F-12.08.01.10.02.04.</t>
  </si>
  <si>
    <t>Idem. em tubocom DN 90mm</t>
  </si>
  <si>
    <t>F-12.08.01.10.02.05.</t>
  </si>
  <si>
    <t>Idem. em tubo com DN 110mm</t>
  </si>
  <si>
    <t>F-12.08.01.10.02.06.</t>
  </si>
  <si>
    <t>Idem. em tubo com DN 125mm</t>
  </si>
  <si>
    <t>F-12.08.01.10.02.07.</t>
  </si>
  <si>
    <t>Idem. em tubo com DN 140mm</t>
  </si>
  <si>
    <t>F-12.08.01.10.02.08.</t>
  </si>
  <si>
    <t>Idem. em tubo com DN 160mm</t>
  </si>
  <si>
    <t>F-12.08.01.10.02.09.</t>
  </si>
  <si>
    <t>Idem. em tubo com DN 200mm</t>
  </si>
  <si>
    <t>F-12.08.01.10.02.10.</t>
  </si>
  <si>
    <t>Fornecimento e instalação de acessórios de traçado para tubo PVC DN 40mm</t>
  </si>
  <si>
    <t>F-12.08.01.10.02.11.</t>
  </si>
  <si>
    <t>F-12.08.01.10.02.12.</t>
  </si>
  <si>
    <t>F-12.08.01.10.02.13.</t>
  </si>
  <si>
    <t>Idem. em tubo com DN 90mm</t>
  </si>
  <si>
    <t>F-12.08.01.10.02.14.</t>
  </si>
  <si>
    <t>Idem. em tubocom DN 110mm</t>
  </si>
  <si>
    <t>F-12.08.01.10.02.15.</t>
  </si>
  <si>
    <t>F-12.08.01.10.02.16.</t>
  </si>
  <si>
    <t>F-12.08.01.10.02.17.</t>
  </si>
  <si>
    <t>F-12.08.01.10.02.18.</t>
  </si>
  <si>
    <t>F-12.08.01.10.02.19.</t>
  </si>
  <si>
    <t>Fornecimento e assentamento de tubo corrugado de parede dupla SN8 de DN 50</t>
  </si>
  <si>
    <t>F-12.08.01.10.02.20.</t>
  </si>
  <si>
    <t>F-12.08.01.10.02.21.</t>
  </si>
  <si>
    <t>F-12.08.01.10.02.22.</t>
  </si>
  <si>
    <t>F-12.08.01.10.02.23.</t>
  </si>
  <si>
    <t>Idem, com DN 160</t>
  </si>
  <si>
    <t>F-12.08.01.10.02.24.</t>
  </si>
  <si>
    <t>Idem, com DN 200</t>
  </si>
  <si>
    <t>F-12.08.01.10.02.25.</t>
  </si>
  <si>
    <t>Idem, com DN 250</t>
  </si>
  <si>
    <t>F-12.08.01.10.02.26.</t>
  </si>
  <si>
    <t>Idem, com DN 315</t>
  </si>
  <si>
    <t>F-12.08.01.10.02.27.</t>
  </si>
  <si>
    <t>Idem, com DN 400</t>
  </si>
  <si>
    <t>F-12.08.01.10.02.28.</t>
  </si>
  <si>
    <t>Fornecimento e assentamento de tubagem em FFD, DN 350</t>
  </si>
  <si>
    <t>F-12.08.01.10.02.29.</t>
  </si>
  <si>
    <t>Idem, DN 200</t>
  </si>
  <si>
    <t>F-12.08.01.10.02.30.</t>
  </si>
  <si>
    <t>Idem, DN 125</t>
  </si>
  <si>
    <t>F-12.08.01.10.02.31.</t>
  </si>
  <si>
    <t>Idem, DN 100</t>
  </si>
  <si>
    <t>F-12.08.01.10.02.32.</t>
  </si>
  <si>
    <t>Idem, DN 80</t>
  </si>
  <si>
    <t>F-12.08.01.10.02.33.</t>
  </si>
  <si>
    <t>Idem, DN 75</t>
  </si>
  <si>
    <t>F-12.08.01.10.02.34.</t>
  </si>
  <si>
    <t>Idem, DN 50</t>
  </si>
  <si>
    <t xml:space="preserve">F-12.08.01.10.03. </t>
  </si>
  <si>
    <t>Torneiras e Válvulas (Nas Redes)</t>
  </si>
  <si>
    <t>F-12.08.01.10.03.01.</t>
  </si>
  <si>
    <t>Fornecimento  e instalação de torneiras de serviço de 2"</t>
  </si>
  <si>
    <t>F-12.08.01.10.03.02.</t>
  </si>
  <si>
    <t>F-12.08.01.10.03.03.</t>
  </si>
  <si>
    <t>F-12.08.01.10.03.04.</t>
  </si>
  <si>
    <t>F-12.08.01.10.03.05.</t>
  </si>
  <si>
    <t>F-12.08.01.10.03.06.</t>
  </si>
  <si>
    <t>Idem, de1/2"</t>
  </si>
  <si>
    <t>F-12.08.01.10.03.07.</t>
  </si>
  <si>
    <t>Idem, de torneiras de passagem de DN 3/4"</t>
  </si>
  <si>
    <t>F-12.08.01.10.03.08.</t>
  </si>
  <si>
    <t>Idem, de torneiras de passagem de DN 1/2"</t>
  </si>
  <si>
    <t>F-12.08.01.10.03.09.</t>
  </si>
  <si>
    <t>Idem, de torneiras de segurança de DN 2"</t>
  </si>
  <si>
    <t>F-12.08.01.10.03.10.</t>
  </si>
  <si>
    <t>Idem, de torneiras de segurança de DN 1 1/2"</t>
  </si>
  <si>
    <t>F-12.08.01.10.03.11.</t>
  </si>
  <si>
    <t>Idem, de torneiras de segurança de DN 1"</t>
  </si>
  <si>
    <t>F-12.08.01.10.03.12.</t>
  </si>
  <si>
    <t>Idem, de torneiras de segurança de DN 3/4"</t>
  </si>
  <si>
    <t>F-12.08.01.10.03.13.</t>
  </si>
  <si>
    <t>Idem, de torneiras de segurança de DN 1/2"</t>
  </si>
  <si>
    <t>F-12.08.01.10.03.14.</t>
  </si>
  <si>
    <t>Fornecimento e instalação de válvulas de retenção DN 2"</t>
  </si>
  <si>
    <t>F-12.08.01.10.03.15.</t>
  </si>
  <si>
    <t>Idem, DN 1.1/2"</t>
  </si>
  <si>
    <t>F-12.08.01.10.03.16.</t>
  </si>
  <si>
    <t>F-12.08.01.10.03.17.</t>
  </si>
  <si>
    <t>F-12.08.01.10.03.18.</t>
  </si>
  <si>
    <t>Fornecimento e colocação de válvulas de seccionamento de cunha, DN 2"</t>
  </si>
  <si>
    <t>F-12.08.01.10.03.19.</t>
  </si>
  <si>
    <t>Idem, de 1" 1/2</t>
  </si>
  <si>
    <t>F-12.08.01.10.03.20.</t>
  </si>
  <si>
    <t>F-12.08.01.10.03.21.</t>
  </si>
  <si>
    <t>F-12.08.01.10.03.22.</t>
  </si>
  <si>
    <t>Fornecimento e instalação de valvulas de rega para jardim, com caixa incorporada em ferro fundido e saída DN 1"1/2</t>
  </si>
  <si>
    <t>F-12.08.01.10.03.23.</t>
  </si>
  <si>
    <t>Fornecimento e \montagem de boca de lavagem em ferro fundido, DN25</t>
  </si>
  <si>
    <t>F-12.08.01.10.03.24.</t>
  </si>
  <si>
    <t>Fornecimento e montagem de marco de incêndio, de coluna seca, com campanula, DN 80mm</t>
  </si>
  <si>
    <t>F-12.08.01.10.03.25.</t>
  </si>
  <si>
    <t>Fornecimento e montagem de marco de incêndio, de coluna seca, sem campanula, DN 80mm</t>
  </si>
  <si>
    <t>F-12.08.01.10.03.26.</t>
  </si>
  <si>
    <t>Fornecimento e instalação de carretel basculante de alimentação axial, dotado de válvula de esfera com manómetro, agulheta variomatic de três posições, e 25mts de mangueira semi-rígida 25mm, com porta</t>
  </si>
  <si>
    <t>F-12.08.01.10.03.27.</t>
  </si>
  <si>
    <t>Fornecimento e instalação de válvula redutora de pressão em tubagens com DN 2”</t>
  </si>
  <si>
    <t>F-12.08.01.10.03.28.</t>
  </si>
  <si>
    <t>F-12.08.01.10.03.29.</t>
  </si>
  <si>
    <t>F-12.08.01.10.03.30.</t>
  </si>
  <si>
    <t>F-12.08.01.10.03.31.</t>
  </si>
  <si>
    <t>F-12.08.01.10.03.32.</t>
  </si>
  <si>
    <t>Fornecimento e instalação de válvula de retenção de bola em ferro dúctil, de ligação flangeada, DN 50mm</t>
  </si>
  <si>
    <t>F-12.08.01.10.03.33.</t>
  </si>
  <si>
    <t>Idem, DN 65mm</t>
  </si>
  <si>
    <t>F-12.08.01.10.03.34.</t>
  </si>
  <si>
    <t>Idem, DN 80mm</t>
  </si>
  <si>
    <t>F-12.08.01.10.03.35.</t>
  </si>
  <si>
    <t>Idem, DN 100mm</t>
  </si>
  <si>
    <t>F-12.08.01.10.03.36.</t>
  </si>
  <si>
    <t>Fornecimento e instalação de válvula de cunha em ferro dúctil, de ligação flangeada, DN 50mm</t>
  </si>
  <si>
    <t>F-12.08.01.10.03.37.</t>
  </si>
  <si>
    <t>F-12.08.01.10.03.38.</t>
  </si>
  <si>
    <t>F-12.08.01.10.03.39.</t>
  </si>
  <si>
    <t>F-12.08.01.10.03.40.</t>
  </si>
  <si>
    <t>Idem, 150mm</t>
  </si>
  <si>
    <t>F-12.08.01.10.03.41.</t>
  </si>
  <si>
    <t>Fornecimento e instalação de aspersores em jardins para rega de micro aspersão</t>
  </si>
  <si>
    <t>F-12.08.01.10.03.42.</t>
  </si>
  <si>
    <t>Fornecimento e instalação de sistema de rega gota-a-gota  incluindo todos os materiais e acessórios necessários</t>
  </si>
  <si>
    <t>F-12.08.01.10.03.43.</t>
  </si>
  <si>
    <t>Fornecimento e instalação de derivações para sistema de rega gota-a-gota  incluindo todos os acessórios necessários, em sistemas/tubagens pré-existentes, compatíveis com esta montagem.</t>
  </si>
  <si>
    <t>F-12.08.01.10.03.44.</t>
  </si>
  <si>
    <t>Fornecimento e instalação de válvula de bóia de entrada superior, completa, inoxidavél, DN 1”</t>
  </si>
  <si>
    <t>F-12.08.01.10.03.45.</t>
  </si>
  <si>
    <t xml:space="preserve">F-12.08.01.10.04. </t>
  </si>
  <si>
    <t>Torneiras e Válvulas (Em Aparelhos Sanitários)</t>
  </si>
  <si>
    <t>F-12.08.01.10.04.01.</t>
  </si>
  <si>
    <t>Fornecimento e instalação de torneira misturadora monocomando para lavatório</t>
  </si>
  <si>
    <t>F-12.08.01.10.04.02.</t>
  </si>
  <si>
    <t>Idem, para Lava-Loiça</t>
  </si>
  <si>
    <t>F-12.08.01.10.04.03.</t>
  </si>
  <si>
    <t>Idem, para bidé</t>
  </si>
  <si>
    <t>F-12.08.01.10.04.04.</t>
  </si>
  <si>
    <t>Idem, para chuveiro</t>
  </si>
  <si>
    <t>F-12.08.01.10.04.05.</t>
  </si>
  <si>
    <t>Fornecimento e instalação  de torneira de coluna</t>
  </si>
  <si>
    <t>F-12.08.01.10.04.06.</t>
  </si>
  <si>
    <t>Fornecimento e instalação  de torneira de coluna,  temporizada</t>
  </si>
  <si>
    <t>F-12.08.01.10.04.07.</t>
  </si>
  <si>
    <t>Fornecimento e instalação  de torneira de bebedouro,  com botão de pressão</t>
  </si>
  <si>
    <t>F-12.08.01.10.04.08.</t>
  </si>
  <si>
    <t>Fornecimento e instalação de ligação flexivel, em bainha Inox entrelaçado e núcleo em PEX Ø 6 para alimentação de torneiras ou equipamentos (sanitários, etc.), PN10</t>
  </si>
  <si>
    <t>F-12.08.01.10.04.09.</t>
  </si>
  <si>
    <t>Fornecimento e instalação de conjunto de duche (ligação e terminal de duche), com ligação flexivél de 1,50m de comprimento</t>
  </si>
  <si>
    <t>F-12.08.01.10.04.10.</t>
  </si>
  <si>
    <t>Fornecimento e instalação de torneiras de esquadria, em aço inox, para equipamento sanitários</t>
  </si>
  <si>
    <t>F-12.08.01.10.04.11.</t>
  </si>
  <si>
    <t>Fornecimento e instalação de torneira monocomando de alavanca para lavatório, em aço inox, com manípulo hospitalar</t>
  </si>
  <si>
    <t>F-12.08.01.10.04.12.</t>
  </si>
  <si>
    <t>Fornecimento e instalação de torneira electrónica de lavatório, em aço inox, comando foto-elétrico, com dispositivo de mistura</t>
  </si>
  <si>
    <t>F-12.08.01.10.04.13.</t>
  </si>
  <si>
    <t>Fornecimento e instalação de torneira electrónica de lavatório, em aço inox, comando foto-elétrico, sem dispositivo de mistura</t>
  </si>
  <si>
    <t>F-12.08.01.10.04.14.</t>
  </si>
  <si>
    <t xml:space="preserve">Fornecimento e instalação de sistema de descarga eletrónico de urinol, com sensor foto-elétrico, em aço inox </t>
  </si>
  <si>
    <t>F-12.08.01.10.04.15.</t>
  </si>
  <si>
    <t>Fornecimento e instalação de fluxometro de urinol,  temporizado, com regulador, em aço inox</t>
  </si>
  <si>
    <t>F-12.08.01.10.04.16.</t>
  </si>
  <si>
    <t>Fornecimento e instalação de sistema de descarga de urinóil, pneumático, em aço inox</t>
  </si>
  <si>
    <t>F-12.08.01.10.04.17.</t>
  </si>
  <si>
    <t>Fornecimento e instalação de placa de comando para descarga de autoclismo embutido, com dupla descarga, em aço inox</t>
  </si>
  <si>
    <t>F-12.08.01.10.04.18</t>
  </si>
  <si>
    <t>Fornecimento e instalação de placa de comando para descarga de fluxómetro, em aço inox</t>
  </si>
  <si>
    <t>F-12.08.01.10.04.19.</t>
  </si>
  <si>
    <t>Fornecimento e montagem de torneiras simples temporizadas, para serviço de equipamentos sanitários</t>
  </si>
  <si>
    <t xml:space="preserve">F-12.08.01.10.05. </t>
  </si>
  <si>
    <t>Aparelhos Sanitários e Equipamentos</t>
  </si>
  <si>
    <t>F-12.08.01.10.05.01.</t>
  </si>
  <si>
    <t>Fornecimento, colocação/ de autoclismos tipo de mochila em PVC</t>
  </si>
  <si>
    <t>F-12.08.01.10.05.02.</t>
  </si>
  <si>
    <t>Reparação de autoclismos de mochila</t>
  </si>
  <si>
    <t>F-12.08.01.10.05.03.</t>
  </si>
  <si>
    <t>Fornecimento e colocação de camaras de compensação</t>
  </si>
  <si>
    <t>F-12.08.01.10.05.04.</t>
  </si>
  <si>
    <t xml:space="preserve"> Fornecimento e instalação de emboques</t>
  </si>
  <si>
    <t>F-12.08.01.10.05.05.</t>
  </si>
  <si>
    <t>Fornecimento e instalação de fluxómetro para sanita, com ligação e descarga DN 3/4", pressão de fluxo de 1,2 bar, em aço inox</t>
  </si>
  <si>
    <t>F-12.08.01.10.05.06.</t>
  </si>
  <si>
    <t>Fornecimento e instalação de balão de pressão hidrosférico de 50L</t>
  </si>
  <si>
    <t>F-12.08.01.10.05.07.</t>
  </si>
  <si>
    <t>Idem, de 100L</t>
  </si>
  <si>
    <t>F-12.08.01.10.05.08.</t>
  </si>
  <si>
    <t>Fornecimento e instalação de autoclismo de embutir e respetiva estrutura de suporte completa, para instalação de sanitário suspenso ou apoiado</t>
  </si>
  <si>
    <t>F-12.08.01.10.05.09.</t>
  </si>
  <si>
    <t>Fornecimento e instalação de coluna de lavatório</t>
  </si>
  <si>
    <t>F-12.08.01.10.05.10.</t>
  </si>
  <si>
    <t>Idem, meia coluna</t>
  </si>
  <si>
    <t>F-12.08.01.10.05.11.</t>
  </si>
  <si>
    <t>Idem, lavatório</t>
  </si>
  <si>
    <t>F-12.08.01.10.05.12.</t>
  </si>
  <si>
    <t>Idem, lavatórios para pessoas de mobilidade condicionada</t>
  </si>
  <si>
    <t>F-12.08.01.10.05.13.</t>
  </si>
  <si>
    <t>Idem, lavatório semi-encastrar</t>
  </si>
  <si>
    <t>F-12.08.01.10.05.14.</t>
  </si>
  <si>
    <t>Idem, sanita simples</t>
  </si>
  <si>
    <t>F-12.08.01.10.05.15.</t>
  </si>
  <si>
    <t>Idem, sanita compacta com autoclismo em loiça</t>
  </si>
  <si>
    <t>F-12.08.01.10.05.16.</t>
  </si>
  <si>
    <t>Idem, sanita suspensa</t>
  </si>
  <si>
    <t>F-12.08.01.10.05.17.</t>
  </si>
  <si>
    <t>Idem para pessoas de mobilidade condicionada</t>
  </si>
  <si>
    <t>F-12.08.01.10.05.18.</t>
  </si>
  <si>
    <t>Idem, autoclismo compacto em abs</t>
  </si>
  <si>
    <t>F-12.08.01.10.05.19.</t>
  </si>
  <si>
    <t>Idem, bidé apoiado</t>
  </si>
  <si>
    <t>F-12.08.01.10.05.20.</t>
  </si>
  <si>
    <t>Idem, bidé suspenso</t>
  </si>
  <si>
    <t>F-12.08.01.10.05.21.</t>
  </si>
  <si>
    <t>Fornecimento e instalação de sanita em aço inoxidável  de descarga ao chão</t>
  </si>
  <si>
    <t>F-12.08.01.10.05.22.</t>
  </si>
  <si>
    <t>Idem, de descarga à parede</t>
  </si>
  <si>
    <t>F-12.08.01.10.05.23.</t>
  </si>
  <si>
    <t>Fornecimento e instalação de urinol de parede do tipo "Sanindusa - Série Atlântico", ou equivalente</t>
  </si>
  <si>
    <t>F-12.08.01.10.05.24.</t>
  </si>
  <si>
    <t>Fornecimento e instalação de urinol de parede do tipo "Sanindusa - Série Ria", ou equivalente</t>
  </si>
  <si>
    <t>F-12.08.01.10.05.25.</t>
  </si>
  <si>
    <t>Idem, para urinóis de face (coluna)</t>
  </si>
  <si>
    <t>F-12.08.01.10.05.26.</t>
  </si>
  <si>
    <t>Fornecimento e instalação de base de chuveiro de pousar com dimensão 0,70mx0,70m</t>
  </si>
  <si>
    <t>F-12.08.01.10.05.27.</t>
  </si>
  <si>
    <t>Idem, com dimensão 0,80mx0,80m</t>
  </si>
  <si>
    <t>F-12.08.01.10.05.28.</t>
  </si>
  <si>
    <t>Idem, de encastrar com dimensão 0,80mx0,80m</t>
  </si>
  <si>
    <t>F-12.08.01.10.05.29.</t>
  </si>
  <si>
    <t>Idem, com dimensão 080x1,20m</t>
  </si>
  <si>
    <t>F-12.08.01.10.05.30.</t>
  </si>
  <si>
    <t xml:space="preserve">Fornecimento e colocação de lavatório de encastrar, em aço inox </t>
  </si>
  <si>
    <t>F-12.08.01.10.05.31.</t>
  </si>
  <si>
    <t>Fornecimento e instalação de lava - loiça em aço inox, de pia dupla, com escorredor</t>
  </si>
  <si>
    <t>F-12.08.01.10.05.32.</t>
  </si>
  <si>
    <t>Idem, para sifões de gorduras</t>
  </si>
  <si>
    <t>F-12.08.01.10.05.33.</t>
  </si>
  <si>
    <t>Idem, para sifões de garrafa cromados</t>
  </si>
  <si>
    <t>F-12.08.01.10.05.34.</t>
  </si>
  <si>
    <t>Idem, para sifões de pavimento</t>
  </si>
  <si>
    <t>F-12.08.01.10.05.35.</t>
  </si>
  <si>
    <t>Fornecimento e instalação de sifão flexivél de acabamento cromado</t>
  </si>
  <si>
    <t>F-12.08.01.10.05.36.</t>
  </si>
  <si>
    <t>Fornecimento e colocação/instalação de cilindros termoacumuladores elétricos para aquecimento de água, de instalação vertical, de potência mínima 1500W</t>
  </si>
  <si>
    <t xml:space="preserve">F-12.08.01.10.05.36.01. </t>
  </si>
  <si>
    <t>Com 30 l de capacidade</t>
  </si>
  <si>
    <t>F-12.08.01.10.05.36.02.</t>
  </si>
  <si>
    <t>Com 50 l de capacidade</t>
  </si>
  <si>
    <t xml:space="preserve">F-12.08.01.10.05.36.03. </t>
  </si>
  <si>
    <t>Com 80 l de capacidade</t>
  </si>
  <si>
    <t>F-12.08.01.10.05.36.04.</t>
  </si>
  <si>
    <t>Com 100l de capacidade</t>
  </si>
  <si>
    <t xml:space="preserve">F-12.08.01.10.05.36.05. </t>
  </si>
  <si>
    <t>Com 150l de capacidade</t>
  </si>
  <si>
    <t>F-12.08.01.10.05.37.</t>
  </si>
  <si>
    <t>Fornecimento e instalação de válvula de segurança em termoacumuladores, de 6bar</t>
  </si>
  <si>
    <t>F-12.08.01.10.05.38.</t>
  </si>
  <si>
    <t>Idem, 7bar</t>
  </si>
  <si>
    <t>F-12.08.01.10.05.39.</t>
  </si>
  <si>
    <t>Idem, 8bar</t>
  </si>
  <si>
    <t>F-12.08.01.10.05.40.</t>
  </si>
  <si>
    <t>Idem, 10bar</t>
  </si>
  <si>
    <t>F-12.08.01.10.05.41.</t>
  </si>
  <si>
    <t>Fornecimento e instalação de vaso de expansão de 5lt</t>
  </si>
  <si>
    <t>F-12.08.01.10.05.42.</t>
  </si>
  <si>
    <t>Idem, de 12lt</t>
  </si>
  <si>
    <t>F-12.08.01.10.05.43.</t>
  </si>
  <si>
    <t>Idem, de 35lt</t>
  </si>
  <si>
    <t>F-12.08.01.10.05.44.</t>
  </si>
  <si>
    <t>Idem, de 50lt</t>
  </si>
  <si>
    <t>F-12.08.01.10.05.45.</t>
  </si>
  <si>
    <t>Idem, de 100lt</t>
  </si>
  <si>
    <t>F-12.08.01.10.05.46.</t>
  </si>
  <si>
    <t>Fornecimento e instalação de contadores de água fria, com caixa em latão forjado, de 1/2''</t>
  </si>
  <si>
    <t>F-12.08.01.10.05.47.</t>
  </si>
  <si>
    <t>F-12.08.01.10.05.48.</t>
  </si>
  <si>
    <t>F-12.08.01.10.05.49.</t>
  </si>
  <si>
    <t>Idem, de 1 1/2"</t>
  </si>
  <si>
    <t>F-12.08.01.10.05.50.</t>
  </si>
  <si>
    <t>F-12.08.01.10.05.51.</t>
  </si>
  <si>
    <t>Fornecimento e instalação de manómetro de pressão em traçado de rede</t>
  </si>
  <si>
    <t>F-12.08.01.10.05.52.</t>
  </si>
  <si>
    <t>Fornecimento e instalação de tampa de sifão cromada, de aba larga, até 180mm de dimensão diametral</t>
  </si>
  <si>
    <t>F-12.08.01.10.05.53.</t>
  </si>
  <si>
    <t xml:space="preserve">Fornecimento e instalação de separador de gorduras, para implantação enterrada, capacidade nominal de 2 l/s, dotado de câmaras de decantação e separação independentes, Incluindo conexões de entrada e saída, todos os acessórios e pertencesassim como todos os acessórios necessários à boa instalação. </t>
  </si>
  <si>
    <t xml:space="preserve">F-12.08.01.10.05.53.01. </t>
  </si>
  <si>
    <t>Idem, com capacidade nominal de 4l/s</t>
  </si>
  <si>
    <t xml:space="preserve">F-12.08.01.10.05.53.02. </t>
  </si>
  <si>
    <t>Idem, com capacidade nominal de 6l/s</t>
  </si>
  <si>
    <t>F-12.08.01.10.05.53.03.</t>
  </si>
  <si>
    <t>Idem, com capacidade nominal de 10l/s</t>
  </si>
  <si>
    <t>F-12.08.01.10.06.</t>
  </si>
  <si>
    <t>Acessórios Sanitários</t>
  </si>
  <si>
    <t>F-12.08.01.10.06.01.</t>
  </si>
  <si>
    <t>Fornecimento e instalação de toalheiro de barra, em aço inoxidável, com dimensão entre 0,60 e 0,70m</t>
  </si>
  <si>
    <t>F-12.08.01.10.06.02.</t>
  </si>
  <si>
    <t>Idem, em plástico ABS</t>
  </si>
  <si>
    <t>F-12.08.01.10.06.03.</t>
  </si>
  <si>
    <t>Fornecimento e instalação de porta-rolos para papel higiénico, em aço inox, circulares, diâm. 260mm</t>
  </si>
  <si>
    <t>F-12.08.01.10.06.04.</t>
  </si>
  <si>
    <t>F-12.08.01.10.06.05.</t>
  </si>
  <si>
    <t>Idem, porta-rolos para papel higiénico convencional, em aço inoxidável, com tampa</t>
  </si>
  <si>
    <t>F-12.08.01.10.06.06.</t>
  </si>
  <si>
    <t>F-12.08.01.10.06.07.</t>
  </si>
  <si>
    <t>Idem, conjunto copo e piaçaba, em aço inox, para fixação a parede</t>
  </si>
  <si>
    <t>F-12.08.01.10.06.08</t>
  </si>
  <si>
    <t>Idem, recipiente de lixo para wc</t>
  </si>
  <si>
    <t>F-12.08.01.10.06.09</t>
  </si>
  <si>
    <t>Idem, tampas de saneamento com 50x50 ou 60x60</t>
  </si>
  <si>
    <t>F-12.08.01.10.06.10</t>
  </si>
  <si>
    <t>Idem, tampas de sanita</t>
  </si>
  <si>
    <t>F-12.08.01.10.06.11</t>
  </si>
  <si>
    <t>Idem, doseador de sabonete líquido em aço inoxidável</t>
  </si>
  <si>
    <t>F-12.08.01.10.06.12</t>
  </si>
  <si>
    <t>Idem, doseador de sabonete líquido em plástico ABS</t>
  </si>
  <si>
    <t>F-12.08.01.10.06.13</t>
  </si>
  <si>
    <t>Idem, porta-toalhetes em aço inoxidável</t>
  </si>
  <si>
    <t>F-12.08.01.10.06.14</t>
  </si>
  <si>
    <t>Idem, porta-toalhetes em plástico ABS</t>
  </si>
  <si>
    <t>F-12.08.01.10.06.15</t>
  </si>
  <si>
    <t>Idem, varões para cortinados</t>
  </si>
  <si>
    <t>F-12.08.01.10.06.16</t>
  </si>
  <si>
    <t>Idem, cortinados plastificados para balneários</t>
  </si>
  <si>
    <t>F-12.08.01.10.06.17</t>
  </si>
  <si>
    <t>Fornecimento e instalação de espelho, qualidade cristal, em vidro de 6mm, com arestas biseladas</t>
  </si>
  <si>
    <t>F-12.08.01.10.06.18.</t>
  </si>
  <si>
    <t>Fornecimento e instalação de separadores de urinóis, em plástico, com perfil de fixação / suporte em aluminio escovado,  com as dimensões de 740mm*440mm</t>
  </si>
  <si>
    <t>F-12.08.01.10.06.19.</t>
  </si>
  <si>
    <t>Fornecimento e instalação de barra de apoio reto com campânula de proteção</t>
  </si>
  <si>
    <t>F-12.08.01.10.06.20.</t>
  </si>
  <si>
    <t>Fornecimento e instalação de barra de apoio rebatível em aço inoxidável AISI 304</t>
  </si>
  <si>
    <t>F-12.08.01.10.06.21.</t>
  </si>
  <si>
    <t>Fornecimento e instalação de muda fraldas rebatível em polietileno, horizontal de parede</t>
  </si>
  <si>
    <t>F-12.08.01.10.07.</t>
  </si>
  <si>
    <t>Limpezas e Desobstruções</t>
  </si>
  <si>
    <t>F-12.08.01.10.07.01.</t>
  </si>
  <si>
    <t>Reparação ou desobstrução de canalizações de esgotos, não incluindo abertura de roços ou valas</t>
  </si>
  <si>
    <t>F-12.08.01.10.07.02.</t>
  </si>
  <si>
    <t>Desobstrução de esgotos de sanitas e turcas</t>
  </si>
  <si>
    <t>F-12.08.01.10.07.03.</t>
  </si>
  <si>
    <t>Idem em lavatórios e bidés</t>
  </si>
  <si>
    <t>F-12.08.01.10.07.04.</t>
  </si>
  <si>
    <t>Idem em caixas de visita</t>
  </si>
  <si>
    <t>F-12.08.01.10.07.05.</t>
  </si>
  <si>
    <t>Idem em urinóis</t>
  </si>
  <si>
    <t>F-12.08.01.10.07.06.</t>
  </si>
  <si>
    <t>Idem em tubos de queda</t>
  </si>
  <si>
    <t>F-12.08.01.10.07.07.</t>
  </si>
  <si>
    <t>Desobstrução de canalizações de esgotos ou de outra natureza por meios mecânicos de bombagem ou injeção, qualquer que seja a extensão, com recurso a empresas especializadas:</t>
  </si>
  <si>
    <t xml:space="preserve">F-12.08.01.10.07.07.01. </t>
  </si>
  <si>
    <t>Mobilização dos meios</t>
  </si>
  <si>
    <t xml:space="preserve">F-12.08.01.10.07.07.02. </t>
  </si>
  <si>
    <t>horas adicionais</t>
  </si>
  <si>
    <t>h</t>
  </si>
  <si>
    <t>F-12.08.01.10.07.08.</t>
  </si>
  <si>
    <t>Limpeza e esvaziamento de fossas séticas, por meios mecânicos de bombagem, qualquer que seja a dimensão, com recurso a empresas especializadas:</t>
  </si>
  <si>
    <t xml:space="preserve">F-12.08.01.10.07.08.01. </t>
  </si>
  <si>
    <t xml:space="preserve">F-12.08.01.10.07.08.02. </t>
  </si>
  <si>
    <t>Volume adicional ao artigo anterior em m3</t>
  </si>
  <si>
    <t>F-12.08.01.10.07.09.</t>
  </si>
  <si>
    <t>Limpeza e esvaziamento de caixas de separação de gorduras, por meios mecânicos de bombagem, qualquer que seja a dimensão, com recurso a empresas especializadas, incluindo tratamento dos resíduos (mistura com gorduras):</t>
  </si>
  <si>
    <t>F-12.08.01.10.07.09.01.</t>
  </si>
  <si>
    <t xml:space="preserve">F-12.08.01.10.07.09.02. </t>
  </si>
  <si>
    <t>F-12.08.01.10.07.10.</t>
  </si>
  <si>
    <t>Limpeza e esvaziamento de separador de hidrocarbonetos, por meios mecânicos de bombagem, até 6,5m3 de volume, com recurso a empresas especializadas, incluindo tratamento dos resíduos líquidos e sólidos e limpeza das superfícies.</t>
  </si>
  <si>
    <t>F-12.08.01.10.08.</t>
  </si>
  <si>
    <t>Tampas para caixas de visita e Sumidouros / Sarjetas</t>
  </si>
  <si>
    <t>F-12.08.01.10.08.01.</t>
  </si>
  <si>
    <t>Fornecimento e colocação de conjunto tampa e aro em ferro fundido, circulares ou de secção equivalente, classe B125</t>
  </si>
  <si>
    <t xml:space="preserve">F-12.08.01.10.08.01.01. </t>
  </si>
  <si>
    <t>De diâm. 40cm</t>
  </si>
  <si>
    <t xml:space="preserve">F-12.08.01.10.08.01.02. </t>
  </si>
  <si>
    <t>De diâm. 55cm</t>
  </si>
  <si>
    <t>F-12.08.01.10.08.01.03.</t>
  </si>
  <si>
    <t>De diâm. 60cm</t>
  </si>
  <si>
    <t>F-12.08.01.10.08.02.</t>
  </si>
  <si>
    <t>Fornecimento e colocação de conjunto tampa e aro em ferro fundido, circulares ou de secção equivalente, classe C250</t>
  </si>
  <si>
    <t xml:space="preserve">F-12.08.01.10.08.02.01. </t>
  </si>
  <si>
    <t xml:space="preserve">F-12.08.01.10.08.02.02. </t>
  </si>
  <si>
    <t>F-12.08.01.10.08.02.03.</t>
  </si>
  <si>
    <t xml:space="preserve">F-12.08.01.10.08.02.04. </t>
  </si>
  <si>
    <t>De diâm. 80cm</t>
  </si>
  <si>
    <t>F-12.08.01.10.08.03.</t>
  </si>
  <si>
    <t>Fornecimento e colocação de conjunto tampa e aro em ferro fundido, circulares ou de secção equivalente, classe D400</t>
  </si>
  <si>
    <t xml:space="preserve">F-12.08.01.10.08.03.01. </t>
  </si>
  <si>
    <t>F-12.08.01.10.08.03.02.</t>
  </si>
  <si>
    <t>F-12.08.01.10.08.03.03.</t>
  </si>
  <si>
    <t>F-12.08.01.10.08.04.</t>
  </si>
  <si>
    <t>Fornecimento e colocação/assentamento de conjunto aro/grelha de sumidouro com sistema anti roubo:</t>
  </si>
  <si>
    <t>F-12.08.01.10.08.04.01.</t>
  </si>
  <si>
    <t>De dimensão 60x35cm, classe C250</t>
  </si>
  <si>
    <t xml:space="preserve">F-12.08.01.10.08.04.02. </t>
  </si>
  <si>
    <t>De dimensão 60x35cm, classe D400</t>
  </si>
  <si>
    <t>F-12.08.01.10.08.04.03.</t>
  </si>
  <si>
    <t>Fornecimento e assentamento de tampas/grelha circulares, em ferro fundido, classe D400, diâm 60cm</t>
  </si>
  <si>
    <t xml:space="preserve">F-12.08.01.10.08.04.04. </t>
  </si>
  <si>
    <t>Fornecimento e assentamento de conjunto grelha e aro em ferro fundido para sumidouro, com dimensão 60x350mm, classe C250</t>
  </si>
  <si>
    <t>F-12.08.01.10.08.05.</t>
  </si>
  <si>
    <t>Fornecimento e instalação de canal de drenagem, com grelha em ferro fundido</t>
  </si>
  <si>
    <t xml:space="preserve">F-12.08.01.10.08.05.01. </t>
  </si>
  <si>
    <t>Com secção 100(l,int.)x130mm(h), classe D400</t>
  </si>
  <si>
    <t>F-12.08.01.10.08.05.02.</t>
  </si>
  <si>
    <t>Com secção 150(l,int.)x170mm(h), classe D400</t>
  </si>
  <si>
    <t xml:space="preserve">F-12.08.01.10.08.05.03. </t>
  </si>
  <si>
    <t>Idem, com grelha zincada e secção 100mm(l.Int.)x90mm(h)</t>
  </si>
  <si>
    <t>F-12.08.01.10.08.06.</t>
  </si>
  <si>
    <t>Fornecimento e instalação de grelhas para sumidouros construídas por medida em perfis em aço laminado a quente (tipo UPN, L, LD, T, etc., soldadas e galvanizadas</t>
  </si>
  <si>
    <t>F-12.08.01.10.08.07.</t>
  </si>
  <si>
    <t>Fornecimento e colocação/assentamento de conjunto aro/grelha em aço metalizado e executados por medida para tapamento de caleiras e sargetas</t>
  </si>
  <si>
    <t>F-12.08.01.10.08.08.</t>
  </si>
  <si>
    <t>Fornecimento e instalação de grelhas de ferro fundido em aros existentes para caleiras de pavimento contínuas , classe D400</t>
  </si>
  <si>
    <t>F-12.08.01.11.</t>
  </si>
  <si>
    <t>Vedações (Nota: Nas vedações com elementos metálicos, referenciadas neste capítulo, deverá ser considerado o fornecimento e instalação dos materiais para efetuar as ligações à terra através de piquetes, de acordo com o estabelecido nas IT mencionadas.)</t>
  </si>
  <si>
    <t xml:space="preserve">F-12.08.01.11.01. </t>
  </si>
  <si>
    <t>Fornecimento e colocação de vedação constituída por painéis de rede em aço eletrosoldados de acordo com IT_CCE_003, incluindo prumos</t>
  </si>
  <si>
    <t>F-12.08.01.11.02.</t>
  </si>
  <si>
    <t>Fornecimento e colocação de vedação constituída por painéis de rede em aço electrosoldados de acordo com IT_CCE_004, tipologia I, incluindo prumos</t>
  </si>
  <si>
    <t xml:space="preserve">F-12.08.01.11.03. </t>
  </si>
  <si>
    <t>Fornecimento e colocação de vedação constituída por painéis de rede em aço electrosoldados de acordo com IT_CCE_004, tipologia II, incluíndo prumos.</t>
  </si>
  <si>
    <t>F-12.08.01.11.04.</t>
  </si>
  <si>
    <t>Fornecimento e montagem de prumos de madeira de secção 8,5/10 com 2,40m de altura, de acordo com IT_CCE_005</t>
  </si>
  <si>
    <t>F-12.08.01.11.05.</t>
  </si>
  <si>
    <t>Fornecimento e colocação de fixadores em prumos metálicos de vedação constituída por painéis de rede em aço eletrosoldados de acordo com IT_CCE_004, tipologia I</t>
  </si>
  <si>
    <t>F-12.08.01.11.06.</t>
  </si>
  <si>
    <t>Fornecimento e montagem de vedação em rede progressiva, de acordo com IT.CCE.005</t>
  </si>
  <si>
    <t>F-12.08.01.11.07</t>
  </si>
  <si>
    <t>Fornecimento e montagem de vedação de plena via em zona rural, conforme GR.IT.CCE.005, para rede ferroviária convencional</t>
  </si>
  <si>
    <t>F-12.08.01.11.08</t>
  </si>
  <si>
    <t>Fornecimento e montagem de vedação de plena via em zona rural, conforme GR.IT.CCE.005, para rede ferroviária de alta velocidade</t>
  </si>
  <si>
    <t>F-12.08.01.11.09</t>
  </si>
  <si>
    <t>Reparação de rede de vedação de plena via em zona rural</t>
  </si>
  <si>
    <t>F-12.08.01.11.10</t>
  </si>
  <si>
    <t>Fornecimento e montagem de portão de viaturas em vedação de plena via em zona rural, conforme GR.IT.CCE.005, para rede ferroviária convencional</t>
  </si>
  <si>
    <t>F-12.08.01.11.11</t>
  </si>
  <si>
    <t>Fornecimento e montagem de portão de viaturas em vedação de plena via em zona rural, conforme GR.IT.CCE.005, para rede ferroviária de alta velocidade</t>
  </si>
  <si>
    <t>F-12.08.01.11.12</t>
  </si>
  <si>
    <t>Fornecimento e montagem de porta de homem , conforme GR.IT.CCE.005, na rede ferroviária convencional</t>
  </si>
  <si>
    <t>F-12.08.01.11.13</t>
  </si>
  <si>
    <t>Fornecimento e montagem de porta de homem , conforme GR.IT.CCE.005, na rede ferroviária de alta velocidade</t>
  </si>
  <si>
    <t>F-12.08.01.11.14.</t>
  </si>
  <si>
    <t>Fornecimento e montagem de vedação em estação, apeadeiro e plena via, em zonas urbanas, conforme GR.IT.CCE.007</t>
  </si>
  <si>
    <t>F-12.08.01.11.15</t>
  </si>
  <si>
    <t>Fornecimento e montagem de portão de viatura, conforme GR.IT.CCE.007</t>
  </si>
  <si>
    <t>F-12.08.01.11.16</t>
  </si>
  <si>
    <t>Fornecimento e montagem de portão de homem,  conforme GR.IT.CCE.007</t>
  </si>
  <si>
    <t>F-12.08.01.11.17</t>
  </si>
  <si>
    <t>Fornecimento e colocação de rede elástica DIN plastificada</t>
  </si>
  <si>
    <t>F-12.08.01.11.18</t>
  </si>
  <si>
    <t>Reparação de vedação elástica DIN</t>
  </si>
  <si>
    <t>F-12.08.01.11.19</t>
  </si>
  <si>
    <t>Fornecimento e instalação de guardas metálicas rodoviárias</t>
  </si>
  <si>
    <t>F-12.08.01.11.20</t>
  </si>
  <si>
    <t>Fornecimento e colocação de vedação constituida por paineis de rede com a altura de 1,50m e largura 2,00m, em varões de aço de 8mm electrosoldados, em malha rectangular 200mmx80mm, envolvidos por cantoneira em LNP 30*30*5mm, apoiados em postes, igualmente em aço de secção circular (2'').</t>
  </si>
  <si>
    <t>F-12.08.01.11.21</t>
  </si>
  <si>
    <t>Fornecimento e colocação de vedação constituida por paineis de rede com a altura de 1,70m e largura 3,00m, em varões de aço de 8mm electrosoldados, em malha rectangular 200mmx80mm, envolvidos por cantoneira em LNP 30*30*5mm, apoiados em postes, igualmente em aço de secção circular (2'').</t>
  </si>
  <si>
    <t>F-12.08.01.12.</t>
  </si>
  <si>
    <t>Manutenção de Zonas Verdes (inclui a recolha e o encaminhamento dos sobrantes/ resíduos a destino final autorizado/ licenciado, bem como, o cumprimento das disposições legais inerentes).</t>
  </si>
  <si>
    <t xml:space="preserve">F-12.08.01.12.01. </t>
  </si>
  <si>
    <t>Renovação de áreas relvadas</t>
  </si>
  <si>
    <t xml:space="preserve">F-12.08.01.12.02. </t>
  </si>
  <si>
    <t>Fornecimento e aplicação de terra vegetal em jardins, canteiros ou floreiras</t>
  </si>
  <si>
    <t xml:space="preserve">F-12.08.01.12.03. </t>
  </si>
  <si>
    <t>Fornecimento e aplicação de tela anti germinante</t>
  </si>
  <si>
    <t>F-12.08.01.12.04</t>
  </si>
  <si>
    <t>Fornecimento e aplicação de casca de carvalho em jardins</t>
  </si>
  <si>
    <t>F-12.08.01.12.05</t>
  </si>
  <si>
    <t xml:space="preserve">Poda de sebes </t>
  </si>
  <si>
    <t>F-12.08.01.12.06</t>
  </si>
  <si>
    <t>Poda de arbusto</t>
  </si>
  <si>
    <t>F-12.08.01.12.07</t>
  </si>
  <si>
    <t>Poda de árvores até uma altura inferior ou igual a 10 metros com recurso a equipamento mecânico e remoção de detritos a destino final autorizado ou local a designar</t>
  </si>
  <si>
    <t>F-12.08.01.12.08</t>
  </si>
  <si>
    <t>Poda de árvores de altura superior a 10 metros com recurso a equipamento mecânico e remoção de detritos a destino final autorizado ou local a designar.</t>
  </si>
  <si>
    <t>F-12.08.01.13.</t>
  </si>
  <si>
    <t>Aluguer de Equipamento e Fornecimento de Materiais</t>
  </si>
  <si>
    <t xml:space="preserve">F-12.08.01.13.01. </t>
  </si>
  <si>
    <t>Aluguer de Equipamento</t>
  </si>
  <si>
    <t>F-12.08.01.13.01.01.</t>
  </si>
  <si>
    <t>Montagem/desmontagem de andaimes em tubo metálico de acordo com o estabelecido com o art.º 40º do Decreto-Lei 50/2005</t>
  </si>
  <si>
    <t>F-12.08.01.13.01.02.</t>
  </si>
  <si>
    <t>Retro escavadora</t>
  </si>
  <si>
    <t>F-12.08.01.13.01.03.</t>
  </si>
  <si>
    <t>Retro escavadora pequena (tipo Bob-Cat)</t>
  </si>
  <si>
    <t>F-12.08.01.13.01.04.</t>
  </si>
  <si>
    <t>Giratória tipo Cat 325</t>
  </si>
  <si>
    <t>F-12.08.01.13.01.05.</t>
  </si>
  <si>
    <t>Compressor</t>
  </si>
  <si>
    <t>F-12.08.01.13.01.06.</t>
  </si>
  <si>
    <t>Cilindro vibrador</t>
  </si>
  <si>
    <t>F-12.08.01.13.01.07.</t>
  </si>
  <si>
    <t>Pá carregadora</t>
  </si>
  <si>
    <t>F-12.08.01.13.01.08.</t>
  </si>
  <si>
    <t>Camião de 12t basculante</t>
  </si>
  <si>
    <t>F-12.08.01.13.01.09.</t>
  </si>
  <si>
    <t>Camião superior a 26t basculante</t>
  </si>
  <si>
    <t>F-12.08.01.13.01.10.</t>
  </si>
  <si>
    <t>Viatura mista tipo pick-up até 3500 Kg PB</t>
  </si>
  <si>
    <t>F-12.08.01.13.01.11.</t>
  </si>
  <si>
    <t>Martelo elétrico, incluindo grilho e demais acessórios</t>
  </si>
  <si>
    <t>F-12.08.01.13.01.12.</t>
  </si>
  <si>
    <t>Retificadora/rebarbadora elétrica para trabalhos de serralharia e outros</t>
  </si>
  <si>
    <t>F-12.08.01.13.01.13.</t>
  </si>
  <si>
    <t>Bomba elétrica de elevação de 2"</t>
  </si>
  <si>
    <t>F-12.08.01.13.01.14.</t>
  </si>
  <si>
    <t>Compactador (saltitão)</t>
  </si>
  <si>
    <t>F-12.08.01.13.01.15.</t>
  </si>
  <si>
    <t>Máquina de corte para pavimento betuminoso e/ou betão</t>
  </si>
  <si>
    <t>F-12.08.01.13.01.16.</t>
  </si>
  <si>
    <t>Gerador elétrico de 2,5 KVA</t>
  </si>
  <si>
    <t>F-12.08.01.13.01.17.</t>
  </si>
  <si>
    <t>Gerador elétrico de 5 KVA</t>
  </si>
  <si>
    <t>F-12.08.01.13.01.18.</t>
  </si>
  <si>
    <t>Máquina giratória com balde de 0.75m3</t>
  </si>
  <si>
    <t>F-12.08.01.13.01.19.</t>
  </si>
  <si>
    <t>Betoneira motor a gasolina com balde de 130 litros</t>
  </si>
  <si>
    <t>F-12.08.01.13.01.20.</t>
  </si>
  <si>
    <t>Camião grua até 22 ton</t>
  </si>
  <si>
    <t>F-12.08.01.13.01.21.</t>
  </si>
  <si>
    <t>Grua até 5 Ton</t>
  </si>
  <si>
    <t>F-12.08.01.13.01.22.</t>
  </si>
  <si>
    <t>Grua até 10 Ton</t>
  </si>
  <si>
    <t>F-12.08.01.13.01.23.</t>
  </si>
  <si>
    <t>Plataforma elevatória até 10 metros</t>
  </si>
  <si>
    <t>F-12.08.01.13.01.24.</t>
  </si>
  <si>
    <t>Plataforma elevatória para alturas superiores a 10 metros</t>
  </si>
  <si>
    <t>F-12.08.01.13.01.25.</t>
  </si>
  <si>
    <t>Plataforma elevatória articulada, com amplitude de trabalho &gt;= 43m</t>
  </si>
  <si>
    <t>F-12.08.01.13.01.26.</t>
  </si>
  <si>
    <t>Motoniveladora</t>
  </si>
  <si>
    <t>Veiculo cisterna de capacidade &gt;= 6,00m3</t>
  </si>
  <si>
    <t xml:space="preserve">F-12.08.01.13.02. </t>
  </si>
  <si>
    <t>Fornecimento de Materiais</t>
  </si>
  <si>
    <t>F-12.08.01.13.02.01.</t>
  </si>
  <si>
    <t>Fornecimento de sacos de cimento 25kg</t>
  </si>
  <si>
    <t>F-12.08.01.13.02.02.</t>
  </si>
  <si>
    <t>Fornecimento de brita</t>
  </si>
  <si>
    <t>F-12.08.01.13.02.03.</t>
  </si>
  <si>
    <t>Fornecimento de tintas plásticas</t>
  </si>
  <si>
    <t>l</t>
  </si>
  <si>
    <t>F-12.08.01.13.02.04.</t>
  </si>
  <si>
    <t>Fornecimento de tintas de esmalte</t>
  </si>
  <si>
    <t>F-12.08.01.13.02.05.</t>
  </si>
  <si>
    <t>Fornecimento de areia do rio lavada</t>
  </si>
  <si>
    <t>F-12.08.01.13.02.06.</t>
  </si>
  <si>
    <t>Fornecimento de pó de pedra</t>
  </si>
  <si>
    <t>F-12.08.01.13.02.07.</t>
  </si>
  <si>
    <t>Fornecimento de Tout-venant</t>
  </si>
  <si>
    <t>F-12.08.01.13.02.08.</t>
  </si>
  <si>
    <t>Fornecimento de balastro de origem granítica</t>
  </si>
  <si>
    <t xml:space="preserve">F-12.08.01.14. </t>
  </si>
  <si>
    <t>Mão de Obra / Construção Civil</t>
  </si>
  <si>
    <t xml:space="preserve">F-12.08.01.14.01. </t>
  </si>
  <si>
    <t>horário Normal</t>
  </si>
  <si>
    <t>F-12.08.01.14.01.01.</t>
  </si>
  <si>
    <t>Encarregado</t>
  </si>
  <si>
    <t>F-12.08.01.14.01.02.</t>
  </si>
  <si>
    <t>Operário</t>
  </si>
  <si>
    <t>F-12.08.01.14.01.03.</t>
  </si>
  <si>
    <t>Ajudante</t>
  </si>
  <si>
    <t xml:space="preserve">F-12.08.01.14.02. </t>
  </si>
  <si>
    <t>horário Pós Laboral, Fim de Semana e Feriados</t>
  </si>
  <si>
    <t>F-12.08.01.14.02.01.</t>
  </si>
  <si>
    <t>F-12.08.01.14.02.02.</t>
  </si>
  <si>
    <t>F-12.08.01.14.02.03.</t>
  </si>
  <si>
    <t>ANEXO D - LISTA DE PREÇOS UNITÁRIOS</t>
  </si>
  <si>
    <t>ITENS CONTRATUAIS NÃO SUJEITOS A CONCORRÊNCIA</t>
  </si>
  <si>
    <t>Preço uni</t>
  </si>
  <si>
    <t xml:space="preserve">F-12.08.01.15. </t>
  </si>
  <si>
    <t>F-12.08.01.15.01.</t>
  </si>
  <si>
    <t>Encargos com ocupação da via pública (licenciamento, taxas, policiamento, etc)</t>
  </si>
  <si>
    <t>uc</t>
  </si>
  <si>
    <t>F-12.08.01.16.</t>
  </si>
  <si>
    <t>Taxa de Mobilização TMB  - ativação da Manutenção Corretiva Normal ou de  Emergência:</t>
  </si>
  <si>
    <t>F-12.08.01.16.01.</t>
  </si>
  <si>
    <t>Ativação da Manutenção Corretiva Normal - Isócrona 1 (até 25 Kms)</t>
  </si>
  <si>
    <t>vg</t>
  </si>
  <si>
    <t>F-12.08.01.16.02.</t>
  </si>
  <si>
    <t>Ativação da Manutenção Corretiva Normal - Isócrona 2 (de 25 a 50 Kms)</t>
  </si>
  <si>
    <t>F-12.08.01.16.03.</t>
  </si>
  <si>
    <t>Ativação da Manutenção Corretiva Normal - Isócrona 3 (de 50 a 75 Kms)</t>
  </si>
  <si>
    <t>F-12.08.01.16.04.</t>
  </si>
  <si>
    <t>Ativação da Manutenção Corretiva Normal - Isócrona 4 (de 75 a 100 Kms)</t>
  </si>
  <si>
    <t>F-12.08.01.16.05.</t>
  </si>
  <si>
    <t>Ativação da Manutenção Corretiva Normal - Isócrona 5 (de 100 a 125 Kms)</t>
  </si>
  <si>
    <t>F-12.08.01.16.06.</t>
  </si>
  <si>
    <t>Ativação da Manutenção Corretiva Normal - Isócrona 6 (de 125 a 150 Kms)</t>
  </si>
  <si>
    <t>F-12.08.01.16.07.</t>
  </si>
  <si>
    <t>Ativação da Manutenção Corretiva Normal - Isócrona 7 ( de 150 a 175 Kms)</t>
  </si>
  <si>
    <t>F-12.08.01.16.08.</t>
  </si>
  <si>
    <t>Ativação da Manutenção Corretiva Normal - Isócrona 8 (de 175 a 200 Kms)</t>
  </si>
  <si>
    <t>F-12.08.01.16.09.</t>
  </si>
  <si>
    <t>Ativação da Manutenção Corretiva Urgente - Isócrona 1 (até 25 Kms)</t>
  </si>
  <si>
    <t>F-12.08.01.16.10.</t>
  </si>
  <si>
    <t>Ativação da Manutenção Corretiva Urgente - Isócrona 2 (de 25 a 50 Kms)</t>
  </si>
  <si>
    <t>F-12.08.01.16.11.</t>
  </si>
  <si>
    <t>Ativação da Manutenção Corretiva Urgente - Isócrona 3 (de 50 a 75 Kms)</t>
  </si>
  <si>
    <t>F-12.08.01.16.12.</t>
  </si>
  <si>
    <t>Ativação da Manutenção Corretiva Urgente - Isócrona 4 (de 75 a 100 Kms)</t>
  </si>
  <si>
    <t>F-12.08.01.16.13.</t>
  </si>
  <si>
    <t>Ativação da Manutenção Corretiva Urgentel - Isócrona 5 (de 100 a 125 Kms)</t>
  </si>
  <si>
    <t>F-12.08.01.16.14.</t>
  </si>
  <si>
    <t>Ativação da Manutenção Corretiva Urgente - Isócrona 6 (de 125 a 150 Kms)</t>
  </si>
  <si>
    <t>F-12.08.01.16.15.</t>
  </si>
  <si>
    <t>Ativação da Manutenção Corretiva Urgentel - Isócrona 7 ( de 150 a 175 Kms)</t>
  </si>
  <si>
    <t>F-12.08.01.16.16.</t>
  </si>
  <si>
    <t>Ativação da Manutenção Corretiva Urgentel - Isócrona 8 (de 175 a 200 Kms)</t>
  </si>
  <si>
    <t>F-12.08.01.03.01.05</t>
  </si>
  <si>
    <t>Limpeza e esvaziamento de poços de bombagem, por meios mecânicos e/ou manuais, qualquer que seja a dimensão</t>
  </si>
  <si>
    <t>F-12.08.01.12.09</t>
  </si>
  <si>
    <t>F-12.08.01.03.03.08</t>
  </si>
  <si>
    <t>Manutenção de sinalética estática em estações, apeadeiros e outros interfaces</t>
  </si>
  <si>
    <t>Construção de caixas de visita em alvenaria de tijolo com 30x20x22, com as dimensões 1,50mx1,50mx1m50m, assente com argamassa de cimento e areia ao traço 1:4, rebocado e  tampas em betão armado  (3x0,50mx1,50mx0,06m), com aro e contra-aro metálico galvanizado em cantoneira em "L" 60mmx60mmx5mm a 80 microns de espessura de galvanização</t>
  </si>
  <si>
    <t>Construção de caixas de visita em alvenaria de tijolo com 30x20x22, com as dimensões 1,00mx1,00mx1m50m, assente com argamassa de cimento e areia ao traço 1:4, rebocado e tampas em betão armado com (3x0,50mx1,00mx0,06m), com aro e contra-aro metálico galvanizado em cantoneira em "L" 60mmx60mmx5mm a 80 microns de espessura de galvanização</t>
  </si>
  <si>
    <t>F-12.08.01.03.03.09</t>
  </si>
  <si>
    <t>Limpeza de parques de estacionamento, passeios e percursos pedonais</t>
  </si>
  <si>
    <t>Corte de relvados</t>
  </si>
  <si>
    <t>PreçoUni</t>
  </si>
  <si>
    <t>F-12.08.01.07.02.24</t>
  </si>
  <si>
    <t>Alçapão para tecto falso contínuo de placas de gesso laminado</t>
  </si>
  <si>
    <t>F-12.08.01.08.05.66</t>
  </si>
  <si>
    <t>Fornecimento e montagem de vidro triplo laminado com 6 mm+6 mm +6 mm, sendo o vidro superior temperado fosco</t>
  </si>
  <si>
    <t>Lote 3</t>
  </si>
  <si>
    <t xml:space="preserve"> DESCO 10024058 - AQUISIÇÃO DE SERVIÇOS PARA A MANUTENÇÃO DE CONSTRUÇÃO CIVIL</t>
  </si>
  <si>
    <t>AQUISIÇÃO DE SERVIÇOS PARA A MANUTENÇÃO DE CONSTRUÇÃO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</si>
</sst>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\ &quot;€&quot;"/>
    <numFmt numFmtId="166" formatCode="0.00000000"/>
  </numFmts>
  <fonts count="2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u/>
      <sz val="10"/>
      <name val="Calibri"/>
      <family val="2"/>
    </font>
    <font>
      <strike/>
      <sz val="10"/>
      <name val="Calibri"/>
      <family val="2"/>
    </font>
    <font>
      <strike/>
      <sz val="10"/>
      <name val="Calibri"/>
      <family val="2"/>
      <scheme val="minor"/>
    </font>
    <font>
      <sz val="10"/>
      <name val="Aptos Narrow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29E8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1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2">
    <xf numFmtId="0" fontId="0" fillId="0" borderId="0" xfId="0"/>
    <xf numFmtId="0" fontId="0" fillId="0" borderId="1" xfId="0" applyBorder="1"/>
    <xf numFmtId="166" fontId="13" fillId="2" borderId="0" xfId="5" applyNumberFormat="1" applyFont="1" applyFill="1"/>
    <xf numFmtId="0" fontId="13" fillId="0" borderId="0" xfId="5" applyFont="1"/>
    <xf numFmtId="0" fontId="14" fillId="0" borderId="0" xfId="5" applyFont="1" applyAlignment="1">
      <alignment vertical="top"/>
    </xf>
    <xf numFmtId="0" fontId="14" fillId="0" borderId="0" xfId="5" applyFont="1" applyAlignment="1">
      <alignment horizontal="justify" vertical="top"/>
    </xf>
    <xf numFmtId="0" fontId="14" fillId="0" borderId="0" xfId="5" applyFont="1" applyAlignment="1">
      <alignment horizontal="center"/>
    </xf>
    <xf numFmtId="0" fontId="16" fillId="0" borderId="0" xfId="5" applyFont="1"/>
    <xf numFmtId="0" fontId="11" fillId="0" borderId="0" xfId="5" applyFont="1" applyAlignment="1">
      <alignment vertical="top"/>
    </xf>
    <xf numFmtId="0" fontId="6" fillId="0" borderId="0" xfId="5" applyFont="1" applyAlignment="1">
      <alignment horizontal="justify" vertical="top"/>
    </xf>
    <xf numFmtId="0" fontId="17" fillId="0" borderId="0" xfId="5" applyFont="1" applyAlignment="1">
      <alignment horizontal="justify" vertical="top"/>
    </xf>
    <xf numFmtId="0" fontId="11" fillId="0" borderId="0" xfId="5" applyFont="1" applyAlignment="1">
      <alignment horizontal="justify" vertical="top"/>
    </xf>
    <xf numFmtId="0" fontId="14" fillId="0" borderId="0" xfId="5" applyFont="1" applyAlignment="1">
      <alignment horizontal="justify" vertical="top" wrapText="1"/>
    </xf>
    <xf numFmtId="0" fontId="11" fillId="0" borderId="0" xfId="5" applyFont="1" applyAlignment="1">
      <alignment horizontal="center"/>
    </xf>
    <xf numFmtId="0" fontId="11" fillId="0" borderId="0" xfId="5" applyFont="1"/>
    <xf numFmtId="0" fontId="6" fillId="0" borderId="0" xfId="5" applyFont="1" applyAlignment="1">
      <alignment horizontal="justify" vertical="top" wrapText="1"/>
    </xf>
    <xf numFmtId="0" fontId="21" fillId="0" borderId="0" xfId="0" applyFont="1"/>
    <xf numFmtId="0" fontId="14" fillId="0" borderId="0" xfId="5" applyFont="1" applyAlignment="1">
      <alignment horizontal="left" vertical="top" wrapText="1"/>
    </xf>
    <xf numFmtId="0" fontId="20" fillId="0" borderId="0" xfId="5" applyFont="1" applyAlignment="1">
      <alignment horizontal="center"/>
    </xf>
    <xf numFmtId="0" fontId="6" fillId="0" borderId="0" xfId="5" applyFont="1" applyAlignment="1">
      <alignment horizontal="left" vertical="center" wrapText="1"/>
    </xf>
    <xf numFmtId="0" fontId="13" fillId="0" borderId="0" xfId="5" applyFont="1" applyAlignment="1">
      <alignment vertical="top"/>
    </xf>
    <xf numFmtId="0" fontId="13" fillId="0" borderId="0" xfId="5" applyFont="1" applyAlignment="1">
      <alignment horizontal="justify" vertical="top"/>
    </xf>
    <xf numFmtId="0" fontId="13" fillId="0" borderId="0" xfId="5" applyFont="1" applyAlignment="1">
      <alignment horizontal="center"/>
    </xf>
    <xf numFmtId="164" fontId="13" fillId="0" borderId="0" xfId="5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5" xfId="5" applyFont="1" applyBorder="1" applyAlignment="1">
      <alignment vertical="top"/>
    </xf>
    <xf numFmtId="0" fontId="14" fillId="0" borderId="5" xfId="5" applyFont="1" applyBorder="1" applyAlignment="1">
      <alignment horizontal="justify" vertical="top"/>
    </xf>
    <xf numFmtId="0" fontId="14" fillId="0" borderId="5" xfId="5" applyFont="1" applyBorder="1" applyAlignment="1">
      <alignment horizontal="center"/>
    </xf>
    <xf numFmtId="164" fontId="14" fillId="0" borderId="0" xfId="5" applyNumberFormat="1" applyFont="1" applyAlignment="1">
      <alignment horizontal="right"/>
    </xf>
    <xf numFmtId="164" fontId="14" fillId="0" borderId="5" xfId="5" applyNumberFormat="1" applyFont="1" applyBorder="1" applyAlignment="1">
      <alignment horizontal="right"/>
    </xf>
    <xf numFmtId="0" fontId="12" fillId="0" borderId="3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 wrapText="1"/>
    </xf>
    <xf numFmtId="0" fontId="14" fillId="0" borderId="3" xfId="0" applyFont="1" applyBorder="1" applyAlignment="1">
      <alignment vertical="top"/>
    </xf>
    <xf numFmtId="0" fontId="14" fillId="0" borderId="2" xfId="0" applyFont="1" applyBorder="1" applyAlignment="1">
      <alignment horizontal="justify" vertical="top"/>
    </xf>
    <xf numFmtId="0" fontId="14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166" fontId="13" fillId="2" borderId="6" xfId="5" applyNumberFormat="1" applyFont="1" applyFill="1" applyBorder="1"/>
    <xf numFmtId="0" fontId="13" fillId="0" borderId="6" xfId="5" applyFont="1" applyBorder="1"/>
    <xf numFmtId="166" fontId="15" fillId="2" borderId="6" xfId="5" applyNumberFormat="1" applyFont="1" applyFill="1" applyBorder="1"/>
    <xf numFmtId="0" fontId="16" fillId="0" borderId="6" xfId="5" applyFont="1" applyBorder="1"/>
    <xf numFmtId="166" fontId="16" fillId="2" borderId="6" xfId="5" applyNumberFormat="1" applyFont="1" applyFill="1" applyBorder="1"/>
    <xf numFmtId="166" fontId="16" fillId="0" borderId="6" xfId="5" applyNumberFormat="1" applyFont="1" applyBorder="1"/>
    <xf numFmtId="0" fontId="11" fillId="0" borderId="6" xfId="5" applyFont="1" applyBorder="1"/>
    <xf numFmtId="166" fontId="13" fillId="0" borderId="6" xfId="5" applyNumberFormat="1" applyFont="1" applyBorder="1"/>
    <xf numFmtId="0" fontId="14" fillId="0" borderId="1" xfId="5" applyFont="1" applyBorder="1" applyAlignment="1">
      <alignment vertical="top"/>
    </xf>
    <xf numFmtId="0" fontId="14" fillId="0" borderId="1" xfId="5" applyFont="1" applyBorder="1" applyAlignment="1">
      <alignment horizontal="justify" vertical="top"/>
    </xf>
    <xf numFmtId="0" fontId="14" fillId="0" borderId="1" xfId="5" applyFont="1" applyBorder="1" applyAlignment="1">
      <alignment horizontal="center"/>
    </xf>
    <xf numFmtId="0" fontId="14" fillId="0" borderId="0" xfId="5" applyFont="1" applyAlignment="1">
      <alignment horizontal="center" vertical="top"/>
    </xf>
    <xf numFmtId="164" fontId="6" fillId="0" borderId="0" xfId="5" applyNumberFormat="1" applyFont="1" applyAlignment="1">
      <alignment horizontal="center"/>
    </xf>
    <xf numFmtId="164" fontId="17" fillId="0" borderId="0" xfId="5" applyNumberFormat="1" applyFont="1" applyAlignment="1">
      <alignment horizontal="center"/>
    </xf>
    <xf numFmtId="164" fontId="19" fillId="0" borderId="0" xfId="5" applyNumberFormat="1" applyFont="1" applyAlignment="1">
      <alignment horizontal="center"/>
    </xf>
    <xf numFmtId="164" fontId="6" fillId="0" borderId="0" xfId="5" applyNumberFormat="1" applyFont="1" applyAlignment="1" applyProtection="1">
      <alignment horizontal="center"/>
      <protection locked="0"/>
    </xf>
    <xf numFmtId="4" fontId="14" fillId="0" borderId="1" xfId="5" applyNumberFormat="1" applyFont="1" applyBorder="1" applyAlignment="1">
      <alignment horizontal="center"/>
    </xf>
    <xf numFmtId="0" fontId="9" fillId="0" borderId="0" xfId="5" applyFont="1" applyAlignment="1">
      <alignment horizontal="center" vertical="center"/>
    </xf>
    <xf numFmtId="0" fontId="25" fillId="0" borderId="5" xfId="5" applyFont="1" applyBorder="1" applyAlignment="1">
      <alignment horizontal="left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7">
    <cellStyle name="Normal" xfId="0" builtinId="0"/>
    <cellStyle name="Normal 2" xfId="1" xr:uid="{20AFA130-635C-4CE4-AECA-E0FE4330A19A}"/>
    <cellStyle name="Normal 2 2" xfId="5" xr:uid="{C99793C5-29C3-4A88-B47C-07542CD46698}"/>
    <cellStyle name="Normal 2 2 2" xfId="6" xr:uid="{7E5263CB-7B0D-4219-9C5B-A4BEC7F97CCF}"/>
    <cellStyle name="Normal 3" xfId="2" xr:uid="{5D892828-AF9F-4D83-932A-9945F3ABBD6F}"/>
    <cellStyle name="Normal 4" xfId="3" xr:uid="{9D2FA534-BEA2-4392-BF0E-8FDFA39400A9}"/>
    <cellStyle name="Normal 5" xfId="4" xr:uid="{6336C50D-D3EE-4E9F-ACBA-C82CBE0B5CEA}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justify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#,##0.00\ &quot;€&quot;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#,##0.00\ &quot;€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justify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justify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rgb="FFEAFAF5"/>
        </patternFill>
      </fill>
      <border>
        <left style="thin">
          <color auto="1"/>
        </left>
        <right style="thin">
          <color auto="1"/>
        </right>
        <vertical style="hair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vertical style="hair">
          <color auto="1"/>
        </vertical>
        <horizontal/>
      </border>
    </dxf>
    <dxf>
      <font>
        <b/>
        <i val="0"/>
        <color theme="0"/>
      </font>
      <fill>
        <patternFill>
          <bgColor rgb="FF229E8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EAFAF5"/>
        </patternFill>
      </fill>
      <border>
        <right style="thin">
          <color auto="1"/>
        </right>
      </border>
    </dxf>
    <dxf>
      <border>
        <left style="thin">
          <color auto="1"/>
        </left>
        <right style="hair">
          <color auto="1"/>
        </right>
        <vertical style="hair">
          <color auto="1"/>
        </vertical>
      </border>
    </dxf>
    <dxf>
      <font>
        <b/>
        <i val="0"/>
        <color theme="0"/>
      </font>
      <fill>
        <patternFill>
          <bgColor rgb="FF229E8F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EAFAF5"/>
        </patternFill>
      </fill>
    </dxf>
    <dxf>
      <font>
        <b/>
        <i val="0"/>
        <color theme="0"/>
      </font>
      <fill>
        <patternFill>
          <bgColor rgb="FF229E8F"/>
        </patternFill>
      </fill>
    </dxf>
    <dxf>
      <font>
        <b/>
        <i val="0"/>
        <color theme="0"/>
      </font>
      <fill>
        <patternFill>
          <bgColor rgb="FF229E8F"/>
        </patternFill>
      </fill>
    </dxf>
    <dxf>
      <fill>
        <patternFill>
          <bgColor rgb="FF229E8F"/>
        </patternFill>
      </fill>
    </dxf>
  </dxfs>
  <tableStyles count="6" defaultTableStyle="FLXIP2" defaultPivotStyle="PivotStyleLight16">
    <tableStyle name="Estilo de Tabela Dinâmica 1" table="0" count="1" xr9:uid="{658C0791-3C4C-4C0B-9C34-0F942A693313}">
      <tableStyleElement type="pageFieldLabels" dxfId="33"/>
    </tableStyle>
    <tableStyle name="Estilo de Tabela Dinâmica 2" table="0" count="1" xr9:uid="{0576C993-C283-4173-9C9C-EAB22DAD446E}">
      <tableStyleElement type="headerRow" dxfId="32"/>
    </tableStyle>
    <tableStyle name="Flx_IP" pivot="0" count="2" xr9:uid="{0B63616E-E0B2-4F75-A47F-2F33D97BD591}">
      <tableStyleElement type="headerRow" dxfId="31"/>
      <tableStyleElement type="secondRowStripe" dxfId="30"/>
    </tableStyle>
    <tableStyle name="FLXIP" pivot="0" count="3" xr9:uid="{9324DF18-3553-4E31-853C-E8F1B483A268}">
      <tableStyleElement type="headerRow" dxfId="29"/>
      <tableStyleElement type="firstColumnStripe" dxfId="28"/>
      <tableStyleElement type="secondColumnStripe" dxfId="27"/>
    </tableStyle>
    <tableStyle name="FLXIP2" pivot="0" count="3" xr9:uid="{CED9FBF5-2DF0-4786-9484-61E565F77CB6}">
      <tableStyleElement type="headerRow" dxfId="26"/>
      <tableStyleElement type="firstRowStripe" dxfId="25"/>
      <tableStyleElement type="secondRowStripe" dxfId="24"/>
    </tableStyle>
    <tableStyle name="Invisible" pivot="0" table="0" count="0" xr9:uid="{569D140A-A950-47F3-B793-665397A6F4BE}"/>
  </tableStyles>
  <colors>
    <mruColors>
      <color rgb="FF229E8F"/>
      <color rgb="FFEAFAF5"/>
      <color rgb="FFD0F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MC\Estrat&#233;gia%20CC\UOS\Roteiro%20U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30%20-%20WORK%20Novembro-2020/01%20-%20CONTRATOS/2021-2025/07%20-%20Novo%20Modelo/Novo%20Anexo%20C%20-%20Lista%20de%20pre&#231;os%20unit&#225;rios%20MPC_MC_CC.xlsx" TargetMode="External"/><Relationship Id="rId1" Type="http://schemas.openxmlformats.org/officeDocument/2006/relationships/externalLinkPath" Target="/30%20-%20WORK%20Novembro-2020/01%20-%20CONTRATOS/2021-2025/07%20-%20Novo%20Modelo/Novo%20Anexo%20C%20-%20Lista%20de%20pre&#231;os%20unit&#225;rios%20MPC_MC_C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s%20meus%20documentos\Alive\USER\Or&#231;amentos\OR&#199;TOT10J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1"/>
      <sheetName val="Trabalho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exoBnovo"/>
      <sheetName val="Anexo C"/>
      <sheetName val="Anexo C novas quant"/>
      <sheetName val="Anexo C new version"/>
      <sheetName val="Anexo C Lote 1"/>
      <sheetName val="Anexo C Lote 1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tabela_o44 (2)"/>
      <sheetName val="OETELEC"/>
      <sheetName val="resumo manual"/>
      <sheetName val="COMPARAÇÃO"/>
      <sheetName val="TELEC"/>
      <sheetName val="Folha1"/>
      <sheetName val="Proposta OE-2004 (base)"/>
      <sheetName val="Proposta OI-NPIDDAC-2004 (base)"/>
    </sheetNames>
    <sheetDataSet>
      <sheetData sheetId="0" refreshError="1"/>
      <sheetData sheetId="1" refreshError="1">
        <row r="1">
          <cell r="A1">
            <v>616200001</v>
          </cell>
          <cell r="B1" t="str">
            <v>616200001  CMC-Matérias Subsidiárias</v>
          </cell>
        </row>
        <row r="2">
          <cell r="A2">
            <v>616300001</v>
          </cell>
          <cell r="B2" t="str">
            <v>616300001  CMC-M D-Carris P Lig</v>
          </cell>
        </row>
        <row r="3">
          <cell r="A3">
            <v>616300002</v>
          </cell>
          <cell r="B3" t="str">
            <v>616300002  CMC-M D-Trav Peç Fix</v>
          </cell>
        </row>
        <row r="4">
          <cell r="A4">
            <v>616300003</v>
          </cell>
          <cell r="B4" t="str">
            <v>616300003  CMC-M D-Balast, Grav</v>
          </cell>
        </row>
        <row r="5">
          <cell r="A5">
            <v>616300004</v>
          </cell>
          <cell r="B5" t="str">
            <v>616300004  CMC-M D-AMVs e Comp</v>
          </cell>
        </row>
        <row r="6">
          <cell r="A6">
            <v>616300005</v>
          </cell>
          <cell r="B6" t="str">
            <v>616300005  CMC-M D-Mat p/ Sinal</v>
          </cell>
        </row>
        <row r="7">
          <cell r="A7">
            <v>616300006</v>
          </cell>
          <cell r="B7" t="str">
            <v>616300006  CMC-M D-Mat p/ Telec</v>
          </cell>
        </row>
        <row r="8">
          <cell r="A8">
            <v>616300009</v>
          </cell>
          <cell r="B8" t="str">
            <v>616300009  CMC-M D-Mat Cat e Su</v>
          </cell>
        </row>
        <row r="9">
          <cell r="A9">
            <v>616300099</v>
          </cell>
          <cell r="B9" t="str">
            <v>616300099  CMC-Mat Div-Outros Materiais</v>
          </cell>
        </row>
        <row r="10">
          <cell r="A10">
            <v>616300101</v>
          </cell>
          <cell r="B10" t="str">
            <v>616300101  CMC-M D U-Carr P Lig</v>
          </cell>
        </row>
        <row r="11">
          <cell r="A11">
            <v>616300102</v>
          </cell>
          <cell r="B11" t="str">
            <v>616300102  CMC-M D U-Trav P Fix</v>
          </cell>
        </row>
        <row r="12">
          <cell r="A12">
            <v>621000001</v>
          </cell>
          <cell r="B12" t="str">
            <v>621000001  FSE-Subcontratos-Via</v>
          </cell>
        </row>
        <row r="13">
          <cell r="A13">
            <v>621000002</v>
          </cell>
          <cell r="B13" t="str">
            <v>621000002  FSE-Subcontratos-Sinalização</v>
          </cell>
        </row>
        <row r="14">
          <cell r="A14">
            <v>621000003</v>
          </cell>
          <cell r="B14" t="str">
            <v>621000003  FSE-Subcontratos-Telecomunicações</v>
          </cell>
        </row>
        <row r="15">
          <cell r="A15">
            <v>621000004</v>
          </cell>
          <cell r="B15" t="str">
            <v>621000004  FSE-Subcontratos-Catenária</v>
          </cell>
        </row>
        <row r="16">
          <cell r="A16">
            <v>621000006</v>
          </cell>
          <cell r="B16" t="str">
            <v>621000006  FSE-Subcontratos-Baixa tensão</v>
          </cell>
        </row>
        <row r="17">
          <cell r="A17">
            <v>621000007</v>
          </cell>
          <cell r="B17" t="str">
            <v>621000007  FSE-Subcontratos-Subestações</v>
          </cell>
        </row>
        <row r="18">
          <cell r="A18">
            <v>621000008</v>
          </cell>
          <cell r="B18" t="str">
            <v>621000008  FSE-Subcontratos-Construção civil</v>
          </cell>
        </row>
        <row r="19">
          <cell r="A19">
            <v>621000009</v>
          </cell>
          <cell r="B19" t="str">
            <v>621000009  FSE-Sub-Pont obr met</v>
          </cell>
        </row>
        <row r="20">
          <cell r="A20">
            <v>621000010</v>
          </cell>
          <cell r="B20" t="str">
            <v>621000010  FSE-Sub-Pass niv-Con</v>
          </cell>
        </row>
        <row r="21">
          <cell r="A21">
            <v>621000012</v>
          </cell>
          <cell r="B21" t="str">
            <v>621000012  FSE-Sub-Recup Materi</v>
          </cell>
        </row>
        <row r="22">
          <cell r="A22">
            <v>621000019</v>
          </cell>
          <cell r="B22" t="str">
            <v>621000019  FSE-Subcontratos-Outros</v>
          </cell>
        </row>
        <row r="23">
          <cell r="A23">
            <v>622110002</v>
          </cell>
          <cell r="B23" t="str">
            <v>622110002  FSE-Elect Usos Diver</v>
          </cell>
        </row>
        <row r="24">
          <cell r="A24">
            <v>622120001</v>
          </cell>
          <cell r="B24" t="str">
            <v>622120001  FSE-Gasóleo</v>
          </cell>
        </row>
        <row r="25">
          <cell r="A25">
            <v>622120002</v>
          </cell>
          <cell r="B25" t="str">
            <v>622120002  FSE-Gasolina</v>
          </cell>
        </row>
        <row r="26">
          <cell r="A26">
            <v>622120009</v>
          </cell>
          <cell r="B26" t="str">
            <v>622120009  FSE-Outros combustiveis</v>
          </cell>
        </row>
        <row r="27">
          <cell r="A27">
            <v>622130001</v>
          </cell>
          <cell r="B27" t="str">
            <v>622130001  FSE-Água</v>
          </cell>
        </row>
        <row r="28">
          <cell r="A28">
            <v>622140001</v>
          </cell>
          <cell r="B28" t="str">
            <v>622140001  FSE-Gás</v>
          </cell>
        </row>
        <row r="29">
          <cell r="A29">
            <v>622140009</v>
          </cell>
          <cell r="B29" t="str">
            <v>622140009  FSE-Outros fluidos</v>
          </cell>
        </row>
        <row r="30">
          <cell r="A30">
            <v>622150001</v>
          </cell>
          <cell r="B30" t="str">
            <v>622150001  FSE-Ferr. e Utens. de Desg. Rapido</v>
          </cell>
        </row>
        <row r="31">
          <cell r="A31">
            <v>622160001</v>
          </cell>
          <cell r="B31" t="str">
            <v>622160001  FSE-Livros e Document. Técnica</v>
          </cell>
        </row>
        <row r="32">
          <cell r="A32">
            <v>622170001</v>
          </cell>
          <cell r="B32" t="str">
            <v>622170001  FSE-Material de Escritório</v>
          </cell>
        </row>
        <row r="33">
          <cell r="A33">
            <v>622190004</v>
          </cell>
          <cell r="B33" t="str">
            <v>622190004  FSE Rendas e Alug-Outr viat</v>
          </cell>
        </row>
        <row r="34">
          <cell r="A34">
            <v>622190005</v>
          </cell>
          <cell r="B34" t="str">
            <v>622190005  FSE-Rendas-Ou I corp</v>
          </cell>
        </row>
        <row r="35">
          <cell r="A35">
            <v>622190009</v>
          </cell>
          <cell r="B35" t="str">
            <v>622190009  FSE-Outras rendas e alugueres</v>
          </cell>
        </row>
        <row r="36">
          <cell r="A36">
            <v>622210001</v>
          </cell>
          <cell r="B36" t="str">
            <v>622210001  FSE-Despesas de Representação</v>
          </cell>
        </row>
        <row r="37">
          <cell r="A37">
            <v>622221001</v>
          </cell>
          <cell r="B37" t="str">
            <v>622221001  FSE-Telefones</v>
          </cell>
        </row>
        <row r="38">
          <cell r="A38">
            <v>622221002</v>
          </cell>
          <cell r="B38" t="str">
            <v>622221002  FSE-Telefax</v>
          </cell>
        </row>
        <row r="39">
          <cell r="A39">
            <v>622221003</v>
          </cell>
          <cell r="B39" t="str">
            <v>622221003  FSE-Telemóveis e BIPs</v>
          </cell>
        </row>
        <row r="40">
          <cell r="A40">
            <v>622221005</v>
          </cell>
          <cell r="B40" t="str">
            <v>622221005  FSE-Serviços Postais</v>
          </cell>
        </row>
        <row r="41">
          <cell r="A41">
            <v>622230001</v>
          </cell>
          <cell r="B41" t="str">
            <v>622230001  FSE-Seguros-Viat L P</v>
          </cell>
        </row>
        <row r="42">
          <cell r="A42">
            <v>622230002</v>
          </cell>
          <cell r="B42" t="str">
            <v>622230002  FSE-Seguros-Outras Viaturas</v>
          </cell>
        </row>
        <row r="43">
          <cell r="A43">
            <v>622260001</v>
          </cell>
          <cell r="B43" t="str">
            <v>622260001  FSE-Transportes Pessoal</v>
          </cell>
        </row>
        <row r="44">
          <cell r="A44">
            <v>622270001</v>
          </cell>
          <cell r="B44" t="str">
            <v>622270001  FSE-Deslocações e Estadias</v>
          </cell>
        </row>
        <row r="45">
          <cell r="A45">
            <v>622320002</v>
          </cell>
          <cell r="B45" t="str">
            <v>622320002  FSE-Cons Rep Ou viat</v>
          </cell>
        </row>
        <row r="46">
          <cell r="A46">
            <v>622320002</v>
          </cell>
          <cell r="B46" t="str">
            <v>622320002  FSE-Cons Rep Ou viat</v>
          </cell>
        </row>
        <row r="47">
          <cell r="A47">
            <v>622320003</v>
          </cell>
          <cell r="B47" t="str">
            <v>622320003  FSE-Cons Rep Mat Inf</v>
          </cell>
        </row>
        <row r="48">
          <cell r="A48">
            <v>622320004</v>
          </cell>
          <cell r="B48" t="str">
            <v>622320004  FSE-CR-Mater P/C Inf</v>
          </cell>
        </row>
        <row r="49">
          <cell r="A49">
            <v>622320009</v>
          </cell>
          <cell r="B49" t="str">
            <v>622320009  FSE-Outras Cons Rep</v>
          </cell>
        </row>
        <row r="50">
          <cell r="A50">
            <v>622340001</v>
          </cell>
          <cell r="B50" t="str">
            <v>622340001  FSE-Limpeza, higiene e conforto</v>
          </cell>
        </row>
        <row r="51">
          <cell r="A51">
            <v>622350001</v>
          </cell>
          <cell r="B51" t="str">
            <v>622350001  Vig e Seg-Entidades Públicas</v>
          </cell>
        </row>
        <row r="52">
          <cell r="A52">
            <v>622350002</v>
          </cell>
          <cell r="B52" t="str">
            <v>622350002  FSE-Vig Seg-Privadas</v>
          </cell>
        </row>
        <row r="53">
          <cell r="A53">
            <v>622350009</v>
          </cell>
          <cell r="B53" t="str">
            <v>622350009  FSE-Outros Vigilância e Segurança</v>
          </cell>
        </row>
        <row r="54">
          <cell r="A54">
            <v>622360001</v>
          </cell>
          <cell r="B54" t="str">
            <v>622360001  FSE-TEs- Informática</v>
          </cell>
        </row>
        <row r="55">
          <cell r="A55">
            <v>622360002</v>
          </cell>
          <cell r="B55" t="str">
            <v>622360002  FSE-TEs- Consultoria</v>
          </cell>
        </row>
        <row r="56">
          <cell r="A56">
            <v>622360009</v>
          </cell>
          <cell r="B56" t="str">
            <v>622360009  FSE-Outros Trab Espe</v>
          </cell>
        </row>
        <row r="57">
          <cell r="A57">
            <v>622980001</v>
          </cell>
          <cell r="B57" t="str">
            <v>622980001  FSE-Transportes de Materiais</v>
          </cell>
        </row>
        <row r="58">
          <cell r="A58">
            <v>622980002</v>
          </cell>
          <cell r="B58" t="str">
            <v>622980002  FSE-Transportes de Equipamentos</v>
          </cell>
        </row>
        <row r="59">
          <cell r="A59">
            <v>622980003</v>
          </cell>
          <cell r="B59" t="str">
            <v>622980003  FSE-Transbordos-Obr</v>
          </cell>
        </row>
        <row r="60">
          <cell r="A60">
            <v>622980005</v>
          </cell>
          <cell r="B60" t="str">
            <v>622980005  FSE-Manutenção de Zonas Verdes</v>
          </cell>
        </row>
        <row r="61">
          <cell r="A61">
            <v>622980006</v>
          </cell>
          <cell r="B61" t="str">
            <v>622980006  FSE-OutFS C/ViatLPas</v>
          </cell>
        </row>
        <row r="62">
          <cell r="A62">
            <v>622980007</v>
          </cell>
          <cell r="B62" t="str">
            <v>622980007  FSE-Anúncios</v>
          </cell>
        </row>
        <row r="63">
          <cell r="A63">
            <v>622980009</v>
          </cell>
          <cell r="B63" t="str">
            <v>622980009  FSE-Outros For e Ser</v>
          </cell>
        </row>
        <row r="64">
          <cell r="A64">
            <v>662200001</v>
          </cell>
          <cell r="B64" t="str">
            <v>662200001  AE Edi Out cons-Esta</v>
          </cell>
        </row>
        <row r="65">
          <cell r="A65">
            <v>662200007</v>
          </cell>
          <cell r="B65" t="str">
            <v>662200007  AE Instal telecomuni</v>
          </cell>
        </row>
        <row r="66">
          <cell r="A66">
            <v>662300001</v>
          </cell>
          <cell r="B66" t="str">
            <v>662300001  AE Máq Instrum-REFER</v>
          </cell>
        </row>
        <row r="67">
          <cell r="A67">
            <v>662300002</v>
          </cell>
          <cell r="B67" t="str">
            <v>662300002  AE Mat tr fer rod-RE</v>
          </cell>
        </row>
        <row r="68">
          <cell r="A68">
            <v>662400001</v>
          </cell>
          <cell r="B68" t="str">
            <v>662400001  AE Eq transpor-REFER</v>
          </cell>
        </row>
        <row r="69">
          <cell r="A69">
            <v>662500001</v>
          </cell>
          <cell r="B69" t="str">
            <v>662500001  AE Ferram Uten-REFER</v>
          </cell>
        </row>
        <row r="70">
          <cell r="A70">
            <v>662600001</v>
          </cell>
          <cell r="B70" t="str">
            <v>662600001  AE Equip Adm - REFER</v>
          </cell>
        </row>
        <row r="71">
          <cell r="A71">
            <v>662600002</v>
          </cell>
          <cell r="B71" t="str">
            <v>662600002  AE Equi social-REFER</v>
          </cell>
        </row>
        <row r="72">
          <cell r="A72">
            <v>662900001</v>
          </cell>
          <cell r="B72" t="str">
            <v>662900001  AE Outr Imobi corpór</v>
          </cell>
        </row>
        <row r="73">
          <cell r="A73">
            <v>663200001</v>
          </cell>
          <cell r="B73" t="str">
            <v>663200001  AE Desp Inves desenv</v>
          </cell>
        </row>
        <row r="74">
          <cell r="A74">
            <v>694800001</v>
          </cell>
          <cell r="B74" t="str">
            <v>694800001  Cust P Ext-Outros</v>
          </cell>
        </row>
        <row r="75">
          <cell r="A75">
            <v>725100001</v>
          </cell>
          <cell r="B75" t="str">
            <v>725100001  P Serviços Secund-Telecomunicações</v>
          </cell>
        </row>
        <row r="76">
          <cell r="A76">
            <v>725510002</v>
          </cell>
          <cell r="B76" t="str">
            <v>725510002  Conserv Ramais Part</v>
          </cell>
        </row>
        <row r="77">
          <cell r="A77">
            <v>725520001</v>
          </cell>
          <cell r="B77" t="str">
            <v>725520001  Prov Supl-Atrav Via Aer  Sub</v>
          </cell>
        </row>
        <row r="78">
          <cell r="A78">
            <v>725520002</v>
          </cell>
          <cell r="B78" t="str">
            <v>725520002  Prov Supl-Atrav Via P Nível</v>
          </cell>
        </row>
        <row r="79">
          <cell r="A79">
            <v>725540001</v>
          </cell>
          <cell r="B79" t="str">
            <v>725540001  Repar Responsab Terc</v>
          </cell>
        </row>
        <row r="80">
          <cell r="A80">
            <v>725900001</v>
          </cell>
          <cell r="B80" t="str">
            <v>725900001  Prov Supl-Outr Serv Sec</v>
          </cell>
        </row>
        <row r="81">
          <cell r="A81">
            <v>732000001</v>
          </cell>
          <cell r="B81" t="str">
            <v>732000001  Prov Supl-Alug Mat Circ Infr</v>
          </cell>
        </row>
        <row r="82">
          <cell r="A82">
            <v>738300001</v>
          </cell>
          <cell r="B82" t="str">
            <v>738300001  Prov Supl-Venda de Sucatas</v>
          </cell>
        </row>
        <row r="83">
          <cell r="A83">
            <v>738300002</v>
          </cell>
          <cell r="B83" t="str">
            <v>738300002  Prov Supl-Venda Prod Vegetais</v>
          </cell>
        </row>
        <row r="84">
          <cell r="A84">
            <v>738600001</v>
          </cell>
          <cell r="B84" t="str">
            <v>738600001  Prov Supl-Cedência de Materiais</v>
          </cell>
        </row>
        <row r="85">
          <cell r="A85">
            <v>738600001</v>
          </cell>
          <cell r="B85" t="str">
            <v>738600001  Prov Supl-Pess Requisitado</v>
          </cell>
        </row>
        <row r="86">
          <cell r="A86">
            <v>738900001</v>
          </cell>
          <cell r="B86" t="str">
            <v>738900001  Prov Supl-Cad Encarg</v>
          </cell>
        </row>
        <row r="87">
          <cell r="A87">
            <v>738900002</v>
          </cell>
          <cell r="B87" t="str">
            <v>738900002  Prov Supl-Renda Casas Pess</v>
          </cell>
        </row>
        <row r="88">
          <cell r="A88">
            <v>738900009</v>
          </cell>
          <cell r="B88" t="str">
            <v>738900009  Prov Supl-Diversos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E27E95-4046-4667-A303-2C63F3F6F1FB}" name="Tabela_LPU" displayName="Tabela_LPU" ref="B3:F1405" totalsRowCount="1" headerRowDxfId="23" dataDxfId="21" headerRowBorderDxfId="22" totalsRowBorderDxfId="20" headerRowCellStyle="Normal 2 2" dataCellStyle="Normal 2 2">
  <tableColumns count="5">
    <tableColumn id="1" xr3:uid="{DB072D0A-2DB9-428D-A3DC-A248C5FD235E}" name="Item" dataDxfId="19" totalsRowDxfId="18" dataCellStyle="Normal 2 2"/>
    <tableColumn id="2" xr3:uid="{4E0E6FC8-E6C2-4A90-9E74-AA98A8F188E5}" name="Designação" dataDxfId="17" totalsRowDxfId="16" dataCellStyle="Normal 2 2"/>
    <tableColumn id="3" xr3:uid="{06C8AE0F-206A-4B55-957F-E7441ACFE261}" name="Uni" dataDxfId="15" totalsRowDxfId="14" dataCellStyle="Normal 2 2"/>
    <tableColumn id="14" xr3:uid="{649A1D8B-5EB6-4018-9B6C-FB6983757A30}" name="Garantia" dataDxfId="13" totalsRowDxfId="12" dataCellStyle="Normal 2 2"/>
    <tableColumn id="6" xr3:uid="{1C7CC4D4-30D6-4E03-A7B1-C0B5DBFF3C50}" name="PreçoUni" dataDxfId="11" totalsRowDxfId="10" dataCellStyle="Normal 2 2"/>
  </tableColumns>
  <tableStyleInfo name="FLXIP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DFF512-B307-45A1-B773-6B16A05D103B}" name="Tabela9" displayName="Tabela9" ref="A4:D23" totalsRowShown="0" headerRowDxfId="9">
  <autoFilter ref="A4:D23" xr:uid="{C1DFF512-B307-45A1-B773-6B16A05D103B}">
    <filterColumn colId="0" hiddenButton="1"/>
    <filterColumn colId="1" hiddenButton="1"/>
    <filterColumn colId="2" hiddenButton="1"/>
    <filterColumn colId="3" hiddenButton="1"/>
  </autoFilter>
  <tableColumns count="4">
    <tableColumn id="1" xr3:uid="{F408F8FE-7331-4CE9-BFF6-76AE714BCD21}" name="Item" dataDxfId="8" dataCellStyle="Normal 2 2"/>
    <tableColumn id="2" xr3:uid="{3224A071-FD28-4332-B273-3B2E77CF2FB2}" name="Designação" dataDxfId="7" dataCellStyle="Normal 2 2"/>
    <tableColumn id="3" xr3:uid="{2D911AF8-15E3-4A90-B6CF-BE51B0367D70}" name="Uni" dataDxfId="6" dataCellStyle="Normal 2 2"/>
    <tableColumn id="4" xr3:uid="{DD35924A-B799-41D6-AE81-BB5A3120C174}" name="Preço uni" dataDxfId="5" dataCellStyle="Normal 2 2"/>
  </tableColumns>
  <tableStyleInfo name="FLXIP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0AFF-B4F3-4A43-8B66-03EA1762E5C0}">
  <sheetPr>
    <pageSetUpPr fitToPage="1"/>
  </sheetPr>
  <dimension ref="B1:J1406"/>
  <sheetViews>
    <sheetView showGridLines="0" tabSelected="1" zoomScale="110" zoomScaleNormal="110" workbookViewId="0">
      <selection activeCell="B1" sqref="B1:F1"/>
    </sheetView>
  </sheetViews>
  <sheetFormatPr defaultColWidth="9.140625" defaultRowHeight="12.75" x14ac:dyDescent="0.2"/>
  <cols>
    <col min="1" max="1" width="2" style="3" customWidth="1"/>
    <col min="2" max="2" width="21.5703125" style="20" customWidth="1"/>
    <col min="3" max="3" width="56.7109375" style="21" customWidth="1"/>
    <col min="4" max="4" width="9.28515625" style="22" customWidth="1"/>
    <col min="5" max="5" width="10.7109375" style="22" customWidth="1"/>
    <col min="6" max="6" width="11.85546875" style="23" customWidth="1"/>
    <col min="7" max="7" width="27.140625" style="3" hidden="1" customWidth="1"/>
    <col min="8" max="10" width="0" style="3" hidden="1" customWidth="1"/>
    <col min="11" max="16384" width="9.140625" style="3"/>
  </cols>
  <sheetData>
    <row r="1" spans="2:10" ht="19.899999999999999" customHeight="1" x14ac:dyDescent="0.2">
      <c r="B1" s="55" t="s">
        <v>0</v>
      </c>
      <c r="C1" s="55"/>
      <c r="D1" s="55"/>
      <c r="E1" s="55"/>
      <c r="F1" s="55"/>
    </row>
    <row r="2" spans="2:10" ht="28.9" customHeight="1" x14ac:dyDescent="0.2">
      <c r="B2" s="56" t="s">
        <v>2681</v>
      </c>
      <c r="C2" s="56"/>
      <c r="D2" s="56"/>
      <c r="E2" s="56"/>
      <c r="F2" s="56"/>
    </row>
    <row r="3" spans="2:10" ht="30.75" customHeight="1" x14ac:dyDescent="0.2">
      <c r="B3" s="30" t="s">
        <v>1</v>
      </c>
      <c r="C3" s="31" t="s">
        <v>2</v>
      </c>
      <c r="D3" s="31" t="s">
        <v>3</v>
      </c>
      <c r="E3" s="31" t="s">
        <v>4</v>
      </c>
      <c r="F3" s="32" t="s">
        <v>2675</v>
      </c>
      <c r="G3" s="2"/>
    </row>
    <row r="4" spans="2:10" x14ac:dyDescent="0.2">
      <c r="B4" s="4" t="s">
        <v>5</v>
      </c>
      <c r="C4" s="5" t="s">
        <v>6</v>
      </c>
      <c r="D4" s="6"/>
      <c r="E4" s="6"/>
      <c r="F4" s="50"/>
      <c r="G4" s="38"/>
      <c r="H4" s="39"/>
      <c r="I4" s="39"/>
      <c r="J4" s="39"/>
    </row>
    <row r="5" spans="2:10" x14ac:dyDescent="0.2">
      <c r="B5" s="4" t="s">
        <v>7</v>
      </c>
      <c r="C5" s="5" t="s">
        <v>8</v>
      </c>
      <c r="D5" s="6"/>
      <c r="E5" s="6"/>
      <c r="F5" s="50"/>
      <c r="G5" s="38"/>
      <c r="H5" s="39"/>
      <c r="I5" s="39"/>
      <c r="J5" s="39"/>
    </row>
    <row r="6" spans="2:10" x14ac:dyDescent="0.2">
      <c r="B6" s="4" t="s">
        <v>9</v>
      </c>
      <c r="C6" s="5" t="s">
        <v>10</v>
      </c>
      <c r="D6" s="6"/>
      <c r="E6" s="6"/>
      <c r="F6" s="50"/>
      <c r="G6" s="38"/>
      <c r="H6" s="39"/>
      <c r="I6" s="39"/>
      <c r="J6" s="39"/>
    </row>
    <row r="7" spans="2:10" s="7" customFormat="1" x14ac:dyDescent="0.2">
      <c r="B7" s="4" t="s">
        <v>11</v>
      </c>
      <c r="C7" s="5" t="s">
        <v>12</v>
      </c>
      <c r="D7" s="6"/>
      <c r="E7" s="6"/>
      <c r="F7" s="50"/>
      <c r="G7" s="40" t="e">
        <f>#REF!/(COUNTA(LPU_MC_MPC!#REF!))</f>
        <v>#REF!</v>
      </c>
      <c r="H7" s="41"/>
      <c r="I7" s="41"/>
      <c r="J7" s="41"/>
    </row>
    <row r="8" spans="2:10" s="7" customFormat="1" x14ac:dyDescent="0.2">
      <c r="B8" s="8" t="s">
        <v>13</v>
      </c>
      <c r="C8" s="5" t="s">
        <v>14</v>
      </c>
      <c r="D8" s="6"/>
      <c r="E8" s="6"/>
      <c r="F8" s="50"/>
      <c r="G8" s="42">
        <v>2.5500000000000002E-4</v>
      </c>
      <c r="H8" s="41"/>
      <c r="I8" s="41"/>
      <c r="J8" s="41"/>
    </row>
    <row r="9" spans="2:10" s="7" customFormat="1" x14ac:dyDescent="0.2">
      <c r="B9" s="4" t="s">
        <v>15</v>
      </c>
      <c r="C9" s="5" t="s">
        <v>16</v>
      </c>
      <c r="D9" s="6"/>
      <c r="E9" s="6"/>
      <c r="F9" s="50"/>
      <c r="G9" s="42">
        <v>2.5500000000000002E-4</v>
      </c>
      <c r="H9" s="41"/>
      <c r="I9" s="41"/>
      <c r="J9" s="41"/>
    </row>
    <row r="10" spans="2:10" s="7" customFormat="1" ht="25.5" x14ac:dyDescent="0.2">
      <c r="B10" s="4" t="s">
        <v>17</v>
      </c>
      <c r="C10" s="5" t="s">
        <v>18</v>
      </c>
      <c r="D10" s="6" t="s">
        <v>19</v>
      </c>
      <c r="E10" s="6" t="s">
        <v>20</v>
      </c>
      <c r="F10" s="53">
        <v>33.200000000000003</v>
      </c>
      <c r="G10" s="42">
        <v>2.5500000000000002E-4</v>
      </c>
      <c r="H10" s="41">
        <v>10.087</v>
      </c>
      <c r="I10" s="41">
        <v>17.291999999999998</v>
      </c>
      <c r="J10" s="41"/>
    </row>
    <row r="11" spans="2:10" s="7" customFormat="1" x14ac:dyDescent="0.2">
      <c r="B11" s="4" t="s">
        <v>21</v>
      </c>
      <c r="C11" s="5" t="s">
        <v>22</v>
      </c>
      <c r="D11" s="6" t="s">
        <v>19</v>
      </c>
      <c r="E11" s="6" t="s">
        <v>20</v>
      </c>
      <c r="F11" s="53">
        <v>38.74</v>
      </c>
      <c r="G11" s="42">
        <v>2.5500000000000002E-4</v>
      </c>
      <c r="H11" s="41">
        <v>11.76</v>
      </c>
      <c r="I11" s="41">
        <v>20.16</v>
      </c>
      <c r="J11" s="41"/>
    </row>
    <row r="12" spans="2:10" s="7" customFormat="1" x14ac:dyDescent="0.2">
      <c r="B12" s="4" t="s">
        <v>23</v>
      </c>
      <c r="C12" s="5" t="s">
        <v>24</v>
      </c>
      <c r="D12" s="6" t="s">
        <v>19</v>
      </c>
      <c r="E12" s="6" t="s">
        <v>20</v>
      </c>
      <c r="F12" s="53">
        <v>44</v>
      </c>
      <c r="G12" s="42">
        <v>2.5500000000000002E-4</v>
      </c>
      <c r="H12" s="41">
        <v>13.44</v>
      </c>
      <c r="I12" s="41">
        <v>23.04</v>
      </c>
      <c r="J12" s="41"/>
    </row>
    <row r="13" spans="2:10" s="7" customFormat="1" x14ac:dyDescent="0.2">
      <c r="B13" s="4" t="s">
        <v>25</v>
      </c>
      <c r="C13" s="5" t="s">
        <v>26</v>
      </c>
      <c r="D13" s="6" t="s">
        <v>19</v>
      </c>
      <c r="E13" s="6" t="s">
        <v>20</v>
      </c>
      <c r="F13" s="53">
        <v>58.08</v>
      </c>
      <c r="G13" s="42">
        <v>2.5500000000000002E-4</v>
      </c>
      <c r="H13" s="41">
        <v>17.646999999999998</v>
      </c>
      <c r="I13" s="41">
        <v>30.251999999999999</v>
      </c>
      <c r="J13" s="41"/>
    </row>
    <row r="14" spans="2:10" s="7" customFormat="1" ht="25.5" x14ac:dyDescent="0.2">
      <c r="B14" s="4" t="s">
        <v>27</v>
      </c>
      <c r="C14" s="5" t="s">
        <v>28</v>
      </c>
      <c r="D14" s="6" t="s">
        <v>19</v>
      </c>
      <c r="E14" s="6" t="s">
        <v>20</v>
      </c>
      <c r="F14" s="53">
        <v>55.3</v>
      </c>
      <c r="G14" s="42">
        <v>2.5500000000000002E-4</v>
      </c>
      <c r="H14" s="41">
        <v>15.588999999999999</v>
      </c>
      <c r="I14" s="41">
        <v>26.724</v>
      </c>
      <c r="J14" s="41"/>
    </row>
    <row r="15" spans="2:10" s="7" customFormat="1" x14ac:dyDescent="0.2">
      <c r="B15" s="4" t="s">
        <v>29</v>
      </c>
      <c r="C15" s="5" t="s">
        <v>26</v>
      </c>
      <c r="D15" s="6" t="s">
        <v>19</v>
      </c>
      <c r="E15" s="6" t="s">
        <v>20</v>
      </c>
      <c r="F15" s="53">
        <v>83</v>
      </c>
      <c r="G15" s="42">
        <v>2.5500000000000002E-4</v>
      </c>
      <c r="H15" s="41">
        <v>23.386999999999997</v>
      </c>
      <c r="I15" s="41">
        <v>40.091999999999992</v>
      </c>
      <c r="J15" s="41"/>
    </row>
    <row r="16" spans="2:10" s="7" customFormat="1" ht="25.5" x14ac:dyDescent="0.2">
      <c r="B16" s="4" t="s">
        <v>30</v>
      </c>
      <c r="C16" s="5" t="s">
        <v>31</v>
      </c>
      <c r="D16" s="6" t="s">
        <v>32</v>
      </c>
      <c r="E16" s="6" t="s">
        <v>33</v>
      </c>
      <c r="F16" s="53">
        <v>544.85</v>
      </c>
      <c r="G16" s="42">
        <v>2.5500000000000002E-4</v>
      </c>
      <c r="H16" s="41">
        <v>165.529</v>
      </c>
      <c r="I16" s="41">
        <v>283.76400000000001</v>
      </c>
      <c r="J16" s="41"/>
    </row>
    <row r="17" spans="2:10" s="7" customFormat="1" x14ac:dyDescent="0.2">
      <c r="B17" s="4" t="s">
        <v>34</v>
      </c>
      <c r="C17" s="5" t="s">
        <v>35</v>
      </c>
      <c r="D17" s="6" t="s">
        <v>32</v>
      </c>
      <c r="E17" s="6" t="s">
        <v>33</v>
      </c>
      <c r="F17" s="53">
        <v>613.54</v>
      </c>
      <c r="G17" s="42">
        <v>2.5500000000000002E-4</v>
      </c>
      <c r="H17" s="41">
        <v>171.49299999999999</v>
      </c>
      <c r="I17" s="41">
        <v>293.988</v>
      </c>
      <c r="J17" s="41"/>
    </row>
    <row r="18" spans="2:10" s="7" customFormat="1" x14ac:dyDescent="0.2">
      <c r="B18" s="4" t="s">
        <v>36</v>
      </c>
      <c r="C18" s="5" t="s">
        <v>37</v>
      </c>
      <c r="D18" s="6" t="s">
        <v>19</v>
      </c>
      <c r="E18" s="6" t="s">
        <v>20</v>
      </c>
      <c r="F18" s="53">
        <v>84.5</v>
      </c>
      <c r="G18" s="42">
        <v>2.5500000000000002E-4</v>
      </c>
      <c r="H18" s="41">
        <v>11.108999999999998</v>
      </c>
      <c r="I18" s="41">
        <v>19.043999999999997</v>
      </c>
      <c r="J18" s="41"/>
    </row>
    <row r="19" spans="2:10" s="7" customFormat="1" x14ac:dyDescent="0.2">
      <c r="B19" s="4" t="s">
        <v>38</v>
      </c>
      <c r="C19" s="5" t="s">
        <v>39</v>
      </c>
      <c r="D19" s="6" t="s">
        <v>19</v>
      </c>
      <c r="E19" s="6" t="s">
        <v>20</v>
      </c>
      <c r="F19" s="53">
        <v>83</v>
      </c>
      <c r="G19" s="42">
        <v>2.5500000000000002E-4</v>
      </c>
      <c r="H19" s="41">
        <v>23.386999999999997</v>
      </c>
      <c r="I19" s="41">
        <v>40.091999999999992</v>
      </c>
      <c r="J19" s="41"/>
    </row>
    <row r="20" spans="2:10" s="7" customFormat="1" ht="25.5" x14ac:dyDescent="0.2">
      <c r="B20" s="4" t="s">
        <v>40</v>
      </c>
      <c r="C20" s="5" t="s">
        <v>41</v>
      </c>
      <c r="D20" s="6" t="s">
        <v>42</v>
      </c>
      <c r="E20" s="6" t="s">
        <v>20</v>
      </c>
      <c r="F20" s="53">
        <v>8.1</v>
      </c>
      <c r="G20" s="42">
        <v>2.5500000000000002E-4</v>
      </c>
      <c r="H20" s="41">
        <v>1.6659999999999999</v>
      </c>
      <c r="I20" s="41">
        <v>2.8559999999999999</v>
      </c>
      <c r="J20" s="41"/>
    </row>
    <row r="21" spans="2:10" s="7" customFormat="1" ht="25.5" x14ac:dyDescent="0.2">
      <c r="B21" s="4" t="s">
        <v>43</v>
      </c>
      <c r="C21" s="5" t="s">
        <v>44</v>
      </c>
      <c r="D21" s="6" t="s">
        <v>19</v>
      </c>
      <c r="E21" s="6" t="s">
        <v>20</v>
      </c>
      <c r="F21" s="53">
        <v>19.5</v>
      </c>
      <c r="G21" s="42">
        <v>2.5500000000000002E-4</v>
      </c>
      <c r="H21" s="41">
        <v>5.5579999999999998</v>
      </c>
      <c r="I21" s="41">
        <v>9.5280000000000005</v>
      </c>
      <c r="J21" s="41"/>
    </row>
    <row r="22" spans="2:10" s="7" customFormat="1" x14ac:dyDescent="0.2">
      <c r="B22" s="4" t="s">
        <v>45</v>
      </c>
      <c r="C22" s="5" t="s">
        <v>46</v>
      </c>
      <c r="D22" s="6" t="s">
        <v>19</v>
      </c>
      <c r="E22" s="6" t="s">
        <v>20</v>
      </c>
      <c r="F22" s="53">
        <v>24.5</v>
      </c>
      <c r="G22" s="42">
        <v>2.5500000000000002E-4</v>
      </c>
      <c r="H22" s="41">
        <v>7.5879999999999992</v>
      </c>
      <c r="I22" s="41">
        <v>13.007999999999999</v>
      </c>
      <c r="J22" s="41"/>
    </row>
    <row r="23" spans="2:10" s="7" customFormat="1" x14ac:dyDescent="0.2">
      <c r="B23" s="4" t="s">
        <v>47</v>
      </c>
      <c r="C23" s="5" t="s">
        <v>48</v>
      </c>
      <c r="D23" s="6"/>
      <c r="E23" s="6"/>
      <c r="F23" s="50"/>
      <c r="G23" s="42">
        <v>2.5500000000000002E-4</v>
      </c>
      <c r="H23" s="41" t="s">
        <v>49</v>
      </c>
      <c r="I23" s="41" t="s">
        <v>49</v>
      </c>
      <c r="J23" s="41"/>
    </row>
    <row r="24" spans="2:10" s="7" customFormat="1" x14ac:dyDescent="0.2">
      <c r="B24" s="4" t="s">
        <v>50</v>
      </c>
      <c r="C24" s="5" t="s">
        <v>51</v>
      </c>
      <c r="D24" s="6" t="s">
        <v>42</v>
      </c>
      <c r="E24" s="6" t="s">
        <v>20</v>
      </c>
      <c r="F24" s="53">
        <v>2.7</v>
      </c>
      <c r="G24" s="42">
        <v>2.5500000000000002E-4</v>
      </c>
      <c r="H24" s="41">
        <v>0.55299999999999994</v>
      </c>
      <c r="I24" s="41">
        <v>0.94799999999999995</v>
      </c>
      <c r="J24" s="41"/>
    </row>
    <row r="25" spans="2:10" s="7" customFormat="1" x14ac:dyDescent="0.2">
      <c r="B25" s="4" t="s">
        <v>52</v>
      </c>
      <c r="C25" s="5" t="s">
        <v>53</v>
      </c>
      <c r="D25" s="6" t="s">
        <v>32</v>
      </c>
      <c r="E25" s="6" t="s">
        <v>20</v>
      </c>
      <c r="F25" s="53">
        <v>11</v>
      </c>
      <c r="G25" s="42">
        <v>2.5500000000000002E-4</v>
      </c>
      <c r="H25" s="41">
        <v>2.2189999999999999</v>
      </c>
      <c r="I25" s="41">
        <v>3.8039999999999998</v>
      </c>
      <c r="J25" s="41"/>
    </row>
    <row r="26" spans="2:10" s="7" customFormat="1" x14ac:dyDescent="0.2">
      <c r="B26" s="4" t="s">
        <v>54</v>
      </c>
      <c r="C26" s="5" t="s">
        <v>55</v>
      </c>
      <c r="D26" s="6" t="s">
        <v>32</v>
      </c>
      <c r="E26" s="6" t="s">
        <v>20</v>
      </c>
      <c r="F26" s="53">
        <v>13.8</v>
      </c>
      <c r="G26" s="42">
        <v>2.5500000000000002E-4</v>
      </c>
      <c r="H26" s="41">
        <v>1.0499999999999998</v>
      </c>
      <c r="I26" s="41">
        <v>1.7999999999999998</v>
      </c>
      <c r="J26" s="41"/>
    </row>
    <row r="27" spans="2:10" s="7" customFormat="1" x14ac:dyDescent="0.2">
      <c r="B27" s="4" t="s">
        <v>56</v>
      </c>
      <c r="C27" s="5" t="s">
        <v>57</v>
      </c>
      <c r="D27" s="6" t="s">
        <v>32</v>
      </c>
      <c r="E27" s="6" t="s">
        <v>20</v>
      </c>
      <c r="F27" s="53">
        <v>18.2</v>
      </c>
      <c r="G27" s="42">
        <v>2.5500000000000002E-4</v>
      </c>
      <c r="H27" s="41">
        <v>5.5579999999999998</v>
      </c>
      <c r="I27" s="41">
        <v>9.5280000000000005</v>
      </c>
      <c r="J27" s="41"/>
    </row>
    <row r="28" spans="2:10" s="7" customFormat="1" x14ac:dyDescent="0.2">
      <c r="B28" s="4" t="s">
        <v>58</v>
      </c>
      <c r="C28" s="5" t="s">
        <v>59</v>
      </c>
      <c r="D28" s="6" t="s">
        <v>42</v>
      </c>
      <c r="E28" s="6" t="s">
        <v>20</v>
      </c>
      <c r="F28" s="53">
        <v>2.5</v>
      </c>
      <c r="G28" s="42">
        <v>2.5500000000000002E-4</v>
      </c>
      <c r="H28" s="41">
        <v>0.77700000000000002</v>
      </c>
      <c r="I28" s="41">
        <v>1.3320000000000001</v>
      </c>
      <c r="J28" s="41"/>
    </row>
    <row r="29" spans="2:10" s="7" customFormat="1" x14ac:dyDescent="0.2">
      <c r="B29" s="4" t="s">
        <v>60</v>
      </c>
      <c r="C29" s="5" t="s">
        <v>61</v>
      </c>
      <c r="D29" s="6" t="s">
        <v>42</v>
      </c>
      <c r="E29" s="6" t="s">
        <v>20</v>
      </c>
      <c r="F29" s="53">
        <v>5</v>
      </c>
      <c r="G29" s="42">
        <v>2.5500000000000002E-4</v>
      </c>
      <c r="H29" s="41">
        <v>1.3299999999999998</v>
      </c>
      <c r="I29" s="41">
        <v>2.2799999999999998</v>
      </c>
      <c r="J29" s="41"/>
    </row>
    <row r="30" spans="2:10" s="7" customFormat="1" x14ac:dyDescent="0.2">
      <c r="B30" s="4" t="s">
        <v>62</v>
      </c>
      <c r="C30" s="5" t="s">
        <v>63</v>
      </c>
      <c r="D30" s="6" t="s">
        <v>42</v>
      </c>
      <c r="E30" s="6" t="s">
        <v>20</v>
      </c>
      <c r="F30" s="53">
        <v>5</v>
      </c>
      <c r="G30" s="42">
        <v>2.5500000000000002E-4</v>
      </c>
      <c r="H30" s="41">
        <v>1.113</v>
      </c>
      <c r="I30" s="41">
        <v>1.9079999999999999</v>
      </c>
      <c r="J30" s="41"/>
    </row>
    <row r="31" spans="2:10" s="7" customFormat="1" ht="25.5" x14ac:dyDescent="0.2">
      <c r="B31" s="4" t="s">
        <v>64</v>
      </c>
      <c r="C31" s="5" t="s">
        <v>65</v>
      </c>
      <c r="D31" s="6" t="s">
        <v>66</v>
      </c>
      <c r="E31" s="6" t="s">
        <v>20</v>
      </c>
      <c r="F31" s="53">
        <v>150</v>
      </c>
      <c r="G31" s="42">
        <v>2.5500000000000002E-4</v>
      </c>
      <c r="H31" s="41">
        <v>46.199999999999996</v>
      </c>
      <c r="I31" s="41">
        <v>79.2</v>
      </c>
      <c r="J31" s="41"/>
    </row>
    <row r="32" spans="2:10" s="7" customFormat="1" x14ac:dyDescent="0.2">
      <c r="B32" s="4" t="s">
        <v>67</v>
      </c>
      <c r="C32" s="5" t="s">
        <v>68</v>
      </c>
      <c r="D32" s="6" t="s">
        <v>66</v>
      </c>
      <c r="E32" s="6" t="s">
        <v>20</v>
      </c>
      <c r="F32" s="53">
        <v>220</v>
      </c>
      <c r="G32" s="42">
        <v>2.5500000000000002E-4</v>
      </c>
      <c r="H32" s="41">
        <v>69.3</v>
      </c>
      <c r="I32" s="41">
        <v>118.8</v>
      </c>
      <c r="J32" s="41"/>
    </row>
    <row r="33" spans="2:10" s="7" customFormat="1" x14ac:dyDescent="0.2">
      <c r="B33" s="4" t="s">
        <v>69</v>
      </c>
      <c r="C33" s="5" t="s">
        <v>70</v>
      </c>
      <c r="D33" s="6" t="s">
        <v>66</v>
      </c>
      <c r="E33" s="6" t="s">
        <v>20</v>
      </c>
      <c r="F33" s="53">
        <v>456</v>
      </c>
      <c r="G33" s="42">
        <v>2.5500000000000002E-4</v>
      </c>
      <c r="H33" s="41">
        <v>138.6</v>
      </c>
      <c r="I33" s="41">
        <v>237.6</v>
      </c>
      <c r="J33" s="41"/>
    </row>
    <row r="34" spans="2:10" s="7" customFormat="1" x14ac:dyDescent="0.2">
      <c r="B34" s="4" t="s">
        <v>71</v>
      </c>
      <c r="C34" s="5" t="s">
        <v>72</v>
      </c>
      <c r="D34" s="6" t="s">
        <v>66</v>
      </c>
      <c r="E34" s="6" t="s">
        <v>20</v>
      </c>
      <c r="F34" s="53">
        <v>205</v>
      </c>
      <c r="G34" s="42">
        <v>2.5500000000000002E-4</v>
      </c>
      <c r="H34" s="41">
        <v>63.14</v>
      </c>
      <c r="I34" s="41">
        <v>108.24</v>
      </c>
      <c r="J34" s="41"/>
    </row>
    <row r="35" spans="2:10" s="7" customFormat="1" x14ac:dyDescent="0.2">
      <c r="B35" s="4" t="s">
        <v>73</v>
      </c>
      <c r="C35" s="5" t="s">
        <v>74</v>
      </c>
      <c r="D35" s="6" t="s">
        <v>66</v>
      </c>
      <c r="E35" s="6" t="s">
        <v>20</v>
      </c>
      <c r="F35" s="53">
        <v>76</v>
      </c>
      <c r="G35" s="42">
        <v>2.5500000000000002E-4</v>
      </c>
      <c r="H35" s="41">
        <v>23.099999999999998</v>
      </c>
      <c r="I35" s="41">
        <v>39.6</v>
      </c>
      <c r="J35" s="41"/>
    </row>
    <row r="36" spans="2:10" s="7" customFormat="1" ht="25.5" x14ac:dyDescent="0.2">
      <c r="B36" s="4" t="s">
        <v>75</v>
      </c>
      <c r="C36" s="5" t="s">
        <v>76</v>
      </c>
      <c r="D36" s="6" t="s">
        <v>66</v>
      </c>
      <c r="E36" s="6" t="s">
        <v>20</v>
      </c>
      <c r="F36" s="53">
        <v>18.2</v>
      </c>
      <c r="G36" s="42">
        <v>2.5500000000000002E-4</v>
      </c>
      <c r="H36" s="41">
        <v>5.5579999999999998</v>
      </c>
      <c r="I36" s="41">
        <v>9.5280000000000005</v>
      </c>
      <c r="J36" s="41"/>
    </row>
    <row r="37" spans="2:10" s="7" customFormat="1" x14ac:dyDescent="0.2">
      <c r="B37" s="4" t="s">
        <v>77</v>
      </c>
      <c r="C37" s="5" t="s">
        <v>78</v>
      </c>
      <c r="D37" s="6" t="s">
        <v>42</v>
      </c>
      <c r="E37" s="6" t="s">
        <v>20</v>
      </c>
      <c r="F37" s="53">
        <v>5</v>
      </c>
      <c r="G37" s="42">
        <v>2.5500000000000002E-4</v>
      </c>
      <c r="H37" s="41">
        <v>1.113</v>
      </c>
      <c r="I37" s="41">
        <v>1.9079999999999999</v>
      </c>
      <c r="J37" s="41"/>
    </row>
    <row r="38" spans="2:10" s="7" customFormat="1" x14ac:dyDescent="0.2">
      <c r="B38" s="4" t="s">
        <v>79</v>
      </c>
      <c r="C38" s="5" t="s">
        <v>80</v>
      </c>
      <c r="D38" s="6"/>
      <c r="E38" s="6"/>
      <c r="F38" s="50"/>
      <c r="G38" s="42">
        <v>2.5500000000000002E-4</v>
      </c>
      <c r="H38" s="41" t="s">
        <v>49</v>
      </c>
      <c r="I38" s="41" t="s">
        <v>49</v>
      </c>
      <c r="J38" s="41"/>
    </row>
    <row r="39" spans="2:10" s="7" customFormat="1" x14ac:dyDescent="0.2">
      <c r="B39" s="4" t="s">
        <v>81</v>
      </c>
      <c r="C39" s="5" t="s">
        <v>82</v>
      </c>
      <c r="D39" s="6"/>
      <c r="E39" s="6"/>
      <c r="F39" s="50"/>
      <c r="G39" s="42">
        <v>2.5500000000000002E-4</v>
      </c>
      <c r="H39" s="41" t="s">
        <v>49</v>
      </c>
      <c r="I39" s="41" t="s">
        <v>49</v>
      </c>
      <c r="J39" s="41"/>
    </row>
    <row r="40" spans="2:10" s="7" customFormat="1" ht="38.25" x14ac:dyDescent="0.2">
      <c r="B40" s="4" t="s">
        <v>83</v>
      </c>
      <c r="C40" s="5" t="s">
        <v>84</v>
      </c>
      <c r="D40" s="6" t="s">
        <v>42</v>
      </c>
      <c r="E40" s="6" t="s">
        <v>20</v>
      </c>
      <c r="F40" s="53">
        <v>22</v>
      </c>
      <c r="G40" s="42">
        <v>2.5500000000000002E-4</v>
      </c>
      <c r="H40" s="41">
        <v>6.72</v>
      </c>
      <c r="I40" s="41">
        <v>11.52</v>
      </c>
      <c r="J40" s="41"/>
    </row>
    <row r="41" spans="2:10" s="7" customFormat="1" x14ac:dyDescent="0.2">
      <c r="B41" s="4" t="s">
        <v>85</v>
      </c>
      <c r="C41" s="5" t="s">
        <v>86</v>
      </c>
      <c r="D41" s="6" t="s">
        <v>42</v>
      </c>
      <c r="E41" s="6" t="s">
        <v>20</v>
      </c>
      <c r="F41" s="53">
        <v>26.25</v>
      </c>
      <c r="G41" s="42">
        <v>2.5500000000000002E-4</v>
      </c>
      <c r="H41" s="41">
        <v>7.9869999999999992</v>
      </c>
      <c r="I41" s="41">
        <v>13.692</v>
      </c>
      <c r="J41" s="41"/>
    </row>
    <row r="42" spans="2:10" s="7" customFormat="1" x14ac:dyDescent="0.2">
      <c r="B42" s="4" t="s">
        <v>87</v>
      </c>
      <c r="C42" s="5" t="s">
        <v>88</v>
      </c>
      <c r="D42" s="6" t="s">
        <v>42</v>
      </c>
      <c r="E42" s="6" t="s">
        <v>20</v>
      </c>
      <c r="F42" s="53">
        <v>28.2</v>
      </c>
      <c r="G42" s="42">
        <v>2.5500000000000002E-4</v>
      </c>
      <c r="H42" s="41">
        <v>8.5679999999999996</v>
      </c>
      <c r="I42" s="41">
        <v>14.687999999999999</v>
      </c>
      <c r="J42" s="41"/>
    </row>
    <row r="43" spans="2:10" s="7" customFormat="1" x14ac:dyDescent="0.2">
      <c r="B43" s="4" t="s">
        <v>89</v>
      </c>
      <c r="C43" s="5" t="s">
        <v>90</v>
      </c>
      <c r="D43" s="6" t="s">
        <v>42</v>
      </c>
      <c r="E43" s="6" t="s">
        <v>20</v>
      </c>
      <c r="F43" s="53">
        <v>33.5</v>
      </c>
      <c r="G43" s="42">
        <v>2.5500000000000002E-4</v>
      </c>
      <c r="H43" s="41">
        <v>9.3519999999999985</v>
      </c>
      <c r="I43" s="41">
        <v>16.032</v>
      </c>
      <c r="J43" s="41"/>
    </row>
    <row r="44" spans="2:10" s="7" customFormat="1" ht="25.5" x14ac:dyDescent="0.2">
      <c r="B44" s="4" t="s">
        <v>91</v>
      </c>
      <c r="C44" s="5" t="s">
        <v>92</v>
      </c>
      <c r="D44" s="6" t="s">
        <v>42</v>
      </c>
      <c r="E44" s="6" t="s">
        <v>20</v>
      </c>
      <c r="F44" s="53">
        <v>19.350000000000001</v>
      </c>
      <c r="G44" s="42">
        <v>2.5500000000000002E-4</v>
      </c>
      <c r="H44" s="41">
        <v>5.88</v>
      </c>
      <c r="I44" s="41">
        <v>10.08</v>
      </c>
      <c r="J44" s="41"/>
    </row>
    <row r="45" spans="2:10" s="7" customFormat="1" x14ac:dyDescent="0.2">
      <c r="B45" s="4" t="s">
        <v>93</v>
      </c>
      <c r="C45" s="5" t="s">
        <v>86</v>
      </c>
      <c r="D45" s="6" t="s">
        <v>42</v>
      </c>
      <c r="E45" s="6" t="s">
        <v>20</v>
      </c>
      <c r="F45" s="53">
        <v>20.5</v>
      </c>
      <c r="G45" s="42">
        <v>2.5500000000000002E-4</v>
      </c>
      <c r="H45" s="41">
        <v>6.3</v>
      </c>
      <c r="I45" s="41">
        <v>10.799999999999999</v>
      </c>
      <c r="J45" s="41"/>
    </row>
    <row r="46" spans="2:10" s="7" customFormat="1" x14ac:dyDescent="0.2">
      <c r="B46" s="4" t="s">
        <v>94</v>
      </c>
      <c r="C46" s="5" t="s">
        <v>88</v>
      </c>
      <c r="D46" s="6" t="s">
        <v>42</v>
      </c>
      <c r="E46" s="6" t="s">
        <v>20</v>
      </c>
      <c r="F46" s="53">
        <v>22.1</v>
      </c>
      <c r="G46" s="42">
        <v>2.5500000000000002E-4</v>
      </c>
      <c r="H46" s="41">
        <v>6.2370000000000001</v>
      </c>
      <c r="I46" s="41">
        <v>10.692</v>
      </c>
      <c r="J46" s="41"/>
    </row>
    <row r="47" spans="2:10" s="7" customFormat="1" x14ac:dyDescent="0.2">
      <c r="B47" s="4" t="s">
        <v>95</v>
      </c>
      <c r="C47" s="5" t="s">
        <v>90</v>
      </c>
      <c r="D47" s="6" t="s">
        <v>42</v>
      </c>
      <c r="E47" s="6" t="s">
        <v>20</v>
      </c>
      <c r="F47" s="53">
        <v>26.2</v>
      </c>
      <c r="G47" s="42">
        <v>2.5500000000000002E-4</v>
      </c>
      <c r="H47" s="41">
        <v>7.9799999999999995</v>
      </c>
      <c r="I47" s="41">
        <v>13.68</v>
      </c>
      <c r="J47" s="41"/>
    </row>
    <row r="48" spans="2:10" s="7" customFormat="1" ht="25.5" x14ac:dyDescent="0.2">
      <c r="B48" s="4" t="s">
        <v>96</v>
      </c>
      <c r="C48" s="5" t="s">
        <v>97</v>
      </c>
      <c r="D48" s="6" t="s">
        <v>42</v>
      </c>
      <c r="E48" s="6" t="s">
        <v>20</v>
      </c>
      <c r="F48" s="53">
        <v>34.5</v>
      </c>
      <c r="G48" s="42">
        <v>2.5500000000000002E-4</v>
      </c>
      <c r="H48" s="41">
        <v>10.5</v>
      </c>
      <c r="I48" s="41">
        <v>18</v>
      </c>
      <c r="J48" s="41"/>
    </row>
    <row r="49" spans="2:10" s="7" customFormat="1" x14ac:dyDescent="0.2">
      <c r="B49" s="4" t="s">
        <v>98</v>
      </c>
      <c r="C49" s="5" t="s">
        <v>86</v>
      </c>
      <c r="D49" s="6" t="s">
        <v>42</v>
      </c>
      <c r="E49" s="6" t="s">
        <v>20</v>
      </c>
      <c r="F49" s="53">
        <v>38.65</v>
      </c>
      <c r="G49" s="42">
        <v>2.5500000000000002E-4</v>
      </c>
      <c r="H49" s="41">
        <v>11.76</v>
      </c>
      <c r="I49" s="41">
        <v>20.16</v>
      </c>
      <c r="J49" s="41"/>
    </row>
    <row r="50" spans="2:10" s="7" customFormat="1" x14ac:dyDescent="0.2">
      <c r="B50" s="4" t="s">
        <v>99</v>
      </c>
      <c r="C50" s="5" t="s">
        <v>100</v>
      </c>
      <c r="D50" s="6" t="s">
        <v>42</v>
      </c>
      <c r="E50" s="6" t="s">
        <v>20</v>
      </c>
      <c r="F50" s="53">
        <v>44.2</v>
      </c>
      <c r="G50" s="42">
        <v>2.5500000000000002E-4</v>
      </c>
      <c r="H50" s="41">
        <v>13.44</v>
      </c>
      <c r="I50" s="41">
        <v>23.04</v>
      </c>
      <c r="J50" s="41"/>
    </row>
    <row r="51" spans="2:10" s="7" customFormat="1" x14ac:dyDescent="0.2">
      <c r="B51" s="4" t="s">
        <v>101</v>
      </c>
      <c r="C51" s="5" t="s">
        <v>102</v>
      </c>
      <c r="D51" s="6" t="s">
        <v>42</v>
      </c>
      <c r="E51" s="6" t="s">
        <v>20</v>
      </c>
      <c r="F51" s="53">
        <v>49.8</v>
      </c>
      <c r="G51" s="42">
        <v>2.5500000000000002E-4</v>
      </c>
      <c r="H51" s="41">
        <v>15.126999999999999</v>
      </c>
      <c r="I51" s="41">
        <v>25.931999999999999</v>
      </c>
      <c r="J51" s="41"/>
    </row>
    <row r="52" spans="2:10" s="7" customFormat="1" x14ac:dyDescent="0.2">
      <c r="B52" s="4" t="s">
        <v>103</v>
      </c>
      <c r="C52" s="5" t="s">
        <v>104</v>
      </c>
      <c r="D52" s="6" t="s">
        <v>19</v>
      </c>
      <c r="E52" s="6" t="s">
        <v>20</v>
      </c>
      <c r="F52" s="53">
        <v>138.30000000000001</v>
      </c>
      <c r="G52" s="42">
        <v>2.5500000000000002E-4</v>
      </c>
      <c r="H52" s="41">
        <v>42.021000000000001</v>
      </c>
      <c r="I52" s="41">
        <v>72.036000000000001</v>
      </c>
      <c r="J52" s="41"/>
    </row>
    <row r="53" spans="2:10" s="7" customFormat="1" x14ac:dyDescent="0.2">
      <c r="B53" s="4" t="s">
        <v>105</v>
      </c>
      <c r="C53" s="5" t="s">
        <v>106</v>
      </c>
      <c r="D53" s="6" t="s">
        <v>42</v>
      </c>
      <c r="E53" s="6" t="s">
        <v>20</v>
      </c>
      <c r="F53" s="53">
        <v>27.5</v>
      </c>
      <c r="G53" s="42">
        <v>2.5500000000000002E-4</v>
      </c>
      <c r="H53" s="41">
        <v>7.798</v>
      </c>
      <c r="I53" s="41">
        <v>13.368</v>
      </c>
      <c r="J53" s="41"/>
    </row>
    <row r="54" spans="2:10" s="7" customFormat="1" x14ac:dyDescent="0.2">
      <c r="B54" s="4" t="s">
        <v>107</v>
      </c>
      <c r="C54" s="5" t="s">
        <v>108</v>
      </c>
      <c r="D54" s="6" t="s">
        <v>42</v>
      </c>
      <c r="E54" s="6" t="s">
        <v>20</v>
      </c>
      <c r="F54" s="53">
        <v>17.100000000000001</v>
      </c>
      <c r="G54" s="42">
        <v>2.5500000000000002E-4</v>
      </c>
      <c r="H54" s="41">
        <v>4.4449999999999994</v>
      </c>
      <c r="I54" s="41">
        <v>7.6199999999999992</v>
      </c>
      <c r="J54" s="41"/>
    </row>
    <row r="55" spans="2:10" s="7" customFormat="1" x14ac:dyDescent="0.2">
      <c r="B55" s="4" t="s">
        <v>109</v>
      </c>
      <c r="C55" s="5" t="s">
        <v>110</v>
      </c>
      <c r="D55" s="6" t="s">
        <v>42</v>
      </c>
      <c r="E55" s="6" t="s">
        <v>20</v>
      </c>
      <c r="F55" s="53">
        <v>15.1</v>
      </c>
      <c r="G55" s="42">
        <v>2.5500000000000002E-4</v>
      </c>
      <c r="H55" s="41">
        <v>3.3319999999999999</v>
      </c>
      <c r="I55" s="41">
        <v>5.7119999999999997</v>
      </c>
      <c r="J55" s="41"/>
    </row>
    <row r="56" spans="2:10" s="7" customFormat="1" x14ac:dyDescent="0.2">
      <c r="B56" s="4" t="s">
        <v>111</v>
      </c>
      <c r="C56" s="5" t="s">
        <v>112</v>
      </c>
      <c r="D56" s="6" t="s">
        <v>32</v>
      </c>
      <c r="E56" s="6" t="s">
        <v>20</v>
      </c>
      <c r="F56" s="53">
        <v>18.25</v>
      </c>
      <c r="G56" s="42">
        <v>2.5500000000000002E-4</v>
      </c>
      <c r="H56" s="41">
        <v>5.5579999999999998</v>
      </c>
      <c r="I56" s="41">
        <v>9.5280000000000005</v>
      </c>
      <c r="J56" s="41"/>
    </row>
    <row r="57" spans="2:10" s="7" customFormat="1" x14ac:dyDescent="0.2">
      <c r="B57" s="4" t="s">
        <v>113</v>
      </c>
      <c r="C57" s="5" t="s">
        <v>114</v>
      </c>
      <c r="D57" s="6" t="s">
        <v>42</v>
      </c>
      <c r="E57" s="6" t="s">
        <v>20</v>
      </c>
      <c r="F57" s="53">
        <v>19.350000000000001</v>
      </c>
      <c r="G57" s="42">
        <v>2.5500000000000002E-4</v>
      </c>
      <c r="H57" s="41">
        <v>5.88</v>
      </c>
      <c r="I57" s="41">
        <v>10.08</v>
      </c>
      <c r="J57" s="41"/>
    </row>
    <row r="58" spans="2:10" s="7" customFormat="1" x14ac:dyDescent="0.2">
      <c r="B58" s="4" t="s">
        <v>115</v>
      </c>
      <c r="C58" s="5" t="s">
        <v>116</v>
      </c>
      <c r="D58" s="6" t="s">
        <v>42</v>
      </c>
      <c r="E58" s="6" t="s">
        <v>20</v>
      </c>
      <c r="F58" s="53">
        <v>20.7</v>
      </c>
      <c r="G58" s="42">
        <v>2.5500000000000002E-4</v>
      </c>
      <c r="H58" s="41">
        <v>5.5579999999999998</v>
      </c>
      <c r="I58" s="41">
        <v>9.5280000000000005</v>
      </c>
      <c r="J58" s="41"/>
    </row>
    <row r="59" spans="2:10" s="7" customFormat="1" x14ac:dyDescent="0.2">
      <c r="B59" s="4" t="s">
        <v>117</v>
      </c>
      <c r="C59" s="5" t="s">
        <v>118</v>
      </c>
      <c r="D59" s="6" t="s">
        <v>42</v>
      </c>
      <c r="E59" s="6" t="s">
        <v>20</v>
      </c>
      <c r="F59" s="53">
        <v>55.3</v>
      </c>
      <c r="G59" s="42">
        <v>2.5500000000000002E-4</v>
      </c>
      <c r="H59" s="41">
        <v>16.806999999999999</v>
      </c>
      <c r="I59" s="41">
        <v>28.812000000000001</v>
      </c>
      <c r="J59" s="41"/>
    </row>
    <row r="60" spans="2:10" s="7" customFormat="1" ht="25.5" x14ac:dyDescent="0.2">
      <c r="B60" s="4" t="s">
        <v>119</v>
      </c>
      <c r="C60" s="5" t="s">
        <v>120</v>
      </c>
      <c r="D60" s="6" t="s">
        <v>42</v>
      </c>
      <c r="E60" s="6" t="s">
        <v>20</v>
      </c>
      <c r="F60" s="53">
        <v>41.45</v>
      </c>
      <c r="G60" s="42">
        <v>2.5500000000000002E-4</v>
      </c>
      <c r="H60" s="41">
        <v>11.108999999999998</v>
      </c>
      <c r="I60" s="41">
        <v>19.043999999999997</v>
      </c>
      <c r="J60" s="41"/>
    </row>
    <row r="61" spans="2:10" s="7" customFormat="1" x14ac:dyDescent="0.2">
      <c r="B61" s="4" t="s">
        <v>121</v>
      </c>
      <c r="C61" s="5" t="s">
        <v>122</v>
      </c>
      <c r="D61" s="6" t="s">
        <v>32</v>
      </c>
      <c r="E61" s="6" t="s">
        <v>20</v>
      </c>
      <c r="F61" s="53">
        <v>16.100000000000001</v>
      </c>
      <c r="G61" s="42">
        <v>2.5500000000000002E-4</v>
      </c>
      <c r="H61" s="41">
        <v>3.5</v>
      </c>
      <c r="I61" s="41">
        <v>6</v>
      </c>
      <c r="J61" s="41"/>
    </row>
    <row r="62" spans="2:10" s="7" customFormat="1" x14ac:dyDescent="0.2">
      <c r="B62" s="4" t="s">
        <v>123</v>
      </c>
      <c r="C62" s="5" t="s">
        <v>124</v>
      </c>
      <c r="D62" s="6" t="s">
        <v>32</v>
      </c>
      <c r="E62" s="6" t="s">
        <v>20</v>
      </c>
      <c r="F62" s="53">
        <v>11.5</v>
      </c>
      <c r="G62" s="42">
        <v>2.5500000000000002E-4</v>
      </c>
      <c r="H62" s="41">
        <v>3.5</v>
      </c>
      <c r="I62" s="41">
        <v>6</v>
      </c>
      <c r="J62" s="41"/>
    </row>
    <row r="63" spans="2:10" s="7" customFormat="1" x14ac:dyDescent="0.2">
      <c r="B63" s="4" t="s">
        <v>125</v>
      </c>
      <c r="C63" s="5" t="s">
        <v>126</v>
      </c>
      <c r="D63" s="6"/>
      <c r="E63" s="6"/>
      <c r="F63" s="50"/>
      <c r="G63" s="42">
        <v>2.5500000000000002E-4</v>
      </c>
      <c r="H63" s="41" t="s">
        <v>49</v>
      </c>
      <c r="I63" s="41" t="s">
        <v>49</v>
      </c>
      <c r="J63" s="41"/>
    </row>
    <row r="64" spans="2:10" s="7" customFormat="1" ht="25.5" x14ac:dyDescent="0.2">
      <c r="B64" s="4" t="s">
        <v>127</v>
      </c>
      <c r="C64" s="5" t="s">
        <v>128</v>
      </c>
      <c r="D64" s="6" t="s">
        <v>42</v>
      </c>
      <c r="E64" s="6" t="s">
        <v>20</v>
      </c>
      <c r="F64" s="53">
        <v>16.600000000000001</v>
      </c>
      <c r="G64" s="42">
        <v>2.5500000000000002E-4</v>
      </c>
      <c r="H64" s="41">
        <v>4.4449999999999994</v>
      </c>
      <c r="I64" s="41">
        <v>7.6199999999999992</v>
      </c>
      <c r="J64" s="41"/>
    </row>
    <row r="65" spans="2:10" s="7" customFormat="1" x14ac:dyDescent="0.2">
      <c r="B65" s="4" t="s">
        <v>129</v>
      </c>
      <c r="C65" s="5" t="s">
        <v>130</v>
      </c>
      <c r="D65" s="6" t="s">
        <v>42</v>
      </c>
      <c r="E65" s="6" t="s">
        <v>20</v>
      </c>
      <c r="F65" s="53">
        <v>19.350000000000001</v>
      </c>
      <c r="G65" s="42">
        <v>2.5500000000000002E-4</v>
      </c>
      <c r="H65" s="41">
        <v>4.4449999999999994</v>
      </c>
      <c r="I65" s="41">
        <v>7.6199999999999992</v>
      </c>
      <c r="J65" s="41"/>
    </row>
    <row r="66" spans="2:10" s="7" customFormat="1" x14ac:dyDescent="0.2">
      <c r="B66" s="4" t="s">
        <v>131</v>
      </c>
      <c r="C66" s="5" t="s">
        <v>132</v>
      </c>
      <c r="D66" s="6" t="s">
        <v>42</v>
      </c>
      <c r="E66" s="6" t="s">
        <v>20</v>
      </c>
      <c r="F66" s="53">
        <v>19.350000000000001</v>
      </c>
      <c r="G66" s="42">
        <v>2.5500000000000002E-4</v>
      </c>
      <c r="H66" s="41">
        <v>3.3319999999999999</v>
      </c>
      <c r="I66" s="41">
        <v>5.7119999999999997</v>
      </c>
      <c r="J66" s="41"/>
    </row>
    <row r="67" spans="2:10" s="7" customFormat="1" x14ac:dyDescent="0.2">
      <c r="B67" s="4" t="s">
        <v>133</v>
      </c>
      <c r="C67" s="5" t="s">
        <v>134</v>
      </c>
      <c r="D67" s="6" t="s">
        <v>42</v>
      </c>
      <c r="E67" s="6" t="s">
        <v>20</v>
      </c>
      <c r="F67" s="53">
        <v>13.8</v>
      </c>
      <c r="G67" s="42">
        <v>2.5500000000000002E-4</v>
      </c>
      <c r="H67" s="41">
        <v>3.5</v>
      </c>
      <c r="I67" s="41">
        <v>6</v>
      </c>
      <c r="J67" s="41"/>
    </row>
    <row r="68" spans="2:10" s="7" customFormat="1" x14ac:dyDescent="0.2">
      <c r="B68" s="4" t="s">
        <v>135</v>
      </c>
      <c r="C68" s="5" t="s">
        <v>136</v>
      </c>
      <c r="D68" s="6" t="s">
        <v>137</v>
      </c>
      <c r="E68" s="6" t="s">
        <v>20</v>
      </c>
      <c r="F68" s="53">
        <v>11.5</v>
      </c>
      <c r="G68" s="42">
        <v>2.5500000000000002E-4</v>
      </c>
      <c r="H68" s="41">
        <v>3.5</v>
      </c>
      <c r="I68" s="41">
        <v>6</v>
      </c>
      <c r="J68" s="41"/>
    </row>
    <row r="69" spans="2:10" s="7" customFormat="1" x14ac:dyDescent="0.2">
      <c r="B69" s="4" t="s">
        <v>138</v>
      </c>
      <c r="C69" s="5" t="s">
        <v>132</v>
      </c>
      <c r="D69" s="6" t="s">
        <v>137</v>
      </c>
      <c r="E69" s="6" t="s">
        <v>20</v>
      </c>
      <c r="F69" s="53">
        <v>11.5</v>
      </c>
      <c r="G69" s="42">
        <v>2.5500000000000002E-4</v>
      </c>
      <c r="H69" s="41">
        <v>3.5</v>
      </c>
      <c r="I69" s="41">
        <v>6</v>
      </c>
      <c r="J69" s="41"/>
    </row>
    <row r="70" spans="2:10" s="7" customFormat="1" x14ac:dyDescent="0.2">
      <c r="B70" s="4" t="s">
        <v>139</v>
      </c>
      <c r="C70" s="5" t="s">
        <v>140</v>
      </c>
      <c r="D70" s="6" t="s">
        <v>42</v>
      </c>
      <c r="E70" s="6" t="s">
        <v>20</v>
      </c>
      <c r="F70" s="53">
        <v>22.1</v>
      </c>
      <c r="G70" s="42">
        <v>2.5500000000000002E-4</v>
      </c>
      <c r="H70" s="41">
        <v>5.5579999999999998</v>
      </c>
      <c r="I70" s="41">
        <v>9.5280000000000005</v>
      </c>
      <c r="J70" s="41"/>
    </row>
    <row r="71" spans="2:10" s="7" customFormat="1" x14ac:dyDescent="0.2">
      <c r="B71" s="4" t="s">
        <v>141</v>
      </c>
      <c r="C71" s="5" t="s">
        <v>142</v>
      </c>
      <c r="D71" s="6"/>
      <c r="E71" s="6"/>
      <c r="F71" s="50"/>
      <c r="G71" s="42">
        <v>2.5500000000000002E-4</v>
      </c>
      <c r="H71" s="41" t="s">
        <v>49</v>
      </c>
      <c r="I71" s="41" t="s">
        <v>49</v>
      </c>
      <c r="J71" s="41"/>
    </row>
    <row r="72" spans="2:10" s="7" customFormat="1" x14ac:dyDescent="0.2">
      <c r="B72" s="4" t="s">
        <v>143</v>
      </c>
      <c r="C72" s="5" t="s">
        <v>144</v>
      </c>
      <c r="D72" s="6" t="s">
        <v>42</v>
      </c>
      <c r="E72" s="6" t="s">
        <v>20</v>
      </c>
      <c r="F72" s="53">
        <v>27.55</v>
      </c>
      <c r="G72" s="42">
        <v>2.5500000000000002E-4</v>
      </c>
      <c r="H72" s="41">
        <v>8.407</v>
      </c>
      <c r="I72" s="41">
        <v>14.411999999999999</v>
      </c>
      <c r="J72" s="41"/>
    </row>
    <row r="73" spans="2:10" s="7" customFormat="1" x14ac:dyDescent="0.2">
      <c r="B73" s="4" t="s">
        <v>145</v>
      </c>
      <c r="C73" s="5" t="s">
        <v>146</v>
      </c>
      <c r="D73" s="6" t="s">
        <v>42</v>
      </c>
      <c r="E73" s="6" t="s">
        <v>20</v>
      </c>
      <c r="F73" s="53">
        <v>38.5</v>
      </c>
      <c r="G73" s="42">
        <v>2.5500000000000002E-4</v>
      </c>
      <c r="H73" s="41">
        <v>11.76</v>
      </c>
      <c r="I73" s="41">
        <v>20.16</v>
      </c>
      <c r="J73" s="41"/>
    </row>
    <row r="74" spans="2:10" s="7" customFormat="1" x14ac:dyDescent="0.2">
      <c r="B74" s="4" t="s">
        <v>147</v>
      </c>
      <c r="C74" s="5" t="s">
        <v>148</v>
      </c>
      <c r="D74" s="6" t="s">
        <v>42</v>
      </c>
      <c r="E74" s="6" t="s">
        <v>20</v>
      </c>
      <c r="F74" s="53">
        <v>49.79</v>
      </c>
      <c r="G74" s="42">
        <v>2.5500000000000002E-4</v>
      </c>
      <c r="H74" s="41">
        <v>15.126999999999999</v>
      </c>
      <c r="I74" s="41">
        <v>25.931999999999999</v>
      </c>
      <c r="J74" s="41"/>
    </row>
    <row r="75" spans="2:10" s="7" customFormat="1" x14ac:dyDescent="0.2">
      <c r="B75" s="4" t="s">
        <v>149</v>
      </c>
      <c r="C75" s="5" t="s">
        <v>150</v>
      </c>
      <c r="D75" s="6" t="s">
        <v>42</v>
      </c>
      <c r="E75" s="6" t="s">
        <v>20</v>
      </c>
      <c r="F75" s="53">
        <v>18.5</v>
      </c>
      <c r="G75" s="42">
        <v>2.5500000000000002E-4</v>
      </c>
      <c r="H75" s="41">
        <v>4.4449999999999994</v>
      </c>
      <c r="I75" s="41">
        <v>7.6199999999999992</v>
      </c>
      <c r="J75" s="41"/>
    </row>
    <row r="76" spans="2:10" s="7" customFormat="1" x14ac:dyDescent="0.2">
      <c r="B76" s="4" t="s">
        <v>151</v>
      </c>
      <c r="C76" s="5" t="s">
        <v>152</v>
      </c>
      <c r="D76" s="6" t="s">
        <v>42</v>
      </c>
      <c r="E76" s="6" t="s">
        <v>20</v>
      </c>
      <c r="F76" s="53">
        <v>19.350000000000001</v>
      </c>
      <c r="G76" s="42">
        <v>2.5500000000000002E-4</v>
      </c>
      <c r="H76" s="41">
        <v>4.4449999999999994</v>
      </c>
      <c r="I76" s="41">
        <v>7.6199999999999992</v>
      </c>
      <c r="J76" s="41"/>
    </row>
    <row r="77" spans="2:10" s="7" customFormat="1" x14ac:dyDescent="0.2">
      <c r="B77" s="4" t="s">
        <v>153</v>
      </c>
      <c r="C77" s="5" t="s">
        <v>154</v>
      </c>
      <c r="D77" s="6" t="s">
        <v>42</v>
      </c>
      <c r="E77" s="6" t="s">
        <v>20</v>
      </c>
      <c r="F77" s="53">
        <v>19.350000000000001</v>
      </c>
      <c r="G77" s="42">
        <v>2.5500000000000002E-4</v>
      </c>
      <c r="H77" s="41">
        <v>4.4449999999999994</v>
      </c>
      <c r="I77" s="41">
        <v>7.6199999999999992</v>
      </c>
      <c r="J77" s="41"/>
    </row>
    <row r="78" spans="2:10" s="7" customFormat="1" x14ac:dyDescent="0.2">
      <c r="B78" s="4" t="s">
        <v>155</v>
      </c>
      <c r="C78" s="5" t="s">
        <v>156</v>
      </c>
      <c r="D78" s="6" t="s">
        <v>42</v>
      </c>
      <c r="E78" s="6" t="s">
        <v>20</v>
      </c>
      <c r="F78" s="53">
        <v>19.350000000000001</v>
      </c>
      <c r="G78" s="42">
        <v>2.5500000000000002E-4</v>
      </c>
      <c r="H78" s="41">
        <v>4.4449999999999994</v>
      </c>
      <c r="I78" s="41">
        <v>7.6199999999999992</v>
      </c>
      <c r="J78" s="41"/>
    </row>
    <row r="79" spans="2:10" s="7" customFormat="1" ht="25.5" x14ac:dyDescent="0.2">
      <c r="B79" s="4" t="s">
        <v>157</v>
      </c>
      <c r="C79" s="5" t="s">
        <v>158</v>
      </c>
      <c r="D79" s="6" t="s">
        <v>42</v>
      </c>
      <c r="E79" s="6" t="s">
        <v>20</v>
      </c>
      <c r="F79" s="53">
        <v>5</v>
      </c>
      <c r="G79" s="42">
        <v>2.5500000000000002E-4</v>
      </c>
      <c r="H79" s="41">
        <v>1.113</v>
      </c>
      <c r="I79" s="41">
        <v>1.9079999999999999</v>
      </c>
      <c r="J79" s="41"/>
    </row>
    <row r="80" spans="2:10" s="7" customFormat="1" ht="25.5" x14ac:dyDescent="0.2">
      <c r="B80" s="4" t="s">
        <v>159</v>
      </c>
      <c r="C80" s="5" t="s">
        <v>160</v>
      </c>
      <c r="D80" s="6" t="s">
        <v>32</v>
      </c>
      <c r="E80" s="6" t="s">
        <v>20</v>
      </c>
      <c r="F80" s="53">
        <v>11.5</v>
      </c>
      <c r="G80" s="42">
        <v>2.5500000000000002E-4</v>
      </c>
      <c r="H80" s="41">
        <v>3.5</v>
      </c>
      <c r="I80" s="41">
        <v>6</v>
      </c>
      <c r="J80" s="41"/>
    </row>
    <row r="81" spans="2:10" s="7" customFormat="1" x14ac:dyDescent="0.2">
      <c r="B81" s="4" t="s">
        <v>161</v>
      </c>
      <c r="C81" s="5" t="s">
        <v>162</v>
      </c>
      <c r="D81" s="6" t="s">
        <v>32</v>
      </c>
      <c r="E81" s="6" t="s">
        <v>20</v>
      </c>
      <c r="F81" s="53">
        <v>11.5</v>
      </c>
      <c r="G81" s="42">
        <v>2.5500000000000002E-4</v>
      </c>
      <c r="H81" s="41">
        <v>3.5</v>
      </c>
      <c r="I81" s="41">
        <v>6</v>
      </c>
      <c r="J81" s="41"/>
    </row>
    <row r="82" spans="2:10" s="7" customFormat="1" x14ac:dyDescent="0.2">
      <c r="B82" s="4" t="s">
        <v>163</v>
      </c>
      <c r="C82" s="5" t="s">
        <v>164</v>
      </c>
      <c r="D82" s="6"/>
      <c r="E82" s="6"/>
      <c r="F82" s="50"/>
      <c r="G82" s="42">
        <v>2.5500000000000002E-4</v>
      </c>
      <c r="H82" s="41" t="s">
        <v>49</v>
      </c>
      <c r="I82" s="41" t="s">
        <v>49</v>
      </c>
      <c r="J82" s="41"/>
    </row>
    <row r="83" spans="2:10" s="7" customFormat="1" x14ac:dyDescent="0.2">
      <c r="B83" s="4" t="s">
        <v>165</v>
      </c>
      <c r="C83" s="5" t="s">
        <v>166</v>
      </c>
      <c r="D83" s="6" t="s">
        <v>42</v>
      </c>
      <c r="E83" s="6" t="s">
        <v>20</v>
      </c>
      <c r="F83" s="53">
        <v>16.5</v>
      </c>
      <c r="G83" s="42">
        <v>2.5500000000000002E-4</v>
      </c>
      <c r="H83" s="41">
        <v>5.0330000000000004</v>
      </c>
      <c r="I83" s="41">
        <v>8.6280000000000001</v>
      </c>
      <c r="J83" s="41"/>
    </row>
    <row r="84" spans="2:10" s="7" customFormat="1" x14ac:dyDescent="0.2">
      <c r="B84" s="4" t="s">
        <v>167</v>
      </c>
      <c r="C84" s="5" t="s">
        <v>168</v>
      </c>
      <c r="D84" s="6" t="s">
        <v>42</v>
      </c>
      <c r="E84" s="6" t="s">
        <v>20</v>
      </c>
      <c r="F84" s="53">
        <v>11</v>
      </c>
      <c r="G84" s="42">
        <v>2.5500000000000002E-4</v>
      </c>
      <c r="H84" s="41">
        <v>3.36</v>
      </c>
      <c r="I84" s="41">
        <v>5.76</v>
      </c>
      <c r="J84" s="41"/>
    </row>
    <row r="85" spans="2:10" s="7" customFormat="1" x14ac:dyDescent="0.2">
      <c r="B85" s="4" t="s">
        <v>169</v>
      </c>
      <c r="C85" s="5" t="s">
        <v>170</v>
      </c>
      <c r="D85" s="6" t="s">
        <v>42</v>
      </c>
      <c r="E85" s="6" t="s">
        <v>20</v>
      </c>
      <c r="F85" s="53">
        <v>19.350000000000001</v>
      </c>
      <c r="G85" s="42">
        <v>2.5500000000000002E-4</v>
      </c>
      <c r="H85" s="41">
        <v>5.88</v>
      </c>
      <c r="I85" s="41">
        <v>10.08</v>
      </c>
      <c r="J85" s="41"/>
    </row>
    <row r="86" spans="2:10" s="7" customFormat="1" x14ac:dyDescent="0.2">
      <c r="B86" s="4" t="s">
        <v>171</v>
      </c>
      <c r="C86" s="5" t="s">
        <v>172</v>
      </c>
      <c r="D86" s="6" t="s">
        <v>42</v>
      </c>
      <c r="E86" s="6" t="s">
        <v>20</v>
      </c>
      <c r="F86" s="53">
        <v>18.420000000000002</v>
      </c>
      <c r="G86" s="42">
        <v>2.5500000000000002E-4</v>
      </c>
      <c r="H86" s="41">
        <v>0</v>
      </c>
      <c r="I86" s="41">
        <v>0</v>
      </c>
      <c r="J86" s="41"/>
    </row>
    <row r="87" spans="2:10" s="7" customFormat="1" x14ac:dyDescent="0.2">
      <c r="B87" s="4" t="s">
        <v>173</v>
      </c>
      <c r="C87" s="5" t="s">
        <v>174</v>
      </c>
      <c r="D87" s="6"/>
      <c r="E87" s="6"/>
      <c r="F87" s="50"/>
      <c r="G87" s="42">
        <v>2.5500000000000002E-4</v>
      </c>
      <c r="H87" s="41" t="s">
        <v>49</v>
      </c>
      <c r="I87" s="41" t="s">
        <v>49</v>
      </c>
      <c r="J87" s="41"/>
    </row>
    <row r="88" spans="2:10" s="7" customFormat="1" x14ac:dyDescent="0.2">
      <c r="B88" s="4" t="s">
        <v>175</v>
      </c>
      <c r="C88" s="5" t="s">
        <v>176</v>
      </c>
      <c r="D88" s="6" t="s">
        <v>42</v>
      </c>
      <c r="E88" s="6" t="s">
        <v>20</v>
      </c>
      <c r="F88" s="53">
        <v>73.150000000000006</v>
      </c>
      <c r="G88" s="42">
        <v>2.5500000000000002E-4</v>
      </c>
      <c r="H88" s="41">
        <v>22.224999999999998</v>
      </c>
      <c r="I88" s="41">
        <v>38.1</v>
      </c>
      <c r="J88" s="41"/>
    </row>
    <row r="89" spans="2:10" s="7" customFormat="1" x14ac:dyDescent="0.2">
      <c r="B89" s="4" t="s">
        <v>177</v>
      </c>
      <c r="C89" s="5" t="s">
        <v>178</v>
      </c>
      <c r="D89" s="6" t="s">
        <v>42</v>
      </c>
      <c r="E89" s="6" t="s">
        <v>20</v>
      </c>
      <c r="F89" s="53">
        <v>73.150000000000006</v>
      </c>
      <c r="G89" s="42">
        <v>2.5500000000000002E-4</v>
      </c>
      <c r="H89" s="41">
        <v>22.224999999999998</v>
      </c>
      <c r="I89" s="41">
        <v>38.1</v>
      </c>
      <c r="J89" s="41"/>
    </row>
    <row r="90" spans="2:10" s="7" customFormat="1" x14ac:dyDescent="0.2">
      <c r="B90" s="4" t="s">
        <v>179</v>
      </c>
      <c r="C90" s="5" t="s">
        <v>180</v>
      </c>
      <c r="D90" s="6"/>
      <c r="E90" s="6"/>
      <c r="F90" s="50"/>
      <c r="G90" s="42">
        <v>2.5500000000000002E-4</v>
      </c>
      <c r="H90" s="41" t="s">
        <v>49</v>
      </c>
      <c r="I90" s="41" t="s">
        <v>49</v>
      </c>
      <c r="J90" s="41"/>
    </row>
    <row r="91" spans="2:10" s="7" customFormat="1" x14ac:dyDescent="0.2">
      <c r="B91" s="4" t="s">
        <v>181</v>
      </c>
      <c r="C91" s="5" t="s">
        <v>182</v>
      </c>
      <c r="D91" s="6" t="s">
        <v>66</v>
      </c>
      <c r="E91" s="6" t="s">
        <v>20</v>
      </c>
      <c r="F91" s="53">
        <v>27.5</v>
      </c>
      <c r="G91" s="42">
        <v>2.5500000000000002E-4</v>
      </c>
      <c r="H91" s="41">
        <v>7.798</v>
      </c>
      <c r="I91" s="41">
        <v>13.368</v>
      </c>
      <c r="J91" s="41"/>
    </row>
    <row r="92" spans="2:10" s="7" customFormat="1" x14ac:dyDescent="0.2">
      <c r="B92" s="4" t="s">
        <v>183</v>
      </c>
      <c r="C92" s="5" t="s">
        <v>184</v>
      </c>
      <c r="D92" s="6" t="s">
        <v>66</v>
      </c>
      <c r="E92" s="6" t="s">
        <v>20</v>
      </c>
      <c r="F92" s="53">
        <v>41</v>
      </c>
      <c r="G92" s="42">
        <v>2.5500000000000002E-4</v>
      </c>
      <c r="H92" s="41">
        <v>11.69</v>
      </c>
      <c r="I92" s="41">
        <v>20.04</v>
      </c>
      <c r="J92" s="41"/>
    </row>
    <row r="93" spans="2:10" s="7" customFormat="1" x14ac:dyDescent="0.2">
      <c r="B93" s="4" t="s">
        <v>185</v>
      </c>
      <c r="C93" s="5" t="s">
        <v>186</v>
      </c>
      <c r="D93" s="6" t="s">
        <v>42</v>
      </c>
      <c r="E93" s="6" t="s">
        <v>20</v>
      </c>
      <c r="F93" s="53">
        <v>55</v>
      </c>
      <c r="G93" s="42">
        <v>2.5500000000000002E-4</v>
      </c>
      <c r="H93" s="41">
        <v>15.588999999999999</v>
      </c>
      <c r="I93" s="41">
        <v>26.724</v>
      </c>
      <c r="J93" s="41"/>
    </row>
    <row r="94" spans="2:10" s="7" customFormat="1" x14ac:dyDescent="0.2">
      <c r="B94" s="4" t="s">
        <v>187</v>
      </c>
      <c r="C94" s="5" t="s">
        <v>188</v>
      </c>
      <c r="D94" s="6" t="s">
        <v>42</v>
      </c>
      <c r="E94" s="6" t="s">
        <v>20</v>
      </c>
      <c r="F94" s="53">
        <v>69</v>
      </c>
      <c r="G94" s="42">
        <v>2.5500000000000002E-4</v>
      </c>
      <c r="H94" s="41">
        <v>21.007000000000001</v>
      </c>
      <c r="I94" s="41">
        <v>36.012</v>
      </c>
      <c r="J94" s="41"/>
    </row>
    <row r="95" spans="2:10" s="7" customFormat="1" x14ac:dyDescent="0.2">
      <c r="B95" s="4" t="s">
        <v>189</v>
      </c>
      <c r="C95" s="5" t="s">
        <v>190</v>
      </c>
      <c r="D95" s="6" t="s">
        <v>66</v>
      </c>
      <c r="E95" s="6" t="s">
        <v>20</v>
      </c>
      <c r="F95" s="53">
        <v>23</v>
      </c>
      <c r="G95" s="42">
        <v>2.5500000000000002E-4</v>
      </c>
      <c r="H95" s="41">
        <v>7</v>
      </c>
      <c r="I95" s="41">
        <v>12</v>
      </c>
      <c r="J95" s="41"/>
    </row>
    <row r="96" spans="2:10" s="7" customFormat="1" x14ac:dyDescent="0.2">
      <c r="B96" s="4" t="s">
        <v>191</v>
      </c>
      <c r="C96" s="5" t="s">
        <v>192</v>
      </c>
      <c r="D96" s="6"/>
      <c r="E96" s="6"/>
      <c r="F96" s="50"/>
      <c r="G96" s="42">
        <v>2.5500000000000002E-4</v>
      </c>
      <c r="H96" s="41" t="s">
        <v>49</v>
      </c>
      <c r="I96" s="41" t="s">
        <v>49</v>
      </c>
      <c r="J96" s="41"/>
    </row>
    <row r="97" spans="2:10" s="7" customFormat="1" x14ac:dyDescent="0.2">
      <c r="B97" s="4" t="s">
        <v>193</v>
      </c>
      <c r="C97" s="5" t="s">
        <v>194</v>
      </c>
      <c r="D97" s="6" t="s">
        <v>42</v>
      </c>
      <c r="E97" s="6" t="s">
        <v>20</v>
      </c>
      <c r="F97" s="53">
        <v>11.09</v>
      </c>
      <c r="G97" s="42">
        <v>2.5500000000000002E-4</v>
      </c>
      <c r="H97" s="41">
        <v>3.1149999999999998</v>
      </c>
      <c r="I97" s="41">
        <v>5.34</v>
      </c>
      <c r="J97" s="41"/>
    </row>
    <row r="98" spans="2:10" s="7" customFormat="1" x14ac:dyDescent="0.2">
      <c r="B98" s="4" t="s">
        <v>195</v>
      </c>
      <c r="C98" s="5" t="s">
        <v>196</v>
      </c>
      <c r="D98" s="6" t="s">
        <v>42</v>
      </c>
      <c r="E98" s="6" t="s">
        <v>20</v>
      </c>
      <c r="F98" s="53">
        <v>10.69</v>
      </c>
      <c r="G98" s="42">
        <v>2.5500000000000002E-4</v>
      </c>
      <c r="H98" s="41">
        <v>3.2479999999999998</v>
      </c>
      <c r="I98" s="41">
        <v>5.5679999999999996</v>
      </c>
      <c r="J98" s="41"/>
    </row>
    <row r="99" spans="2:10" s="7" customFormat="1" x14ac:dyDescent="0.2">
      <c r="B99" s="4" t="s">
        <v>197</v>
      </c>
      <c r="C99" s="5" t="s">
        <v>198</v>
      </c>
      <c r="D99" s="6" t="s">
        <v>42</v>
      </c>
      <c r="E99" s="6" t="s">
        <v>20</v>
      </c>
      <c r="F99" s="53">
        <v>10.59</v>
      </c>
      <c r="G99" s="42">
        <v>2.5500000000000002E-4</v>
      </c>
      <c r="H99" s="41">
        <v>3.2199999999999998</v>
      </c>
      <c r="I99" s="41">
        <v>5.52</v>
      </c>
      <c r="J99" s="41"/>
    </row>
    <row r="100" spans="2:10" s="7" customFormat="1" x14ac:dyDescent="0.2">
      <c r="B100" s="4" t="s">
        <v>199</v>
      </c>
      <c r="C100" s="5" t="s">
        <v>200</v>
      </c>
      <c r="D100" s="6" t="s">
        <v>42</v>
      </c>
      <c r="E100" s="6" t="s">
        <v>20</v>
      </c>
      <c r="F100" s="53">
        <v>12</v>
      </c>
      <c r="G100" s="42">
        <v>2.5500000000000002E-4</v>
      </c>
      <c r="H100" s="41">
        <v>3.6469999999999998</v>
      </c>
      <c r="I100" s="41">
        <v>6.2519999999999998</v>
      </c>
      <c r="J100" s="41"/>
    </row>
    <row r="101" spans="2:10" s="7" customFormat="1" x14ac:dyDescent="0.2">
      <c r="B101" s="4" t="s">
        <v>201</v>
      </c>
      <c r="C101" s="5" t="s">
        <v>202</v>
      </c>
      <c r="D101" s="6" t="s">
        <v>42</v>
      </c>
      <c r="E101" s="6" t="s">
        <v>20</v>
      </c>
      <c r="F101" s="53">
        <v>11.98</v>
      </c>
      <c r="G101" s="42">
        <v>2.5500000000000002E-4</v>
      </c>
      <c r="H101" s="41">
        <v>3.6399999999999997</v>
      </c>
      <c r="I101" s="41">
        <v>6.24</v>
      </c>
      <c r="J101" s="41"/>
    </row>
    <row r="102" spans="2:10" s="7" customFormat="1" x14ac:dyDescent="0.2">
      <c r="B102" s="4" t="s">
        <v>203</v>
      </c>
      <c r="C102" s="5" t="s">
        <v>204</v>
      </c>
      <c r="D102" s="6" t="s">
        <v>32</v>
      </c>
      <c r="E102" s="6" t="s">
        <v>20</v>
      </c>
      <c r="F102" s="53">
        <v>3.8</v>
      </c>
      <c r="G102" s="42">
        <v>2.5500000000000002E-4</v>
      </c>
      <c r="H102" s="41">
        <v>1.1549999999999998</v>
      </c>
      <c r="I102" s="41">
        <v>1.9799999999999998</v>
      </c>
      <c r="J102" s="41"/>
    </row>
    <row r="103" spans="2:10" s="7" customFormat="1" x14ac:dyDescent="0.2">
      <c r="B103" s="4" t="s">
        <v>205</v>
      </c>
      <c r="C103" s="5" t="s">
        <v>206</v>
      </c>
      <c r="D103" s="6" t="s">
        <v>19</v>
      </c>
      <c r="E103" s="6" t="s">
        <v>20</v>
      </c>
      <c r="F103" s="53">
        <v>253.44</v>
      </c>
      <c r="G103" s="42">
        <v>2.5500000000000002E-4</v>
      </c>
      <c r="H103" s="41">
        <v>77</v>
      </c>
      <c r="I103" s="41">
        <v>132</v>
      </c>
      <c r="J103" s="41"/>
    </row>
    <row r="104" spans="2:10" s="7" customFormat="1" x14ac:dyDescent="0.2">
      <c r="B104" s="4" t="s">
        <v>207</v>
      </c>
      <c r="C104" s="5" t="s">
        <v>208</v>
      </c>
      <c r="D104" s="6" t="s">
        <v>209</v>
      </c>
      <c r="E104" s="6" t="s">
        <v>20</v>
      </c>
      <c r="F104" s="53">
        <v>2.75</v>
      </c>
      <c r="G104" s="42">
        <v>2.5500000000000002E-4</v>
      </c>
      <c r="H104" s="41">
        <v>0.77700000000000002</v>
      </c>
      <c r="I104" s="41">
        <v>1.3320000000000001</v>
      </c>
      <c r="J104" s="41"/>
    </row>
    <row r="105" spans="2:10" s="7" customFormat="1" x14ac:dyDescent="0.2">
      <c r="B105" s="4" t="s">
        <v>210</v>
      </c>
      <c r="C105" s="5" t="s">
        <v>211</v>
      </c>
      <c r="D105" s="6" t="s">
        <v>32</v>
      </c>
      <c r="E105" s="6" t="s">
        <v>20</v>
      </c>
      <c r="F105" s="53">
        <v>5.5</v>
      </c>
      <c r="G105" s="42">
        <v>2.5500000000000002E-4</v>
      </c>
      <c r="H105" s="41">
        <v>1.5609999999999999</v>
      </c>
      <c r="I105" s="41">
        <v>2.6759999999999997</v>
      </c>
      <c r="J105" s="41"/>
    </row>
    <row r="106" spans="2:10" s="7" customFormat="1" x14ac:dyDescent="0.2">
      <c r="B106" s="4" t="s">
        <v>212</v>
      </c>
      <c r="C106" s="5" t="s">
        <v>213</v>
      </c>
      <c r="D106" s="6" t="s">
        <v>32</v>
      </c>
      <c r="E106" s="6" t="s">
        <v>20</v>
      </c>
      <c r="F106" s="53">
        <v>6.9</v>
      </c>
      <c r="G106" s="42">
        <v>2.5500000000000002E-4</v>
      </c>
      <c r="H106" s="41">
        <v>2.0999999999999996</v>
      </c>
      <c r="I106" s="41">
        <v>3.5999999999999996</v>
      </c>
      <c r="J106" s="41"/>
    </row>
    <row r="107" spans="2:10" s="7" customFormat="1" x14ac:dyDescent="0.2">
      <c r="B107" s="4" t="s">
        <v>214</v>
      </c>
      <c r="C107" s="5" t="s">
        <v>215</v>
      </c>
      <c r="D107" s="6" t="s">
        <v>42</v>
      </c>
      <c r="E107" s="6" t="s">
        <v>20</v>
      </c>
      <c r="F107" s="53">
        <v>8.1999999999999993</v>
      </c>
      <c r="G107" s="42">
        <v>2.5500000000000002E-4</v>
      </c>
      <c r="H107" s="41">
        <v>2.5129999999999999</v>
      </c>
      <c r="I107" s="41">
        <v>4.3079999999999998</v>
      </c>
      <c r="J107" s="41"/>
    </row>
    <row r="108" spans="2:10" s="7" customFormat="1" x14ac:dyDescent="0.2">
      <c r="B108" s="4" t="s">
        <v>216</v>
      </c>
      <c r="C108" s="5" t="s">
        <v>217</v>
      </c>
      <c r="D108" s="6" t="s">
        <v>42</v>
      </c>
      <c r="E108" s="6" t="s">
        <v>20</v>
      </c>
      <c r="F108" s="53">
        <v>69.099999999999994</v>
      </c>
      <c r="G108" s="42">
        <v>2.5500000000000002E-4</v>
      </c>
      <c r="H108" s="41">
        <v>21.007000000000001</v>
      </c>
      <c r="I108" s="41">
        <v>36.012</v>
      </c>
      <c r="J108" s="41"/>
    </row>
    <row r="109" spans="2:10" s="7" customFormat="1" x14ac:dyDescent="0.2">
      <c r="B109" s="4" t="s">
        <v>218</v>
      </c>
      <c r="C109" s="5" t="s">
        <v>219</v>
      </c>
      <c r="D109" s="6" t="s">
        <v>42</v>
      </c>
      <c r="E109" s="6" t="s">
        <v>20</v>
      </c>
      <c r="F109" s="53">
        <v>109.5</v>
      </c>
      <c r="G109" s="42">
        <v>2.5500000000000002E-4</v>
      </c>
      <c r="H109" s="41">
        <v>33.333999999999996</v>
      </c>
      <c r="I109" s="41">
        <v>57.143999999999998</v>
      </c>
      <c r="J109" s="41"/>
    </row>
    <row r="110" spans="2:10" s="7" customFormat="1" x14ac:dyDescent="0.2">
      <c r="B110" s="4" t="s">
        <v>220</v>
      </c>
      <c r="C110" s="5" t="s">
        <v>221</v>
      </c>
      <c r="D110" s="6" t="s">
        <v>32</v>
      </c>
      <c r="E110" s="6" t="s">
        <v>20</v>
      </c>
      <c r="F110" s="53">
        <v>12.5</v>
      </c>
      <c r="G110" s="42">
        <v>2.5500000000000002E-4</v>
      </c>
      <c r="H110" s="41">
        <v>3.8499999999999996</v>
      </c>
      <c r="I110" s="41">
        <v>6.6</v>
      </c>
      <c r="J110" s="41"/>
    </row>
    <row r="111" spans="2:10" s="7" customFormat="1" ht="25.5" x14ac:dyDescent="0.2">
      <c r="B111" s="4" t="s">
        <v>222</v>
      </c>
      <c r="C111" s="5" t="s">
        <v>223</v>
      </c>
      <c r="D111" s="6" t="s">
        <v>42</v>
      </c>
      <c r="E111" s="6" t="s">
        <v>20</v>
      </c>
      <c r="F111" s="53">
        <v>25.3</v>
      </c>
      <c r="G111" s="42">
        <v>2.5500000000000002E-4</v>
      </c>
      <c r="H111" s="41">
        <v>7.6999999999999993</v>
      </c>
      <c r="I111" s="41">
        <v>13.2</v>
      </c>
      <c r="J111" s="41"/>
    </row>
    <row r="112" spans="2:10" s="7" customFormat="1" x14ac:dyDescent="0.2">
      <c r="B112" s="4" t="s">
        <v>224</v>
      </c>
      <c r="C112" s="5" t="s">
        <v>225</v>
      </c>
      <c r="D112" s="6"/>
      <c r="E112" s="6"/>
      <c r="F112" s="50"/>
      <c r="G112" s="42">
        <v>2.5500000000000002E-4</v>
      </c>
      <c r="H112" s="41" t="s">
        <v>49</v>
      </c>
      <c r="I112" s="41" t="s">
        <v>49</v>
      </c>
      <c r="J112" s="41"/>
    </row>
    <row r="113" spans="2:10" s="7" customFormat="1" x14ac:dyDescent="0.2">
      <c r="B113" s="4" t="s">
        <v>226</v>
      </c>
      <c r="C113" s="5" t="s">
        <v>227</v>
      </c>
      <c r="D113" s="6" t="s">
        <v>19</v>
      </c>
      <c r="E113" s="6" t="s">
        <v>20</v>
      </c>
      <c r="F113" s="53">
        <v>207</v>
      </c>
      <c r="G113" s="42">
        <v>2.5500000000000002E-4</v>
      </c>
      <c r="H113" s="41">
        <v>63.027999999999999</v>
      </c>
      <c r="I113" s="41">
        <v>108.048</v>
      </c>
      <c r="J113" s="41"/>
    </row>
    <row r="114" spans="2:10" s="7" customFormat="1" x14ac:dyDescent="0.2">
      <c r="B114" s="4" t="s">
        <v>228</v>
      </c>
      <c r="C114" s="5" t="s">
        <v>229</v>
      </c>
      <c r="D114" s="6" t="s">
        <v>19</v>
      </c>
      <c r="E114" s="6" t="s">
        <v>20</v>
      </c>
      <c r="F114" s="53">
        <v>276.5</v>
      </c>
      <c r="G114" s="42">
        <v>2.5500000000000002E-4</v>
      </c>
      <c r="H114" s="41">
        <v>77.951999999999998</v>
      </c>
      <c r="I114" s="41">
        <v>133.63200000000001</v>
      </c>
      <c r="J114" s="41"/>
    </row>
    <row r="115" spans="2:10" s="7" customFormat="1" ht="38.25" x14ac:dyDescent="0.2">
      <c r="B115" s="4" t="s">
        <v>230</v>
      </c>
      <c r="C115" s="5" t="s">
        <v>231</v>
      </c>
      <c r="D115" s="6" t="s">
        <v>32</v>
      </c>
      <c r="E115" s="6" t="s">
        <v>20</v>
      </c>
      <c r="F115" s="53">
        <v>20.7</v>
      </c>
      <c r="G115" s="42">
        <v>2.5500000000000002E-4</v>
      </c>
      <c r="H115" s="41">
        <v>77</v>
      </c>
      <c r="I115" s="41">
        <v>132</v>
      </c>
      <c r="J115" s="41"/>
    </row>
    <row r="116" spans="2:10" s="7" customFormat="1" x14ac:dyDescent="0.2">
      <c r="B116" s="4" t="s">
        <v>232</v>
      </c>
      <c r="C116" s="5" t="s">
        <v>233</v>
      </c>
      <c r="D116" s="6" t="s">
        <v>32</v>
      </c>
      <c r="E116" s="6" t="s">
        <v>20</v>
      </c>
      <c r="F116" s="53">
        <v>380</v>
      </c>
      <c r="G116" s="42">
        <v>2.5500000000000002E-4</v>
      </c>
      <c r="H116" s="41">
        <v>115.49999999999999</v>
      </c>
      <c r="I116" s="41">
        <v>198</v>
      </c>
      <c r="J116" s="41"/>
    </row>
    <row r="117" spans="2:10" s="7" customFormat="1" ht="25.5" x14ac:dyDescent="0.2">
      <c r="B117" s="4" t="s">
        <v>234</v>
      </c>
      <c r="C117" s="5" t="s">
        <v>235</v>
      </c>
      <c r="D117" s="6" t="s">
        <v>42</v>
      </c>
      <c r="E117" s="6" t="s">
        <v>20</v>
      </c>
      <c r="F117" s="53">
        <v>63.3</v>
      </c>
      <c r="G117" s="42">
        <v>2.5500000000000002E-4</v>
      </c>
      <c r="H117" s="41">
        <v>19.25</v>
      </c>
      <c r="I117" s="41">
        <v>33</v>
      </c>
      <c r="J117" s="41"/>
    </row>
    <row r="118" spans="2:10" s="7" customFormat="1" x14ac:dyDescent="0.2">
      <c r="B118" s="4" t="s">
        <v>236</v>
      </c>
      <c r="C118" s="5" t="s">
        <v>237</v>
      </c>
      <c r="D118" s="6"/>
      <c r="E118" s="6"/>
      <c r="F118" s="50"/>
      <c r="G118" s="42">
        <v>2.5500000000000002E-4</v>
      </c>
      <c r="H118" s="41" t="s">
        <v>49</v>
      </c>
      <c r="I118" s="41" t="s">
        <v>49</v>
      </c>
      <c r="J118" s="41"/>
    </row>
    <row r="119" spans="2:10" s="7" customFormat="1" x14ac:dyDescent="0.2">
      <c r="B119" s="4" t="s">
        <v>238</v>
      </c>
      <c r="C119" s="5" t="s">
        <v>239</v>
      </c>
      <c r="D119" s="6" t="s">
        <v>42</v>
      </c>
      <c r="E119" s="6" t="s">
        <v>20</v>
      </c>
      <c r="F119" s="53">
        <v>11.5</v>
      </c>
      <c r="G119" s="42">
        <v>2.5500000000000002E-4</v>
      </c>
      <c r="H119" s="41">
        <v>3.3319999999999999</v>
      </c>
      <c r="I119" s="41">
        <v>5.7119999999999997</v>
      </c>
      <c r="J119" s="41"/>
    </row>
    <row r="120" spans="2:10" s="7" customFormat="1" x14ac:dyDescent="0.2">
      <c r="B120" s="4" t="s">
        <v>240</v>
      </c>
      <c r="C120" s="5" t="s">
        <v>241</v>
      </c>
      <c r="D120" s="6" t="s">
        <v>42</v>
      </c>
      <c r="E120" s="6" t="s">
        <v>20</v>
      </c>
      <c r="F120" s="53">
        <v>8.1999999999999993</v>
      </c>
      <c r="G120" s="42">
        <v>2.5500000000000002E-4</v>
      </c>
      <c r="H120" s="41">
        <v>2.3379999999999996</v>
      </c>
      <c r="I120" s="41">
        <v>4.008</v>
      </c>
      <c r="J120" s="41"/>
    </row>
    <row r="121" spans="2:10" s="7" customFormat="1" x14ac:dyDescent="0.2">
      <c r="B121" s="4" t="s">
        <v>242</v>
      </c>
      <c r="C121" s="9" t="s">
        <v>243</v>
      </c>
      <c r="D121" s="6" t="s">
        <v>66</v>
      </c>
      <c r="E121" s="6" t="s">
        <v>20</v>
      </c>
      <c r="F121" s="53">
        <v>8.1999999999999993</v>
      </c>
      <c r="G121" s="42">
        <v>2.5500000000000002E-4</v>
      </c>
      <c r="H121" s="41">
        <v>2.3379999999999996</v>
      </c>
      <c r="I121" s="41">
        <v>4.008</v>
      </c>
      <c r="J121" s="41"/>
    </row>
    <row r="122" spans="2:10" s="7" customFormat="1" x14ac:dyDescent="0.2">
      <c r="B122" s="4" t="s">
        <v>244</v>
      </c>
      <c r="C122" s="5" t="s">
        <v>245</v>
      </c>
      <c r="D122" s="6" t="s">
        <v>42</v>
      </c>
      <c r="E122" s="6" t="s">
        <v>20</v>
      </c>
      <c r="F122" s="53">
        <v>6.8</v>
      </c>
      <c r="G122" s="42">
        <v>2.5500000000000002E-4</v>
      </c>
      <c r="H122" s="41">
        <v>2.0999999999999996</v>
      </c>
      <c r="I122" s="41">
        <v>3.5999999999999996</v>
      </c>
      <c r="J122" s="41"/>
    </row>
    <row r="123" spans="2:10" s="7" customFormat="1" x14ac:dyDescent="0.2">
      <c r="B123" s="4" t="s">
        <v>246</v>
      </c>
      <c r="C123" s="9" t="s">
        <v>247</v>
      </c>
      <c r="D123" s="6" t="s">
        <v>42</v>
      </c>
      <c r="E123" s="6" t="s">
        <v>20</v>
      </c>
      <c r="F123" s="53">
        <v>12.4</v>
      </c>
      <c r="G123" s="42">
        <v>2.5500000000000002E-4</v>
      </c>
      <c r="H123" s="41">
        <v>3.78</v>
      </c>
      <c r="I123" s="41">
        <v>6.48</v>
      </c>
      <c r="J123" s="41"/>
    </row>
    <row r="124" spans="2:10" s="7" customFormat="1" x14ac:dyDescent="0.2">
      <c r="B124" s="4" t="s">
        <v>248</v>
      </c>
      <c r="C124" s="5" t="s">
        <v>249</v>
      </c>
      <c r="D124" s="6" t="s">
        <v>42</v>
      </c>
      <c r="E124" s="6" t="s">
        <v>20</v>
      </c>
      <c r="F124" s="53">
        <v>34.5</v>
      </c>
      <c r="G124" s="42">
        <v>2.5500000000000002E-4</v>
      </c>
      <c r="H124" s="41">
        <v>10.5</v>
      </c>
      <c r="I124" s="41">
        <v>18</v>
      </c>
      <c r="J124" s="41"/>
    </row>
    <row r="125" spans="2:10" s="7" customFormat="1" x14ac:dyDescent="0.2">
      <c r="B125" s="4" t="s">
        <v>250</v>
      </c>
      <c r="C125" s="5" t="s">
        <v>251</v>
      </c>
      <c r="D125" s="6"/>
      <c r="E125" s="6"/>
      <c r="F125" s="50"/>
      <c r="G125" s="42">
        <v>2.5500000000000002E-4</v>
      </c>
      <c r="H125" s="41" t="s">
        <v>49</v>
      </c>
      <c r="I125" s="41" t="s">
        <v>49</v>
      </c>
      <c r="J125" s="41"/>
    </row>
    <row r="126" spans="2:10" s="7" customFormat="1" ht="25.5" x14ac:dyDescent="0.2">
      <c r="B126" s="4" t="s">
        <v>252</v>
      </c>
      <c r="C126" s="5" t="s">
        <v>253</v>
      </c>
      <c r="D126" s="6" t="s">
        <v>254</v>
      </c>
      <c r="E126" s="6" t="s">
        <v>20</v>
      </c>
      <c r="F126" s="53">
        <v>138.30000000000001</v>
      </c>
      <c r="G126" s="42">
        <v>2.5500000000000002E-4</v>
      </c>
      <c r="H126" s="41">
        <v>38.975999999999999</v>
      </c>
      <c r="I126" s="41">
        <v>66.816000000000003</v>
      </c>
      <c r="J126" s="41"/>
    </row>
    <row r="127" spans="2:10" s="7" customFormat="1" ht="25.5" x14ac:dyDescent="0.2">
      <c r="B127" s="4" t="s">
        <v>255</v>
      </c>
      <c r="C127" s="5" t="s">
        <v>256</v>
      </c>
      <c r="D127" s="6" t="s">
        <v>254</v>
      </c>
      <c r="E127" s="6" t="s">
        <v>20</v>
      </c>
      <c r="F127" s="53">
        <v>172.8</v>
      </c>
      <c r="G127" s="42">
        <v>2.5500000000000002E-4</v>
      </c>
      <c r="H127" s="41">
        <v>0</v>
      </c>
      <c r="I127" s="41">
        <v>0</v>
      </c>
      <c r="J127" s="41"/>
    </row>
    <row r="128" spans="2:10" s="7" customFormat="1" ht="25.5" x14ac:dyDescent="0.2">
      <c r="B128" s="4" t="s">
        <v>257</v>
      </c>
      <c r="C128" s="5" t="s">
        <v>258</v>
      </c>
      <c r="D128" s="6" t="s">
        <v>66</v>
      </c>
      <c r="E128" s="6" t="s">
        <v>20</v>
      </c>
      <c r="F128" s="53">
        <v>207</v>
      </c>
      <c r="G128" s="42">
        <v>2.5500000000000002E-4</v>
      </c>
      <c r="H128" s="41">
        <v>55.558999999999997</v>
      </c>
      <c r="I128" s="41">
        <v>95.244</v>
      </c>
      <c r="J128" s="41"/>
    </row>
    <row r="129" spans="2:10" s="7" customFormat="1" ht="25.5" x14ac:dyDescent="0.2">
      <c r="B129" s="4" t="s">
        <v>259</v>
      </c>
      <c r="C129" s="5" t="s">
        <v>260</v>
      </c>
      <c r="D129" s="6" t="s">
        <v>66</v>
      </c>
      <c r="E129" s="6" t="s">
        <v>20</v>
      </c>
      <c r="F129" s="53">
        <v>57.5</v>
      </c>
      <c r="G129" s="42">
        <v>2.5500000000000002E-4</v>
      </c>
      <c r="H129" s="41">
        <v>0</v>
      </c>
      <c r="I129" s="41">
        <v>0</v>
      </c>
      <c r="J129" s="41"/>
    </row>
    <row r="130" spans="2:10" s="7" customFormat="1" x14ac:dyDescent="0.2">
      <c r="B130" s="4" t="s">
        <v>261</v>
      </c>
      <c r="C130" s="5" t="s">
        <v>262</v>
      </c>
      <c r="D130" s="6"/>
      <c r="E130" s="6"/>
      <c r="F130" s="50"/>
      <c r="G130" s="42">
        <v>2.5500000000000002E-4</v>
      </c>
      <c r="H130" s="41" t="s">
        <v>49</v>
      </c>
      <c r="I130" s="41" t="s">
        <v>49</v>
      </c>
      <c r="J130" s="41"/>
    </row>
    <row r="131" spans="2:10" s="7" customFormat="1" x14ac:dyDescent="0.2">
      <c r="B131" s="4" t="s">
        <v>263</v>
      </c>
      <c r="C131" s="5" t="s">
        <v>264</v>
      </c>
      <c r="D131" s="6" t="s">
        <v>19</v>
      </c>
      <c r="E131" s="6" t="s">
        <v>33</v>
      </c>
      <c r="F131" s="53">
        <v>33.15</v>
      </c>
      <c r="G131" s="42">
        <v>2.5500000000000002E-4</v>
      </c>
      <c r="H131" s="41">
        <v>8.8899999999999988</v>
      </c>
      <c r="I131" s="41">
        <v>15.239999999999998</v>
      </c>
      <c r="J131" s="41"/>
    </row>
    <row r="132" spans="2:10" s="7" customFormat="1" x14ac:dyDescent="0.2">
      <c r="B132" s="4" t="s">
        <v>265</v>
      </c>
      <c r="C132" s="5" t="s">
        <v>266</v>
      </c>
      <c r="D132" s="6" t="s">
        <v>19</v>
      </c>
      <c r="E132" s="6" t="s">
        <v>33</v>
      </c>
      <c r="F132" s="53">
        <v>37.65</v>
      </c>
      <c r="G132" s="42">
        <v>2.5500000000000002E-4</v>
      </c>
      <c r="H132" s="41">
        <v>11.445</v>
      </c>
      <c r="I132" s="41">
        <v>19.62</v>
      </c>
      <c r="J132" s="41"/>
    </row>
    <row r="133" spans="2:10" s="7" customFormat="1" x14ac:dyDescent="0.2">
      <c r="B133" s="4" t="s">
        <v>267</v>
      </c>
      <c r="C133" s="5" t="s">
        <v>268</v>
      </c>
      <c r="D133" s="6" t="s">
        <v>19</v>
      </c>
      <c r="E133" s="6" t="s">
        <v>33</v>
      </c>
      <c r="F133" s="53">
        <v>11.5</v>
      </c>
      <c r="G133" s="42">
        <v>2.5500000000000002E-4</v>
      </c>
      <c r="H133" s="41">
        <v>3.5069999999999997</v>
      </c>
      <c r="I133" s="41">
        <v>6.0119999999999996</v>
      </c>
      <c r="J133" s="41"/>
    </row>
    <row r="134" spans="2:10" s="7" customFormat="1" x14ac:dyDescent="0.2">
      <c r="B134" s="4" t="s">
        <v>269</v>
      </c>
      <c r="C134" s="5" t="s">
        <v>270</v>
      </c>
      <c r="D134" s="6" t="s">
        <v>19</v>
      </c>
      <c r="E134" s="6" t="s">
        <v>33</v>
      </c>
      <c r="F134" s="53">
        <v>63.6</v>
      </c>
      <c r="G134" s="42">
        <v>2.5500000000000002E-4</v>
      </c>
      <c r="H134" s="41">
        <v>19.326999999999998</v>
      </c>
      <c r="I134" s="41">
        <v>33.131999999999998</v>
      </c>
      <c r="J134" s="41"/>
    </row>
    <row r="135" spans="2:10" s="7" customFormat="1" x14ac:dyDescent="0.2">
      <c r="B135" s="4" t="s">
        <v>271</v>
      </c>
      <c r="C135" s="5" t="s">
        <v>272</v>
      </c>
      <c r="D135" s="6"/>
      <c r="E135" s="6"/>
      <c r="F135" s="50"/>
      <c r="G135" s="42">
        <v>2.5500000000000002E-4</v>
      </c>
      <c r="H135" s="41" t="s">
        <v>49</v>
      </c>
      <c r="I135" s="41" t="s">
        <v>49</v>
      </c>
      <c r="J135" s="41"/>
    </row>
    <row r="136" spans="2:10" s="7" customFormat="1" x14ac:dyDescent="0.2">
      <c r="B136" s="4" t="s">
        <v>273</v>
      </c>
      <c r="C136" s="5" t="s">
        <v>274</v>
      </c>
      <c r="D136" s="6" t="s">
        <v>19</v>
      </c>
      <c r="E136" s="6" t="s">
        <v>33</v>
      </c>
      <c r="F136" s="53">
        <v>45.45</v>
      </c>
      <c r="G136" s="42">
        <v>2.5500000000000002E-4</v>
      </c>
      <c r="H136" s="41">
        <v>13.811</v>
      </c>
      <c r="I136" s="41">
        <v>23.675999999999998</v>
      </c>
      <c r="J136" s="41"/>
    </row>
    <row r="137" spans="2:10" s="7" customFormat="1" x14ac:dyDescent="0.2">
      <c r="B137" s="4" t="s">
        <v>275</v>
      </c>
      <c r="C137" s="5" t="s">
        <v>276</v>
      </c>
      <c r="D137" s="6" t="s">
        <v>19</v>
      </c>
      <c r="E137" s="6" t="s">
        <v>33</v>
      </c>
      <c r="F137" s="53">
        <v>51.1</v>
      </c>
      <c r="G137" s="42">
        <v>2.5500000000000002E-4</v>
      </c>
      <c r="H137" s="41">
        <v>13.873999999999999</v>
      </c>
      <c r="I137" s="41">
        <v>23.783999999999999</v>
      </c>
      <c r="J137" s="41"/>
    </row>
    <row r="138" spans="2:10" s="7" customFormat="1" x14ac:dyDescent="0.2">
      <c r="B138" s="4" t="s">
        <v>277</v>
      </c>
      <c r="C138" s="5" t="s">
        <v>278</v>
      </c>
      <c r="D138" s="6" t="s">
        <v>19</v>
      </c>
      <c r="E138" s="6" t="s">
        <v>33</v>
      </c>
      <c r="F138" s="53">
        <v>52.1</v>
      </c>
      <c r="G138" s="42">
        <v>2.5500000000000002E-4</v>
      </c>
      <c r="H138" s="41">
        <v>15.82</v>
      </c>
      <c r="I138" s="41">
        <v>27.12</v>
      </c>
      <c r="J138" s="41"/>
    </row>
    <row r="139" spans="2:10" s="7" customFormat="1" ht="25.5" x14ac:dyDescent="0.2">
      <c r="B139" s="4" t="s">
        <v>279</v>
      </c>
      <c r="C139" s="5" t="s">
        <v>280</v>
      </c>
      <c r="D139" s="6" t="s">
        <v>19</v>
      </c>
      <c r="E139" s="6" t="s">
        <v>33</v>
      </c>
      <c r="F139" s="53">
        <v>39.39</v>
      </c>
      <c r="G139" s="42">
        <v>2.5500000000000002E-4</v>
      </c>
      <c r="H139" s="41">
        <v>11.97</v>
      </c>
      <c r="I139" s="41">
        <v>20.52</v>
      </c>
      <c r="J139" s="41"/>
    </row>
    <row r="140" spans="2:10" s="7" customFormat="1" x14ac:dyDescent="0.2">
      <c r="B140" s="4" t="s">
        <v>281</v>
      </c>
      <c r="C140" s="5" t="s">
        <v>282</v>
      </c>
      <c r="D140" s="6"/>
      <c r="E140" s="6"/>
      <c r="F140" s="50"/>
      <c r="G140" s="42">
        <v>2.5500000000000002E-4</v>
      </c>
      <c r="H140" s="41" t="s">
        <v>49</v>
      </c>
      <c r="I140" s="41" t="s">
        <v>49</v>
      </c>
      <c r="J140" s="41"/>
    </row>
    <row r="141" spans="2:10" s="7" customFormat="1" x14ac:dyDescent="0.2">
      <c r="B141" s="4" t="s">
        <v>283</v>
      </c>
      <c r="C141" s="5" t="s">
        <v>284</v>
      </c>
      <c r="D141" s="6" t="s">
        <v>42</v>
      </c>
      <c r="E141" s="6" t="s">
        <v>33</v>
      </c>
      <c r="F141" s="53">
        <v>8.2899999999999991</v>
      </c>
      <c r="G141" s="42">
        <v>2.5500000000000002E-4</v>
      </c>
      <c r="H141" s="41">
        <v>1.3299999999999998</v>
      </c>
      <c r="I141" s="41">
        <v>2.2799999999999998</v>
      </c>
      <c r="J141" s="41"/>
    </row>
    <row r="142" spans="2:10" s="7" customFormat="1" x14ac:dyDescent="0.2">
      <c r="B142" s="4" t="s">
        <v>285</v>
      </c>
      <c r="C142" s="5" t="s">
        <v>286</v>
      </c>
      <c r="D142" s="6" t="s">
        <v>42</v>
      </c>
      <c r="E142" s="6" t="s">
        <v>33</v>
      </c>
      <c r="F142" s="53">
        <v>11.09</v>
      </c>
      <c r="G142" s="42">
        <v>2.5500000000000002E-4</v>
      </c>
      <c r="H142" s="41">
        <v>1.89</v>
      </c>
      <c r="I142" s="41">
        <v>3.24</v>
      </c>
      <c r="J142" s="41"/>
    </row>
    <row r="143" spans="2:10" s="7" customFormat="1" x14ac:dyDescent="0.2">
      <c r="B143" s="4" t="s">
        <v>287</v>
      </c>
      <c r="C143" s="5" t="s">
        <v>288</v>
      </c>
      <c r="D143" s="6" t="s">
        <v>42</v>
      </c>
      <c r="E143" s="6" t="s">
        <v>33</v>
      </c>
      <c r="F143" s="53">
        <v>13.8</v>
      </c>
      <c r="G143" s="42">
        <v>2.5500000000000002E-4</v>
      </c>
      <c r="H143" s="41">
        <v>2.331</v>
      </c>
      <c r="I143" s="41">
        <v>3.996</v>
      </c>
      <c r="J143" s="41"/>
    </row>
    <row r="144" spans="2:10" s="7" customFormat="1" x14ac:dyDescent="0.2">
      <c r="B144" s="4" t="s">
        <v>289</v>
      </c>
      <c r="C144" s="5" t="s">
        <v>290</v>
      </c>
      <c r="D144" s="6" t="s">
        <v>42</v>
      </c>
      <c r="E144" s="6" t="s">
        <v>33</v>
      </c>
      <c r="F144" s="53">
        <v>16.600000000000001</v>
      </c>
      <c r="G144" s="42">
        <v>2.5500000000000002E-4</v>
      </c>
      <c r="H144" s="41">
        <v>2.6669999999999998</v>
      </c>
      <c r="I144" s="41">
        <v>4.5720000000000001</v>
      </c>
      <c r="J144" s="41"/>
    </row>
    <row r="145" spans="2:10" s="7" customFormat="1" ht="38.25" x14ac:dyDescent="0.2">
      <c r="B145" s="8" t="s">
        <v>291</v>
      </c>
      <c r="C145" s="5" t="s">
        <v>292</v>
      </c>
      <c r="D145" s="6"/>
      <c r="E145" s="6"/>
      <c r="F145" s="50"/>
      <c r="G145" s="40" t="e">
        <f>#REF!/(COUNTA(#REF!))</f>
        <v>#REF!</v>
      </c>
      <c r="H145" s="41" t="s">
        <v>49</v>
      </c>
      <c r="I145" s="41" t="s">
        <v>49</v>
      </c>
      <c r="J145" s="41"/>
    </row>
    <row r="146" spans="2:10" s="7" customFormat="1" x14ac:dyDescent="0.2">
      <c r="B146" s="4" t="s">
        <v>293</v>
      </c>
      <c r="C146" s="5" t="s">
        <v>294</v>
      </c>
      <c r="D146" s="6"/>
      <c r="E146" s="6"/>
      <c r="F146" s="50"/>
      <c r="G146" s="42">
        <v>1.3848113798387821E-3</v>
      </c>
      <c r="H146" s="41" t="s">
        <v>49</v>
      </c>
      <c r="I146" s="41" t="s">
        <v>49</v>
      </c>
      <c r="J146" s="41"/>
    </row>
    <row r="147" spans="2:10" s="7" customFormat="1" x14ac:dyDescent="0.2">
      <c r="B147" s="4" t="s">
        <v>295</v>
      </c>
      <c r="C147" s="5" t="s">
        <v>296</v>
      </c>
      <c r="D147" s="6"/>
      <c r="E147" s="6"/>
      <c r="F147" s="50"/>
      <c r="G147" s="42">
        <v>1.3848113798387821E-3</v>
      </c>
      <c r="H147" s="41" t="s">
        <v>49</v>
      </c>
      <c r="I147" s="41" t="s">
        <v>49</v>
      </c>
      <c r="J147" s="41"/>
    </row>
    <row r="148" spans="2:10" s="7" customFormat="1" x14ac:dyDescent="0.2">
      <c r="B148" s="4" t="s">
        <v>297</v>
      </c>
      <c r="C148" s="5" t="s">
        <v>298</v>
      </c>
      <c r="D148" s="6" t="s">
        <v>19</v>
      </c>
      <c r="E148" s="6" t="s">
        <v>33</v>
      </c>
      <c r="F148" s="53">
        <v>138.25</v>
      </c>
      <c r="G148" s="42">
        <v>1.3848113798387821E-3</v>
      </c>
      <c r="H148" s="41">
        <v>42.021000000000001</v>
      </c>
      <c r="I148" s="41">
        <v>72.036000000000001</v>
      </c>
      <c r="J148" s="41"/>
    </row>
    <row r="149" spans="2:10" s="7" customFormat="1" x14ac:dyDescent="0.2">
      <c r="B149" s="4" t="s">
        <v>299</v>
      </c>
      <c r="C149" s="5" t="s">
        <v>300</v>
      </c>
      <c r="D149" s="6" t="s">
        <v>19</v>
      </c>
      <c r="E149" s="6" t="s">
        <v>33</v>
      </c>
      <c r="F149" s="53">
        <v>460</v>
      </c>
      <c r="G149" s="42">
        <v>1.3848113798387821E-3</v>
      </c>
      <c r="H149" s="41">
        <v>140</v>
      </c>
      <c r="I149" s="41">
        <v>240</v>
      </c>
      <c r="J149" s="41"/>
    </row>
    <row r="150" spans="2:10" s="7" customFormat="1" x14ac:dyDescent="0.2">
      <c r="B150" s="4" t="s">
        <v>301</v>
      </c>
      <c r="C150" s="5" t="s">
        <v>302</v>
      </c>
      <c r="D150" s="6" t="s">
        <v>19</v>
      </c>
      <c r="E150" s="6" t="s">
        <v>33</v>
      </c>
      <c r="F150" s="53">
        <v>912</v>
      </c>
      <c r="G150" s="42">
        <v>1.3848113798387821E-3</v>
      </c>
      <c r="H150" s="41">
        <v>277.2</v>
      </c>
      <c r="I150" s="41">
        <v>475.2</v>
      </c>
      <c r="J150" s="41"/>
    </row>
    <row r="151" spans="2:10" s="7" customFormat="1" x14ac:dyDescent="0.2">
      <c r="B151" s="4" t="s">
        <v>303</v>
      </c>
      <c r="C151" s="5" t="s">
        <v>304</v>
      </c>
      <c r="D151" s="6" t="s">
        <v>19</v>
      </c>
      <c r="E151" s="6" t="s">
        <v>33</v>
      </c>
      <c r="F151" s="53">
        <v>988</v>
      </c>
      <c r="G151" s="42">
        <v>1.3848113798387821E-3</v>
      </c>
      <c r="H151" s="41">
        <v>300.29999999999995</v>
      </c>
      <c r="I151" s="41">
        <v>514.79999999999995</v>
      </c>
      <c r="J151" s="41"/>
    </row>
    <row r="152" spans="2:10" s="7" customFormat="1" x14ac:dyDescent="0.2">
      <c r="B152" s="4" t="s">
        <v>305</v>
      </c>
      <c r="C152" s="5" t="s">
        <v>306</v>
      </c>
      <c r="D152" s="6" t="s">
        <v>19</v>
      </c>
      <c r="E152" s="6" t="s">
        <v>33</v>
      </c>
      <c r="F152" s="53">
        <v>1064</v>
      </c>
      <c r="G152" s="42">
        <v>1.3848113798387821E-3</v>
      </c>
      <c r="H152" s="41">
        <v>323.39999999999998</v>
      </c>
      <c r="I152" s="41">
        <v>554.4</v>
      </c>
      <c r="J152" s="41"/>
    </row>
    <row r="153" spans="2:10" s="7" customFormat="1" x14ac:dyDescent="0.2">
      <c r="B153" s="4" t="s">
        <v>307</v>
      </c>
      <c r="C153" s="5" t="s">
        <v>308</v>
      </c>
      <c r="D153" s="6" t="s">
        <v>19</v>
      </c>
      <c r="E153" s="6" t="s">
        <v>33</v>
      </c>
      <c r="F153" s="53">
        <v>1165</v>
      </c>
      <c r="G153" s="42">
        <v>1.3848113798387821E-3</v>
      </c>
      <c r="H153" s="41">
        <v>327.404</v>
      </c>
      <c r="I153" s="41">
        <v>561.26400000000001</v>
      </c>
      <c r="J153" s="41"/>
    </row>
    <row r="154" spans="2:10" s="7" customFormat="1" x14ac:dyDescent="0.2">
      <c r="B154" s="4" t="s">
        <v>309</v>
      </c>
      <c r="C154" s="9" t="s">
        <v>310</v>
      </c>
      <c r="D154" s="6" t="s">
        <v>19</v>
      </c>
      <c r="E154" s="6" t="s">
        <v>33</v>
      </c>
      <c r="F154" s="53">
        <v>456.1</v>
      </c>
      <c r="G154" s="42">
        <v>1.3848113798387821E-3</v>
      </c>
      <c r="H154" s="41">
        <v>138.6</v>
      </c>
      <c r="I154" s="41">
        <v>237.6</v>
      </c>
      <c r="J154" s="41"/>
    </row>
    <row r="155" spans="2:10" s="7" customFormat="1" x14ac:dyDescent="0.2">
      <c r="B155" s="4" t="s">
        <v>311</v>
      </c>
      <c r="C155" s="5" t="s">
        <v>304</v>
      </c>
      <c r="D155" s="6" t="s">
        <v>19</v>
      </c>
      <c r="E155" s="6" t="s">
        <v>33</v>
      </c>
      <c r="F155" s="53">
        <v>532.22</v>
      </c>
      <c r="G155" s="42">
        <v>1.3848113798387821E-3</v>
      </c>
      <c r="H155" s="41">
        <v>161.69999999999999</v>
      </c>
      <c r="I155" s="41">
        <v>277.2</v>
      </c>
      <c r="J155" s="41"/>
    </row>
    <row r="156" spans="2:10" s="7" customFormat="1" x14ac:dyDescent="0.2">
      <c r="B156" s="4" t="s">
        <v>312</v>
      </c>
      <c r="C156" s="5" t="s">
        <v>306</v>
      </c>
      <c r="D156" s="6" t="s">
        <v>19</v>
      </c>
      <c r="E156" s="6" t="s">
        <v>33</v>
      </c>
      <c r="F156" s="53">
        <v>608.20000000000005</v>
      </c>
      <c r="G156" s="42">
        <v>1.3848113798387821E-3</v>
      </c>
      <c r="H156" s="41">
        <v>184.79999999999998</v>
      </c>
      <c r="I156" s="41">
        <v>316.8</v>
      </c>
      <c r="J156" s="41"/>
    </row>
    <row r="157" spans="2:10" s="7" customFormat="1" x14ac:dyDescent="0.2">
      <c r="B157" s="4" t="s">
        <v>313</v>
      </c>
      <c r="C157" s="5" t="s">
        <v>308</v>
      </c>
      <c r="D157" s="6" t="s">
        <v>19</v>
      </c>
      <c r="E157" s="6" t="s">
        <v>33</v>
      </c>
      <c r="F157" s="53">
        <v>709.6</v>
      </c>
      <c r="G157" s="42">
        <v>1.3848113798387821E-3</v>
      </c>
      <c r="H157" s="41">
        <v>215.6</v>
      </c>
      <c r="I157" s="41">
        <v>369.59999999999997</v>
      </c>
      <c r="J157" s="41"/>
    </row>
    <row r="158" spans="2:10" s="7" customFormat="1" x14ac:dyDescent="0.2">
      <c r="B158" s="4" t="s">
        <v>314</v>
      </c>
      <c r="C158" s="5" t="s">
        <v>315</v>
      </c>
      <c r="D158" s="6"/>
      <c r="E158" s="6"/>
      <c r="F158" s="50"/>
      <c r="G158" s="42">
        <v>1.3848113798387821E-3</v>
      </c>
      <c r="H158" s="41" t="s">
        <v>49</v>
      </c>
      <c r="I158" s="41" t="s">
        <v>49</v>
      </c>
      <c r="J158" s="41"/>
    </row>
    <row r="159" spans="2:10" s="7" customFormat="1" ht="25.5" x14ac:dyDescent="0.2">
      <c r="B159" s="4" t="s">
        <v>316</v>
      </c>
      <c r="C159" s="5" t="s">
        <v>317</v>
      </c>
      <c r="D159" s="6" t="s">
        <v>19</v>
      </c>
      <c r="E159" s="6" t="s">
        <v>33</v>
      </c>
      <c r="F159" s="53">
        <v>608.58000000000004</v>
      </c>
      <c r="G159" s="42">
        <v>1.3848113798387821E-3</v>
      </c>
      <c r="H159" s="41">
        <v>184.89799999999997</v>
      </c>
      <c r="I159" s="41">
        <v>316.96799999999996</v>
      </c>
      <c r="J159" s="41"/>
    </row>
    <row r="160" spans="2:10" s="7" customFormat="1" x14ac:dyDescent="0.2">
      <c r="B160" s="4" t="s">
        <v>318</v>
      </c>
      <c r="C160" s="5" t="s">
        <v>319</v>
      </c>
      <c r="D160" s="6" t="s">
        <v>19</v>
      </c>
      <c r="E160" s="6" t="s">
        <v>33</v>
      </c>
      <c r="F160" s="53">
        <v>691.5</v>
      </c>
      <c r="G160" s="42">
        <v>1.3848113798387821E-3</v>
      </c>
      <c r="H160" s="41">
        <v>83.341999999999999</v>
      </c>
      <c r="I160" s="41">
        <v>142.87199999999999</v>
      </c>
      <c r="J160" s="41"/>
    </row>
    <row r="161" spans="2:10" s="7" customFormat="1" ht="25.5" x14ac:dyDescent="0.2">
      <c r="B161" s="4" t="s">
        <v>320</v>
      </c>
      <c r="C161" s="5" t="s">
        <v>321</v>
      </c>
      <c r="D161" s="6" t="s">
        <v>19</v>
      </c>
      <c r="E161" s="6" t="s">
        <v>33</v>
      </c>
      <c r="F161" s="53">
        <v>414.9</v>
      </c>
      <c r="G161" s="42">
        <v>1.3848113798387821E-3</v>
      </c>
      <c r="H161" s="41">
        <v>126.07</v>
      </c>
      <c r="I161" s="41">
        <v>216.11999999999998</v>
      </c>
      <c r="J161" s="41"/>
    </row>
    <row r="162" spans="2:10" s="7" customFormat="1" ht="25.5" x14ac:dyDescent="0.2">
      <c r="B162" s="4" t="s">
        <v>322</v>
      </c>
      <c r="C162" s="5" t="s">
        <v>323</v>
      </c>
      <c r="D162" s="6" t="s">
        <v>19</v>
      </c>
      <c r="E162" s="6" t="s">
        <v>33</v>
      </c>
      <c r="F162" s="53">
        <v>1240.5</v>
      </c>
      <c r="G162" s="42">
        <v>1.3848113798387821E-3</v>
      </c>
      <c r="H162" s="41">
        <v>244.47499999999999</v>
      </c>
      <c r="I162" s="41">
        <v>419.09999999999997</v>
      </c>
      <c r="J162" s="41"/>
    </row>
    <row r="163" spans="2:10" s="7" customFormat="1" ht="25.5" x14ac:dyDescent="0.2">
      <c r="B163" s="4" t="s">
        <v>324</v>
      </c>
      <c r="C163" s="9" t="s">
        <v>325</v>
      </c>
      <c r="D163" s="6" t="s">
        <v>19</v>
      </c>
      <c r="E163" s="6" t="s">
        <v>33</v>
      </c>
      <c r="F163" s="53">
        <v>760.3</v>
      </c>
      <c r="G163" s="42">
        <v>1.3848113798387821E-3</v>
      </c>
      <c r="H163" s="41">
        <v>230.99999999999997</v>
      </c>
      <c r="I163" s="41">
        <v>396</v>
      </c>
      <c r="J163" s="41"/>
    </row>
    <row r="164" spans="2:10" s="7" customFormat="1" x14ac:dyDescent="0.2">
      <c r="B164" s="4" t="s">
        <v>326</v>
      </c>
      <c r="C164" s="5" t="s">
        <v>327</v>
      </c>
      <c r="D164" s="6"/>
      <c r="E164" s="6"/>
      <c r="F164" s="50"/>
      <c r="G164" s="42">
        <v>1.3848113798387821E-3</v>
      </c>
      <c r="H164" s="41" t="s">
        <v>49</v>
      </c>
      <c r="I164" s="41" t="s">
        <v>49</v>
      </c>
      <c r="J164" s="41"/>
    </row>
    <row r="165" spans="2:10" s="7" customFormat="1" ht="25.5" x14ac:dyDescent="0.2">
      <c r="B165" s="4" t="s">
        <v>328</v>
      </c>
      <c r="C165" s="5" t="s">
        <v>329</v>
      </c>
      <c r="D165" s="6" t="s">
        <v>32</v>
      </c>
      <c r="E165" s="6" t="s">
        <v>33</v>
      </c>
      <c r="F165" s="53">
        <v>96.8</v>
      </c>
      <c r="G165" s="42">
        <v>1.3848113798387821E-3</v>
      </c>
      <c r="H165" s="41">
        <v>29.414000000000001</v>
      </c>
      <c r="I165" s="41">
        <v>50.423999999999999</v>
      </c>
      <c r="J165" s="41"/>
    </row>
    <row r="166" spans="2:10" s="7" customFormat="1" x14ac:dyDescent="0.2">
      <c r="B166" s="4" t="s">
        <v>330</v>
      </c>
      <c r="C166" s="5" t="s">
        <v>331</v>
      </c>
      <c r="D166" s="6" t="s">
        <v>42</v>
      </c>
      <c r="E166" s="6" t="s">
        <v>33</v>
      </c>
      <c r="F166" s="53">
        <v>193.5</v>
      </c>
      <c r="G166" s="42">
        <v>1.3848113798387821E-3</v>
      </c>
      <c r="H166" s="41">
        <v>58.834999999999994</v>
      </c>
      <c r="I166" s="41">
        <v>100.86</v>
      </c>
      <c r="J166" s="41"/>
    </row>
    <row r="167" spans="2:10" s="7" customFormat="1" ht="25.5" x14ac:dyDescent="0.2">
      <c r="B167" s="4" t="s">
        <v>332</v>
      </c>
      <c r="C167" s="5" t="s">
        <v>333</v>
      </c>
      <c r="D167" s="6" t="s">
        <v>42</v>
      </c>
      <c r="E167" s="6" t="s">
        <v>33</v>
      </c>
      <c r="F167" s="53">
        <v>276.60000000000002</v>
      </c>
      <c r="G167" s="42">
        <v>1.3848113798387821E-3</v>
      </c>
      <c r="H167" s="41">
        <v>84.042000000000002</v>
      </c>
      <c r="I167" s="41">
        <v>144.072</v>
      </c>
      <c r="J167" s="41"/>
    </row>
    <row r="168" spans="2:10" s="7" customFormat="1" ht="25.5" x14ac:dyDescent="0.2">
      <c r="B168" s="4" t="s">
        <v>334</v>
      </c>
      <c r="C168" s="5" t="s">
        <v>335</v>
      </c>
      <c r="D168" s="6" t="s">
        <v>42</v>
      </c>
      <c r="E168" s="6" t="s">
        <v>33</v>
      </c>
      <c r="F168" s="53">
        <v>304.2</v>
      </c>
      <c r="G168" s="42">
        <v>1.3848113798387821E-3</v>
      </c>
      <c r="H168" s="41">
        <v>92.448999999999984</v>
      </c>
      <c r="I168" s="41">
        <v>158.48399999999998</v>
      </c>
      <c r="J168" s="41"/>
    </row>
    <row r="169" spans="2:10" s="7" customFormat="1" ht="25.5" x14ac:dyDescent="0.2">
      <c r="B169" s="4" t="s">
        <v>336</v>
      </c>
      <c r="C169" s="5" t="s">
        <v>337</v>
      </c>
      <c r="D169" s="6" t="s">
        <v>32</v>
      </c>
      <c r="E169" s="6" t="s">
        <v>33</v>
      </c>
      <c r="F169" s="53">
        <v>221</v>
      </c>
      <c r="G169" s="42">
        <v>1.3848113798387821E-3</v>
      </c>
      <c r="H169" s="41">
        <v>67.234999999999999</v>
      </c>
      <c r="I169" s="41">
        <v>115.25999999999999</v>
      </c>
      <c r="J169" s="41"/>
    </row>
    <row r="170" spans="2:10" s="7" customFormat="1" x14ac:dyDescent="0.2">
      <c r="B170" s="4" t="s">
        <v>338</v>
      </c>
      <c r="C170" s="5" t="s">
        <v>339</v>
      </c>
      <c r="D170" s="6" t="s">
        <v>66</v>
      </c>
      <c r="E170" s="6" t="s">
        <v>33</v>
      </c>
      <c r="F170" s="53">
        <v>82.8</v>
      </c>
      <c r="G170" s="42">
        <v>1.3848113798387821E-3</v>
      </c>
      <c r="H170" s="41">
        <v>25.214000000000002</v>
      </c>
      <c r="I170" s="41">
        <v>43.224000000000004</v>
      </c>
      <c r="J170" s="41"/>
    </row>
    <row r="171" spans="2:10" s="7" customFormat="1" ht="25.5" x14ac:dyDescent="0.2">
      <c r="B171" s="4" t="s">
        <v>340</v>
      </c>
      <c r="C171" s="10" t="s">
        <v>341</v>
      </c>
      <c r="D171" s="6"/>
      <c r="E171" s="6"/>
      <c r="F171" s="50"/>
      <c r="G171" s="42">
        <v>1.3848113798387821E-3</v>
      </c>
      <c r="H171" s="41" t="s">
        <v>49</v>
      </c>
      <c r="I171" s="41" t="s">
        <v>49</v>
      </c>
      <c r="J171" s="41"/>
    </row>
    <row r="172" spans="2:10" s="7" customFormat="1" x14ac:dyDescent="0.2">
      <c r="B172" s="4" t="s">
        <v>342</v>
      </c>
      <c r="C172" s="5" t="s">
        <v>343</v>
      </c>
      <c r="D172" s="6" t="s">
        <v>32</v>
      </c>
      <c r="E172" s="6" t="s">
        <v>33</v>
      </c>
      <c r="F172" s="53">
        <v>88.1</v>
      </c>
      <c r="G172" s="42">
        <v>1.3848113798387821E-3</v>
      </c>
      <c r="H172" s="41">
        <v>26.781999999999996</v>
      </c>
      <c r="I172" s="41">
        <v>45.911999999999999</v>
      </c>
      <c r="J172" s="41"/>
    </row>
    <row r="173" spans="2:10" s="7" customFormat="1" x14ac:dyDescent="0.2">
      <c r="B173" s="4" t="s">
        <v>344</v>
      </c>
      <c r="C173" s="5" t="s">
        <v>345</v>
      </c>
      <c r="D173" s="6" t="s">
        <v>32</v>
      </c>
      <c r="E173" s="6" t="s">
        <v>33</v>
      </c>
      <c r="F173" s="53">
        <v>124.4</v>
      </c>
      <c r="G173" s="42">
        <v>1.3848113798387821E-3</v>
      </c>
      <c r="H173" s="41">
        <v>37.820999999999998</v>
      </c>
      <c r="I173" s="41">
        <v>64.835999999999999</v>
      </c>
      <c r="J173" s="41"/>
    </row>
    <row r="174" spans="2:10" s="7" customFormat="1" x14ac:dyDescent="0.2">
      <c r="B174" s="4" t="s">
        <v>346</v>
      </c>
      <c r="C174" s="5" t="s">
        <v>347</v>
      </c>
      <c r="D174" s="6" t="s">
        <v>66</v>
      </c>
      <c r="E174" s="6" t="s">
        <v>33</v>
      </c>
      <c r="F174" s="53">
        <v>55.3</v>
      </c>
      <c r="G174" s="42">
        <v>1.3848113798387821E-3</v>
      </c>
      <c r="H174" s="41">
        <v>16.806999999999999</v>
      </c>
      <c r="I174" s="41">
        <v>28.812000000000001</v>
      </c>
      <c r="J174" s="41"/>
    </row>
    <row r="175" spans="2:10" s="7" customFormat="1" ht="25.5" x14ac:dyDescent="0.2">
      <c r="B175" s="4" t="s">
        <v>348</v>
      </c>
      <c r="C175" s="5" t="s">
        <v>349</v>
      </c>
      <c r="D175" s="6" t="s">
        <v>42</v>
      </c>
      <c r="E175" s="6" t="s">
        <v>33</v>
      </c>
      <c r="F175" s="53">
        <v>165.9</v>
      </c>
      <c r="G175" s="42">
        <v>1.3848113798387821E-3</v>
      </c>
      <c r="H175" s="41">
        <v>50.420999999999999</v>
      </c>
      <c r="I175" s="41">
        <v>86.435999999999993</v>
      </c>
      <c r="J175" s="41"/>
    </row>
    <row r="176" spans="2:10" s="7" customFormat="1" x14ac:dyDescent="0.2">
      <c r="B176" s="4" t="s">
        <v>350</v>
      </c>
      <c r="C176" s="5" t="s">
        <v>351</v>
      </c>
      <c r="D176" s="6" t="s">
        <v>42</v>
      </c>
      <c r="E176" s="6" t="s">
        <v>33</v>
      </c>
      <c r="F176" s="53">
        <v>142.9</v>
      </c>
      <c r="G176" s="42">
        <v>1.3848113798387821E-3</v>
      </c>
      <c r="H176" s="41">
        <v>43.427999999999997</v>
      </c>
      <c r="I176" s="41">
        <v>74.447999999999993</v>
      </c>
      <c r="J176" s="41"/>
    </row>
    <row r="177" spans="2:10" s="7" customFormat="1" ht="25.5" x14ac:dyDescent="0.2">
      <c r="B177" s="4" t="s">
        <v>352</v>
      </c>
      <c r="C177" s="11" t="s">
        <v>353</v>
      </c>
      <c r="D177" s="6"/>
      <c r="E177" s="6"/>
      <c r="F177" s="50"/>
      <c r="G177" s="42">
        <v>1.3848113798387821E-3</v>
      </c>
      <c r="H177" s="41" t="s">
        <v>49</v>
      </c>
      <c r="I177" s="41" t="s">
        <v>49</v>
      </c>
      <c r="J177" s="41"/>
    </row>
    <row r="178" spans="2:10" s="7" customFormat="1" x14ac:dyDescent="0.2">
      <c r="B178" s="4" t="s">
        <v>354</v>
      </c>
      <c r="C178" s="5" t="s">
        <v>355</v>
      </c>
      <c r="D178" s="6" t="s">
        <v>32</v>
      </c>
      <c r="E178" s="6" t="s">
        <v>33</v>
      </c>
      <c r="F178" s="53">
        <v>46.08</v>
      </c>
      <c r="G178" s="42">
        <v>1.3848113798387821E-3</v>
      </c>
      <c r="H178" s="41">
        <v>9.1980000000000004</v>
      </c>
      <c r="I178" s="41">
        <v>15.768000000000001</v>
      </c>
      <c r="J178" s="41"/>
    </row>
    <row r="179" spans="2:10" s="7" customFormat="1" x14ac:dyDescent="0.2">
      <c r="B179" s="4" t="s">
        <v>356</v>
      </c>
      <c r="C179" s="5" t="s">
        <v>357</v>
      </c>
      <c r="D179" s="6" t="s">
        <v>32</v>
      </c>
      <c r="E179" s="6" t="s">
        <v>33</v>
      </c>
      <c r="F179" s="53">
        <v>55.3</v>
      </c>
      <c r="G179" s="42">
        <v>1.3848113798387821E-3</v>
      </c>
      <c r="H179" s="41">
        <v>16.806999999999999</v>
      </c>
      <c r="I179" s="41">
        <v>28.812000000000001</v>
      </c>
      <c r="J179" s="41"/>
    </row>
    <row r="180" spans="2:10" s="7" customFormat="1" x14ac:dyDescent="0.2">
      <c r="B180" s="4" t="s">
        <v>358</v>
      </c>
      <c r="C180" s="5" t="s">
        <v>359</v>
      </c>
      <c r="D180" s="6" t="s">
        <v>32</v>
      </c>
      <c r="E180" s="6" t="s">
        <v>33</v>
      </c>
      <c r="F180" s="53">
        <v>49.75</v>
      </c>
      <c r="G180" s="42">
        <v>1.3848113798387821E-3</v>
      </c>
      <c r="H180" s="41">
        <v>15.126999999999999</v>
      </c>
      <c r="I180" s="41">
        <v>25.931999999999999</v>
      </c>
      <c r="J180" s="41"/>
    </row>
    <row r="181" spans="2:10" s="7" customFormat="1" x14ac:dyDescent="0.2">
      <c r="B181" s="4" t="s">
        <v>360</v>
      </c>
      <c r="C181" s="5" t="s">
        <v>361</v>
      </c>
      <c r="D181" s="6" t="s">
        <v>32</v>
      </c>
      <c r="E181" s="6" t="s">
        <v>33</v>
      </c>
      <c r="F181" s="53">
        <v>60.8</v>
      </c>
      <c r="G181" s="42">
        <v>1.3848113798387821E-3</v>
      </c>
      <c r="H181" s="41">
        <v>18.486999999999998</v>
      </c>
      <c r="I181" s="41">
        <v>31.692</v>
      </c>
      <c r="J181" s="41"/>
    </row>
    <row r="182" spans="2:10" s="7" customFormat="1" ht="25.5" x14ac:dyDescent="0.2">
      <c r="B182" s="4" t="s">
        <v>362</v>
      </c>
      <c r="C182" s="5" t="s">
        <v>363</v>
      </c>
      <c r="D182" s="6" t="s">
        <v>42</v>
      </c>
      <c r="E182" s="6" t="s">
        <v>33</v>
      </c>
      <c r="F182" s="53">
        <v>69</v>
      </c>
      <c r="G182" s="42">
        <v>1.3848113798387821E-3</v>
      </c>
      <c r="H182" s="41">
        <v>21.007000000000001</v>
      </c>
      <c r="I182" s="41">
        <v>36.012</v>
      </c>
      <c r="J182" s="41"/>
    </row>
    <row r="183" spans="2:10" s="7" customFormat="1" ht="25.5" x14ac:dyDescent="0.2">
      <c r="B183" s="4" t="s">
        <v>364</v>
      </c>
      <c r="C183" s="9" t="s">
        <v>365</v>
      </c>
      <c r="D183" s="6" t="s">
        <v>32</v>
      </c>
      <c r="E183" s="6" t="s">
        <v>33</v>
      </c>
      <c r="F183" s="53">
        <v>69</v>
      </c>
      <c r="G183" s="42">
        <v>1.3848113798387821E-3</v>
      </c>
      <c r="H183" s="41">
        <v>21.007000000000001</v>
      </c>
      <c r="I183" s="41">
        <v>36.012</v>
      </c>
      <c r="J183" s="41"/>
    </row>
    <row r="184" spans="2:10" s="7" customFormat="1" x14ac:dyDescent="0.2">
      <c r="B184" s="4" t="s">
        <v>366</v>
      </c>
      <c r="C184" s="5" t="s">
        <v>367</v>
      </c>
      <c r="D184" s="6" t="s">
        <v>32</v>
      </c>
      <c r="E184" s="6" t="s">
        <v>33</v>
      </c>
      <c r="F184" s="53">
        <v>55</v>
      </c>
      <c r="G184" s="42">
        <v>1.3848113798387821E-3</v>
      </c>
      <c r="H184" s="41">
        <v>16.806999999999999</v>
      </c>
      <c r="I184" s="41">
        <v>28.812000000000001</v>
      </c>
      <c r="J184" s="41"/>
    </row>
    <row r="185" spans="2:10" s="7" customFormat="1" ht="25.5" x14ac:dyDescent="0.2">
      <c r="B185" s="4" t="s">
        <v>368</v>
      </c>
      <c r="C185" s="5" t="s">
        <v>369</v>
      </c>
      <c r="D185" s="6" t="s">
        <v>66</v>
      </c>
      <c r="E185" s="6" t="s">
        <v>33</v>
      </c>
      <c r="F185" s="53">
        <v>1244</v>
      </c>
      <c r="G185" s="42">
        <v>1.3848113798387821E-3</v>
      </c>
      <c r="H185" s="41">
        <v>378.20299999999997</v>
      </c>
      <c r="I185" s="41">
        <v>648.34799999999996</v>
      </c>
      <c r="J185" s="41"/>
    </row>
    <row r="186" spans="2:10" s="7" customFormat="1" x14ac:dyDescent="0.2">
      <c r="B186" s="4" t="s">
        <v>370</v>
      </c>
      <c r="C186" s="5" t="s">
        <v>371</v>
      </c>
      <c r="D186" s="6" t="s">
        <v>66</v>
      </c>
      <c r="E186" s="6" t="s">
        <v>33</v>
      </c>
      <c r="F186" s="53">
        <v>1500</v>
      </c>
      <c r="G186" s="42">
        <v>1.3848113798387821E-3</v>
      </c>
      <c r="H186" s="41">
        <v>413.14699999999999</v>
      </c>
      <c r="I186" s="41">
        <v>708.25200000000007</v>
      </c>
      <c r="J186" s="41"/>
    </row>
    <row r="187" spans="2:10" s="7" customFormat="1" ht="25.5" x14ac:dyDescent="0.2">
      <c r="B187" s="4" t="s">
        <v>372</v>
      </c>
      <c r="C187" s="5" t="s">
        <v>373</v>
      </c>
      <c r="D187" s="6" t="s">
        <v>66</v>
      </c>
      <c r="E187" s="6" t="s">
        <v>33</v>
      </c>
      <c r="F187" s="53">
        <v>1795</v>
      </c>
      <c r="G187" s="42">
        <v>1.3848113798387821E-3</v>
      </c>
      <c r="H187" s="41">
        <v>546.29399999999998</v>
      </c>
      <c r="I187" s="41">
        <v>936.50399999999991</v>
      </c>
      <c r="J187" s="41"/>
    </row>
    <row r="188" spans="2:10" s="7" customFormat="1" x14ac:dyDescent="0.2">
      <c r="B188" s="4" t="s">
        <v>374</v>
      </c>
      <c r="C188" s="5" t="s">
        <v>375</v>
      </c>
      <c r="D188" s="6" t="s">
        <v>66</v>
      </c>
      <c r="E188" s="6" t="s">
        <v>33</v>
      </c>
      <c r="F188" s="53">
        <v>1795</v>
      </c>
      <c r="G188" s="42">
        <v>1.3848113798387821E-3</v>
      </c>
      <c r="H188" s="41">
        <v>546.29399999999998</v>
      </c>
      <c r="I188" s="41">
        <v>936.50399999999991</v>
      </c>
      <c r="J188" s="41"/>
    </row>
    <row r="189" spans="2:10" s="7" customFormat="1" ht="25.5" x14ac:dyDescent="0.2">
      <c r="B189" s="4" t="s">
        <v>376</v>
      </c>
      <c r="C189" s="5" t="s">
        <v>377</v>
      </c>
      <c r="D189" s="6"/>
      <c r="E189" s="6"/>
      <c r="F189" s="50"/>
      <c r="G189" s="42">
        <v>1.3848113798387821E-3</v>
      </c>
      <c r="H189" s="41" t="s">
        <v>49</v>
      </c>
      <c r="I189" s="41" t="s">
        <v>49</v>
      </c>
      <c r="J189" s="41"/>
    </row>
    <row r="190" spans="2:10" s="7" customFormat="1" x14ac:dyDescent="0.2">
      <c r="B190" s="4" t="s">
        <v>378</v>
      </c>
      <c r="C190" s="5" t="s">
        <v>379</v>
      </c>
      <c r="D190" s="6" t="s">
        <v>32</v>
      </c>
      <c r="E190" s="6" t="s">
        <v>33</v>
      </c>
      <c r="F190" s="53">
        <v>42.6</v>
      </c>
      <c r="G190" s="42">
        <v>1.3848113798387821E-3</v>
      </c>
      <c r="H190" s="41">
        <v>12.963999999999999</v>
      </c>
      <c r="I190" s="41">
        <v>22.224</v>
      </c>
      <c r="J190" s="41"/>
    </row>
    <row r="191" spans="2:10" s="7" customFormat="1" x14ac:dyDescent="0.2">
      <c r="B191" s="4" t="s">
        <v>380</v>
      </c>
      <c r="C191" s="5" t="s">
        <v>381</v>
      </c>
      <c r="D191" s="6" t="s">
        <v>32</v>
      </c>
      <c r="E191" s="6" t="s">
        <v>33</v>
      </c>
      <c r="F191" s="53">
        <v>49.5</v>
      </c>
      <c r="G191" s="42">
        <v>1.3848113798387821E-3</v>
      </c>
      <c r="H191" s="41">
        <v>15.126999999999999</v>
      </c>
      <c r="I191" s="41">
        <v>25.931999999999999</v>
      </c>
      <c r="J191" s="41"/>
    </row>
    <row r="192" spans="2:10" s="7" customFormat="1" x14ac:dyDescent="0.2">
      <c r="B192" s="4" t="s">
        <v>382</v>
      </c>
      <c r="C192" s="5" t="s">
        <v>383</v>
      </c>
      <c r="D192" s="6" t="s">
        <v>32</v>
      </c>
      <c r="E192" s="6" t="s">
        <v>33</v>
      </c>
      <c r="F192" s="53">
        <v>69</v>
      </c>
      <c r="G192" s="42">
        <v>1.3848113798387821E-3</v>
      </c>
      <c r="H192" s="41">
        <v>21.007000000000001</v>
      </c>
      <c r="I192" s="41">
        <v>36.012</v>
      </c>
      <c r="J192" s="41"/>
    </row>
    <row r="193" spans="2:10" s="7" customFormat="1" ht="25.5" x14ac:dyDescent="0.2">
      <c r="B193" s="4" t="s">
        <v>384</v>
      </c>
      <c r="C193" s="10" t="s">
        <v>385</v>
      </c>
      <c r="D193" s="6"/>
      <c r="E193" s="6"/>
      <c r="F193" s="50"/>
      <c r="G193" s="42">
        <v>1.3848113798387821E-3</v>
      </c>
      <c r="H193" s="41" t="s">
        <v>49</v>
      </c>
      <c r="I193" s="41" t="s">
        <v>49</v>
      </c>
      <c r="J193" s="41"/>
    </row>
    <row r="194" spans="2:10" s="7" customFormat="1" x14ac:dyDescent="0.2">
      <c r="B194" s="4" t="s">
        <v>386</v>
      </c>
      <c r="C194" s="5" t="s">
        <v>387</v>
      </c>
      <c r="D194" s="6" t="s">
        <v>32</v>
      </c>
      <c r="E194" s="6" t="s">
        <v>33</v>
      </c>
      <c r="F194" s="53">
        <v>124.4</v>
      </c>
      <c r="G194" s="42">
        <v>1.3848113798387821E-3</v>
      </c>
      <c r="H194" s="41">
        <v>35.076999999999998</v>
      </c>
      <c r="I194" s="41">
        <v>60.131999999999998</v>
      </c>
      <c r="J194" s="41"/>
    </row>
    <row r="195" spans="2:10" s="7" customFormat="1" x14ac:dyDescent="0.2">
      <c r="B195" s="4" t="s">
        <v>388</v>
      </c>
      <c r="C195" s="5" t="s">
        <v>389</v>
      </c>
      <c r="D195" s="6" t="s">
        <v>32</v>
      </c>
      <c r="E195" s="6" t="s">
        <v>33</v>
      </c>
      <c r="F195" s="53">
        <v>138</v>
      </c>
      <c r="G195" s="42">
        <v>1.3848113798387821E-3</v>
      </c>
      <c r="H195" s="41">
        <v>42.021000000000001</v>
      </c>
      <c r="I195" s="41">
        <v>72.036000000000001</v>
      </c>
      <c r="J195" s="41"/>
    </row>
    <row r="196" spans="2:10" s="7" customFormat="1" x14ac:dyDescent="0.2">
      <c r="B196" s="4" t="s">
        <v>390</v>
      </c>
      <c r="C196" s="5" t="s">
        <v>391</v>
      </c>
      <c r="D196" s="6" t="s">
        <v>32</v>
      </c>
      <c r="E196" s="6" t="s">
        <v>33</v>
      </c>
      <c r="F196" s="53">
        <v>132.5</v>
      </c>
      <c r="G196" s="42">
        <v>1.3848113798387821E-3</v>
      </c>
      <c r="H196" s="41">
        <v>33.333999999999996</v>
      </c>
      <c r="I196" s="41">
        <v>57.143999999999998</v>
      </c>
      <c r="J196" s="41"/>
    </row>
    <row r="197" spans="2:10" s="7" customFormat="1" ht="25.5" x14ac:dyDescent="0.2">
      <c r="B197" s="4" t="s">
        <v>392</v>
      </c>
      <c r="C197" s="5" t="s">
        <v>393</v>
      </c>
      <c r="D197" s="6" t="s">
        <v>42</v>
      </c>
      <c r="E197" s="6" t="s">
        <v>33</v>
      </c>
      <c r="F197" s="53">
        <v>82.5</v>
      </c>
      <c r="G197" s="42">
        <v>1.3848113798387821E-3</v>
      </c>
      <c r="H197" s="41">
        <v>25.214000000000002</v>
      </c>
      <c r="I197" s="41">
        <v>43.224000000000004</v>
      </c>
      <c r="J197" s="41"/>
    </row>
    <row r="198" spans="2:10" s="7" customFormat="1" ht="38.25" x14ac:dyDescent="0.2">
      <c r="B198" s="4" t="s">
        <v>394</v>
      </c>
      <c r="C198" s="5" t="s">
        <v>395</v>
      </c>
      <c r="D198" s="6" t="s">
        <v>66</v>
      </c>
      <c r="E198" s="6" t="s">
        <v>33</v>
      </c>
      <c r="F198" s="53">
        <v>309.5</v>
      </c>
      <c r="G198" s="42">
        <v>1.3848113798387821E-3</v>
      </c>
      <c r="H198" s="41">
        <v>94.052000000000007</v>
      </c>
      <c r="I198" s="41">
        <v>161.232</v>
      </c>
      <c r="J198" s="41"/>
    </row>
    <row r="199" spans="2:10" s="7" customFormat="1" x14ac:dyDescent="0.2">
      <c r="B199" s="4" t="s">
        <v>396</v>
      </c>
      <c r="C199" s="5" t="s">
        <v>397</v>
      </c>
      <c r="D199" s="6"/>
      <c r="E199" s="6"/>
      <c r="F199" s="50"/>
      <c r="G199" s="42">
        <v>1.3848113798387821E-3</v>
      </c>
      <c r="H199" s="41" t="s">
        <v>49</v>
      </c>
      <c r="I199" s="41" t="s">
        <v>49</v>
      </c>
      <c r="J199" s="41"/>
    </row>
    <row r="200" spans="2:10" s="7" customFormat="1" x14ac:dyDescent="0.2">
      <c r="B200" s="4" t="s">
        <v>398</v>
      </c>
      <c r="C200" s="5" t="s">
        <v>399</v>
      </c>
      <c r="D200" s="6" t="s">
        <v>32</v>
      </c>
      <c r="E200" s="6" t="s">
        <v>33</v>
      </c>
      <c r="F200" s="53">
        <v>32.9</v>
      </c>
      <c r="G200" s="42">
        <v>1.3848113798387821E-3</v>
      </c>
      <c r="H200" s="41">
        <v>7.7769999999999992</v>
      </c>
      <c r="I200" s="41">
        <v>13.331999999999999</v>
      </c>
      <c r="J200" s="41"/>
    </row>
    <row r="201" spans="2:10" s="7" customFormat="1" x14ac:dyDescent="0.2">
      <c r="B201" s="4" t="s">
        <v>400</v>
      </c>
      <c r="C201" s="5" t="s">
        <v>401</v>
      </c>
      <c r="D201" s="6" t="s">
        <v>32</v>
      </c>
      <c r="E201" s="6" t="s">
        <v>33</v>
      </c>
      <c r="F201" s="53">
        <v>33.85</v>
      </c>
      <c r="G201" s="42">
        <v>1.3848113798387821E-3</v>
      </c>
      <c r="H201" s="41">
        <v>10.297000000000001</v>
      </c>
      <c r="I201" s="41">
        <v>17.652000000000001</v>
      </c>
      <c r="J201" s="41"/>
    </row>
    <row r="202" spans="2:10" s="7" customFormat="1" x14ac:dyDescent="0.2">
      <c r="B202" s="4" t="s">
        <v>402</v>
      </c>
      <c r="C202" s="5" t="s">
        <v>403</v>
      </c>
      <c r="D202" s="6" t="s">
        <v>32</v>
      </c>
      <c r="E202" s="6" t="s">
        <v>33</v>
      </c>
      <c r="F202" s="53">
        <v>38.5</v>
      </c>
      <c r="G202" s="42">
        <v>1.3848113798387821E-3</v>
      </c>
      <c r="H202" s="41">
        <v>11.76</v>
      </c>
      <c r="I202" s="41">
        <v>20.16</v>
      </c>
      <c r="J202" s="41"/>
    </row>
    <row r="203" spans="2:10" s="7" customFormat="1" x14ac:dyDescent="0.2">
      <c r="B203" s="4" t="s">
        <v>404</v>
      </c>
      <c r="C203" s="5" t="s">
        <v>405</v>
      </c>
      <c r="D203" s="6" t="s">
        <v>32</v>
      </c>
      <c r="E203" s="6" t="s">
        <v>33</v>
      </c>
      <c r="F203" s="53">
        <v>44.2</v>
      </c>
      <c r="G203" s="42">
        <v>1.3848113798387821E-3</v>
      </c>
      <c r="H203" s="41">
        <v>13.44</v>
      </c>
      <c r="I203" s="41">
        <v>23.04</v>
      </c>
      <c r="J203" s="41"/>
    </row>
    <row r="204" spans="2:10" s="7" customFormat="1" x14ac:dyDescent="0.2">
      <c r="B204" s="4" t="s">
        <v>406</v>
      </c>
      <c r="C204" s="5" t="s">
        <v>407</v>
      </c>
      <c r="D204" s="6" t="s">
        <v>32</v>
      </c>
      <c r="E204" s="6" t="s">
        <v>33</v>
      </c>
      <c r="F204" s="53">
        <v>55.3</v>
      </c>
      <c r="G204" s="42">
        <v>1.3848113798387821E-3</v>
      </c>
      <c r="H204" s="41">
        <v>16.806999999999999</v>
      </c>
      <c r="I204" s="41">
        <v>28.812000000000001</v>
      </c>
      <c r="J204" s="41"/>
    </row>
    <row r="205" spans="2:10" s="7" customFormat="1" x14ac:dyDescent="0.2">
      <c r="B205" s="4" t="s">
        <v>408</v>
      </c>
      <c r="C205" s="5" t="s">
        <v>409</v>
      </c>
      <c r="D205" s="6" t="s">
        <v>32</v>
      </c>
      <c r="E205" s="6" t="s">
        <v>33</v>
      </c>
      <c r="F205" s="53">
        <v>62.2</v>
      </c>
      <c r="G205" s="42">
        <v>1.3848113798387821E-3</v>
      </c>
      <c r="H205" s="41">
        <v>18.907</v>
      </c>
      <c r="I205" s="41">
        <v>32.411999999999999</v>
      </c>
      <c r="J205" s="41"/>
    </row>
    <row r="206" spans="2:10" s="7" customFormat="1" ht="25.5" x14ac:dyDescent="0.2">
      <c r="B206" s="4" t="s">
        <v>410</v>
      </c>
      <c r="C206" s="5" t="s">
        <v>411</v>
      </c>
      <c r="D206" s="6"/>
      <c r="E206" s="6"/>
      <c r="F206" s="50"/>
      <c r="G206" s="42">
        <v>1.3848113798387821E-3</v>
      </c>
      <c r="H206" s="41" t="s">
        <v>49</v>
      </c>
      <c r="I206" s="41" t="s">
        <v>49</v>
      </c>
      <c r="J206" s="41"/>
    </row>
    <row r="207" spans="2:10" s="7" customFormat="1" x14ac:dyDescent="0.2">
      <c r="B207" s="4" t="s">
        <v>412</v>
      </c>
      <c r="C207" s="5" t="s">
        <v>403</v>
      </c>
      <c r="D207" s="6" t="s">
        <v>32</v>
      </c>
      <c r="E207" s="6" t="s">
        <v>33</v>
      </c>
      <c r="F207" s="53">
        <v>82.95</v>
      </c>
      <c r="G207" s="42">
        <v>1.3848113798387821E-3</v>
      </c>
      <c r="H207" s="41">
        <v>25.214000000000002</v>
      </c>
      <c r="I207" s="41">
        <v>43.224000000000004</v>
      </c>
      <c r="J207" s="41"/>
    </row>
    <row r="208" spans="2:10" s="7" customFormat="1" x14ac:dyDescent="0.2">
      <c r="B208" s="4" t="s">
        <v>413</v>
      </c>
      <c r="C208" s="5" t="s">
        <v>405</v>
      </c>
      <c r="D208" s="6" t="s">
        <v>32</v>
      </c>
      <c r="E208" s="6" t="s">
        <v>33</v>
      </c>
      <c r="F208" s="53">
        <v>110.5</v>
      </c>
      <c r="G208" s="42">
        <v>1.3848113798387821E-3</v>
      </c>
      <c r="H208" s="41">
        <v>33.613999999999997</v>
      </c>
      <c r="I208" s="41">
        <v>57.624000000000002</v>
      </c>
      <c r="J208" s="41"/>
    </row>
    <row r="209" spans="2:10" s="7" customFormat="1" x14ac:dyDescent="0.2">
      <c r="B209" s="4" t="s">
        <v>414</v>
      </c>
      <c r="C209" s="5" t="s">
        <v>407</v>
      </c>
      <c r="D209" s="6" t="s">
        <v>32</v>
      </c>
      <c r="E209" s="6" t="s">
        <v>33</v>
      </c>
      <c r="F209" s="53">
        <v>138</v>
      </c>
      <c r="G209" s="42">
        <v>1.3848113798387821E-3</v>
      </c>
      <c r="H209" s="41">
        <v>42.021000000000001</v>
      </c>
      <c r="I209" s="41">
        <v>72.036000000000001</v>
      </c>
      <c r="J209" s="41"/>
    </row>
    <row r="210" spans="2:10" s="7" customFormat="1" x14ac:dyDescent="0.2">
      <c r="B210" s="4" t="s">
        <v>415</v>
      </c>
      <c r="C210" s="5" t="s">
        <v>409</v>
      </c>
      <c r="D210" s="6" t="s">
        <v>32</v>
      </c>
      <c r="E210" s="6" t="s">
        <v>33</v>
      </c>
      <c r="F210" s="53">
        <v>193</v>
      </c>
      <c r="G210" s="42">
        <v>1.3848113798387821E-3</v>
      </c>
      <c r="H210" s="41">
        <v>58.834999999999994</v>
      </c>
      <c r="I210" s="41">
        <v>100.86</v>
      </c>
      <c r="J210" s="41"/>
    </row>
    <row r="211" spans="2:10" s="7" customFormat="1" x14ac:dyDescent="0.2">
      <c r="B211" s="4" t="s">
        <v>416</v>
      </c>
      <c r="C211" s="5" t="s">
        <v>417</v>
      </c>
      <c r="D211" s="6" t="s">
        <v>32</v>
      </c>
      <c r="E211" s="6" t="s">
        <v>33</v>
      </c>
      <c r="F211" s="53">
        <v>248.5</v>
      </c>
      <c r="G211" s="42">
        <v>1.3848113798387821E-3</v>
      </c>
      <c r="H211" s="41">
        <v>75.641999999999996</v>
      </c>
      <c r="I211" s="41">
        <v>129.672</v>
      </c>
      <c r="J211" s="41"/>
    </row>
    <row r="212" spans="2:10" s="7" customFormat="1" ht="25.5" x14ac:dyDescent="0.2">
      <c r="B212" s="4" t="s">
        <v>418</v>
      </c>
      <c r="C212" s="11" t="s">
        <v>419</v>
      </c>
      <c r="D212" s="6"/>
      <c r="E212" s="6"/>
      <c r="F212" s="50"/>
      <c r="G212" s="42">
        <v>1.3848113798387821E-3</v>
      </c>
      <c r="H212" s="41" t="s">
        <v>49</v>
      </c>
      <c r="I212" s="41" t="s">
        <v>49</v>
      </c>
      <c r="J212" s="41"/>
    </row>
    <row r="213" spans="2:10" s="7" customFormat="1" x14ac:dyDescent="0.2">
      <c r="B213" s="4" t="s">
        <v>420</v>
      </c>
      <c r="C213" s="5" t="s">
        <v>399</v>
      </c>
      <c r="D213" s="6" t="s">
        <v>32</v>
      </c>
      <c r="E213" s="6" t="s">
        <v>33</v>
      </c>
      <c r="F213" s="53">
        <v>27.5</v>
      </c>
      <c r="G213" s="42">
        <v>1.3848113798387821E-3</v>
      </c>
      <c r="H213" s="41">
        <v>5.9989999999999997</v>
      </c>
      <c r="I213" s="41">
        <v>10.284000000000001</v>
      </c>
      <c r="J213" s="41"/>
    </row>
    <row r="214" spans="2:10" s="7" customFormat="1" x14ac:dyDescent="0.2">
      <c r="B214" s="4" t="s">
        <v>421</v>
      </c>
      <c r="C214" s="5" t="s">
        <v>401</v>
      </c>
      <c r="D214" s="6" t="s">
        <v>32</v>
      </c>
      <c r="E214" s="6" t="s">
        <v>33</v>
      </c>
      <c r="F214" s="53">
        <v>33.1</v>
      </c>
      <c r="G214" s="42">
        <v>1.3848113798387821E-3</v>
      </c>
      <c r="H214" s="41">
        <v>7.552999999999999</v>
      </c>
      <c r="I214" s="41">
        <v>12.947999999999999</v>
      </c>
      <c r="J214" s="41"/>
    </row>
    <row r="215" spans="2:10" s="7" customFormat="1" x14ac:dyDescent="0.2">
      <c r="B215" s="4" t="s">
        <v>422</v>
      </c>
      <c r="C215" s="5" t="s">
        <v>403</v>
      </c>
      <c r="D215" s="6" t="s">
        <v>32</v>
      </c>
      <c r="E215" s="6" t="s">
        <v>33</v>
      </c>
      <c r="F215" s="53">
        <v>38.5</v>
      </c>
      <c r="G215" s="42">
        <v>1.3848113798387821E-3</v>
      </c>
      <c r="H215" s="41">
        <v>10.219999999999999</v>
      </c>
      <c r="I215" s="41">
        <v>17.52</v>
      </c>
      <c r="J215" s="41"/>
    </row>
    <row r="216" spans="2:10" s="7" customFormat="1" x14ac:dyDescent="0.2">
      <c r="B216" s="4" t="s">
        <v>423</v>
      </c>
      <c r="C216" s="5" t="s">
        <v>405</v>
      </c>
      <c r="D216" s="6" t="s">
        <v>32</v>
      </c>
      <c r="E216" s="6" t="s">
        <v>33</v>
      </c>
      <c r="F216" s="53">
        <v>44.2</v>
      </c>
      <c r="G216" s="42">
        <v>1.3848113798387821E-3</v>
      </c>
      <c r="H216" s="41">
        <v>13.44</v>
      </c>
      <c r="I216" s="41">
        <v>23.04</v>
      </c>
      <c r="J216" s="41"/>
    </row>
    <row r="217" spans="2:10" s="7" customFormat="1" ht="25.5" x14ac:dyDescent="0.2">
      <c r="B217" s="4" t="s">
        <v>424</v>
      </c>
      <c r="C217" s="5" t="s">
        <v>425</v>
      </c>
      <c r="D217" s="6" t="s">
        <v>66</v>
      </c>
      <c r="E217" s="6" t="s">
        <v>33</v>
      </c>
      <c r="F217" s="53">
        <v>138.19999999999999</v>
      </c>
      <c r="G217" s="42">
        <v>1.3848113798387821E-3</v>
      </c>
      <c r="H217" s="41">
        <v>21.111999999999998</v>
      </c>
      <c r="I217" s="41">
        <v>36.192</v>
      </c>
      <c r="J217" s="41"/>
    </row>
    <row r="218" spans="2:10" s="7" customFormat="1" ht="25.5" x14ac:dyDescent="0.2">
      <c r="B218" s="4" t="s">
        <v>426</v>
      </c>
      <c r="C218" s="11" t="s">
        <v>427</v>
      </c>
      <c r="D218" s="6"/>
      <c r="E218" s="6"/>
      <c r="F218" s="50"/>
      <c r="G218" s="42">
        <v>1.3848113798387821E-3</v>
      </c>
      <c r="H218" s="41" t="s">
        <v>49</v>
      </c>
      <c r="I218" s="41" t="s">
        <v>49</v>
      </c>
      <c r="J218" s="41"/>
    </row>
    <row r="219" spans="2:10" s="7" customFormat="1" x14ac:dyDescent="0.2">
      <c r="B219" s="4" t="s">
        <v>428</v>
      </c>
      <c r="C219" s="5" t="s">
        <v>429</v>
      </c>
      <c r="D219" s="6" t="s">
        <v>66</v>
      </c>
      <c r="E219" s="6" t="s">
        <v>33</v>
      </c>
      <c r="F219" s="53">
        <v>170.55</v>
      </c>
      <c r="G219" s="42">
        <v>1.3848113798387821E-3</v>
      </c>
      <c r="H219" s="41">
        <v>51.884</v>
      </c>
      <c r="I219" s="41">
        <v>88.944000000000003</v>
      </c>
      <c r="J219" s="41"/>
    </row>
    <row r="220" spans="2:10" s="7" customFormat="1" x14ac:dyDescent="0.2">
      <c r="B220" s="4" t="s">
        <v>430</v>
      </c>
      <c r="C220" s="5" t="s">
        <v>431</v>
      </c>
      <c r="D220" s="6" t="s">
        <v>66</v>
      </c>
      <c r="E220" s="6" t="s">
        <v>33</v>
      </c>
      <c r="F220" s="53">
        <v>304.2</v>
      </c>
      <c r="G220" s="42">
        <v>1.3848113798387821E-3</v>
      </c>
      <c r="H220" s="41">
        <v>92.448999999999984</v>
      </c>
      <c r="I220" s="41">
        <v>158.48399999999998</v>
      </c>
      <c r="J220" s="41"/>
    </row>
    <row r="221" spans="2:10" s="7" customFormat="1" x14ac:dyDescent="0.2">
      <c r="B221" s="4" t="s">
        <v>432</v>
      </c>
      <c r="C221" s="5" t="s">
        <v>433</v>
      </c>
      <c r="D221" s="6" t="s">
        <v>66</v>
      </c>
      <c r="E221" s="6" t="s">
        <v>33</v>
      </c>
      <c r="F221" s="53">
        <v>428.5</v>
      </c>
      <c r="G221" s="42">
        <v>1.3848113798387821E-3</v>
      </c>
      <c r="H221" s="41">
        <v>130.23500000000001</v>
      </c>
      <c r="I221" s="41">
        <v>223.26000000000002</v>
      </c>
      <c r="J221" s="41"/>
    </row>
    <row r="222" spans="2:10" s="7" customFormat="1" ht="25.5" x14ac:dyDescent="0.2">
      <c r="B222" s="4" t="s">
        <v>434</v>
      </c>
      <c r="C222" s="11" t="s">
        <v>435</v>
      </c>
      <c r="D222" s="6"/>
      <c r="E222" s="6"/>
      <c r="F222" s="50"/>
      <c r="G222" s="42">
        <v>1.3848113798387821E-3</v>
      </c>
      <c r="H222" s="41" t="s">
        <v>49</v>
      </c>
      <c r="I222" s="41" t="s">
        <v>49</v>
      </c>
      <c r="J222" s="41"/>
    </row>
    <row r="223" spans="2:10" s="7" customFormat="1" x14ac:dyDescent="0.2">
      <c r="B223" s="4" t="s">
        <v>436</v>
      </c>
      <c r="C223" s="5" t="s">
        <v>429</v>
      </c>
      <c r="D223" s="6" t="s">
        <v>66</v>
      </c>
      <c r="E223" s="6" t="s">
        <v>33</v>
      </c>
      <c r="F223" s="53">
        <v>170.5</v>
      </c>
      <c r="G223" s="42">
        <v>1.3848113798387821E-3</v>
      </c>
      <c r="H223" s="41">
        <v>35.559999999999995</v>
      </c>
      <c r="I223" s="41">
        <v>60.959999999999994</v>
      </c>
      <c r="J223" s="41"/>
    </row>
    <row r="224" spans="2:10" s="7" customFormat="1" x14ac:dyDescent="0.2">
      <c r="B224" s="4" t="s">
        <v>437</v>
      </c>
      <c r="C224" s="5" t="s">
        <v>431</v>
      </c>
      <c r="D224" s="6" t="s">
        <v>66</v>
      </c>
      <c r="E224" s="6" t="s">
        <v>33</v>
      </c>
      <c r="F224" s="53">
        <v>304.2</v>
      </c>
      <c r="G224" s="42">
        <v>1.3848113798387821E-3</v>
      </c>
      <c r="H224" s="41">
        <v>32.227999999999994</v>
      </c>
      <c r="I224" s="41">
        <v>55.247999999999998</v>
      </c>
      <c r="J224" s="41"/>
    </row>
    <row r="225" spans="2:10" s="7" customFormat="1" x14ac:dyDescent="0.2">
      <c r="B225" s="4" t="s">
        <v>438</v>
      </c>
      <c r="C225" s="5" t="s">
        <v>433</v>
      </c>
      <c r="D225" s="6" t="s">
        <v>66</v>
      </c>
      <c r="E225" s="6" t="s">
        <v>33</v>
      </c>
      <c r="F225" s="53">
        <v>428.65</v>
      </c>
      <c r="G225" s="42">
        <v>1.3848113798387821E-3</v>
      </c>
      <c r="H225" s="41">
        <v>30.001999999999999</v>
      </c>
      <c r="I225" s="41">
        <v>51.431999999999995</v>
      </c>
      <c r="J225" s="41"/>
    </row>
    <row r="226" spans="2:10" s="7" customFormat="1" ht="25.5" x14ac:dyDescent="0.2">
      <c r="B226" s="4" t="s">
        <v>439</v>
      </c>
      <c r="C226" s="10" t="s">
        <v>440</v>
      </c>
      <c r="D226" s="6"/>
      <c r="E226" s="6"/>
      <c r="F226" s="50"/>
      <c r="G226" s="42">
        <v>1.3848113798387821E-3</v>
      </c>
      <c r="H226" s="41" t="s">
        <v>49</v>
      </c>
      <c r="I226" s="41" t="s">
        <v>49</v>
      </c>
      <c r="J226" s="41"/>
    </row>
    <row r="227" spans="2:10" s="7" customFormat="1" x14ac:dyDescent="0.2">
      <c r="B227" s="4" t="s">
        <v>441</v>
      </c>
      <c r="C227" s="5" t="s">
        <v>442</v>
      </c>
      <c r="D227" s="6" t="s">
        <v>66</v>
      </c>
      <c r="E227" s="6" t="s">
        <v>33</v>
      </c>
      <c r="F227" s="53">
        <v>345.75</v>
      </c>
      <c r="G227" s="42">
        <v>1.3848113798387821E-3</v>
      </c>
      <c r="H227" s="41">
        <v>105.056</v>
      </c>
      <c r="I227" s="41">
        <v>180.096</v>
      </c>
      <c r="J227" s="41"/>
    </row>
    <row r="228" spans="2:10" s="7" customFormat="1" x14ac:dyDescent="0.2">
      <c r="B228" s="4" t="s">
        <v>443</v>
      </c>
      <c r="C228" s="5" t="s">
        <v>444</v>
      </c>
      <c r="D228" s="6" t="s">
        <v>66</v>
      </c>
      <c r="E228" s="6" t="s">
        <v>33</v>
      </c>
      <c r="F228" s="53">
        <v>414.8</v>
      </c>
      <c r="G228" s="42">
        <v>1.3848113798387821E-3</v>
      </c>
      <c r="H228" s="41">
        <v>115.57</v>
      </c>
      <c r="I228" s="41">
        <v>198.11999999999998</v>
      </c>
      <c r="J228" s="41"/>
    </row>
    <row r="229" spans="2:10" s="7" customFormat="1" x14ac:dyDescent="0.2">
      <c r="B229" s="4" t="s">
        <v>445</v>
      </c>
      <c r="C229" s="5" t="s">
        <v>446</v>
      </c>
      <c r="D229" s="6" t="s">
        <v>66</v>
      </c>
      <c r="E229" s="6" t="s">
        <v>33</v>
      </c>
      <c r="F229" s="53">
        <v>484</v>
      </c>
      <c r="G229" s="42">
        <v>1.3848113798387821E-3</v>
      </c>
      <c r="H229" s="41">
        <v>123.34699999999999</v>
      </c>
      <c r="I229" s="41">
        <v>211.452</v>
      </c>
      <c r="J229" s="41"/>
    </row>
    <row r="230" spans="2:10" s="7" customFormat="1" ht="25.5" x14ac:dyDescent="0.2">
      <c r="B230" s="4" t="s">
        <v>447</v>
      </c>
      <c r="C230" s="5" t="s">
        <v>448</v>
      </c>
      <c r="D230" s="6" t="s">
        <v>66</v>
      </c>
      <c r="E230" s="6" t="s">
        <v>33</v>
      </c>
      <c r="F230" s="53">
        <v>101</v>
      </c>
      <c r="G230" s="42">
        <v>1.3848113798387821E-3</v>
      </c>
      <c r="H230" s="41">
        <v>2.5549999999999997</v>
      </c>
      <c r="I230" s="41">
        <v>4.38</v>
      </c>
      <c r="J230" s="41"/>
    </row>
    <row r="231" spans="2:10" s="7" customFormat="1" x14ac:dyDescent="0.2">
      <c r="B231" s="4" t="s">
        <v>449</v>
      </c>
      <c r="C231" s="5" t="s">
        <v>450</v>
      </c>
      <c r="D231" s="6" t="s">
        <v>32</v>
      </c>
      <c r="E231" s="6" t="s">
        <v>33</v>
      </c>
      <c r="F231" s="53">
        <v>55.2</v>
      </c>
      <c r="G231" s="42">
        <v>1.3848113798387821E-3</v>
      </c>
      <c r="H231" s="41">
        <v>16.806999999999999</v>
      </c>
      <c r="I231" s="41">
        <v>28.812000000000001</v>
      </c>
      <c r="J231" s="41"/>
    </row>
    <row r="232" spans="2:10" s="7" customFormat="1" ht="25.5" x14ac:dyDescent="0.2">
      <c r="B232" s="4" t="s">
        <v>451</v>
      </c>
      <c r="C232" s="5" t="s">
        <v>452</v>
      </c>
      <c r="D232" s="6" t="s">
        <v>32</v>
      </c>
      <c r="E232" s="6" t="s">
        <v>33</v>
      </c>
      <c r="F232" s="53">
        <v>193.5</v>
      </c>
      <c r="G232" s="42">
        <v>1.3848113798387821E-3</v>
      </c>
      <c r="H232" s="41">
        <v>38.891999999999996</v>
      </c>
      <c r="I232" s="41">
        <v>66.671999999999997</v>
      </c>
      <c r="J232" s="41"/>
    </row>
    <row r="233" spans="2:10" s="7" customFormat="1" x14ac:dyDescent="0.2">
      <c r="B233" s="4" t="s">
        <v>453</v>
      </c>
      <c r="C233" s="5" t="s">
        <v>454</v>
      </c>
      <c r="D233" s="6" t="s">
        <v>32</v>
      </c>
      <c r="E233" s="6" t="s">
        <v>33</v>
      </c>
      <c r="F233" s="53">
        <v>248.9</v>
      </c>
      <c r="G233" s="42">
        <v>1.3848113798387821E-3</v>
      </c>
      <c r="H233" s="41">
        <v>75.641999999999996</v>
      </c>
      <c r="I233" s="41">
        <v>129.672</v>
      </c>
      <c r="J233" s="41"/>
    </row>
    <row r="234" spans="2:10" s="7" customFormat="1" x14ac:dyDescent="0.2">
      <c r="B234" s="4" t="s">
        <v>455</v>
      </c>
      <c r="C234" s="5" t="s">
        <v>456</v>
      </c>
      <c r="D234" s="6" t="s">
        <v>66</v>
      </c>
      <c r="E234" s="6" t="s">
        <v>33</v>
      </c>
      <c r="F234" s="53">
        <v>96.8</v>
      </c>
      <c r="G234" s="42">
        <v>1.3848113798387821E-3</v>
      </c>
      <c r="H234" s="41">
        <v>22.224999999999998</v>
      </c>
      <c r="I234" s="41">
        <v>38.1</v>
      </c>
      <c r="J234" s="41"/>
    </row>
    <row r="235" spans="2:10" s="7" customFormat="1" ht="25.5" x14ac:dyDescent="0.2">
      <c r="B235" s="4" t="s">
        <v>457</v>
      </c>
      <c r="C235" s="5" t="s">
        <v>458</v>
      </c>
      <c r="D235" s="6" t="s">
        <v>42</v>
      </c>
      <c r="E235" s="6" t="s">
        <v>33</v>
      </c>
      <c r="F235" s="53">
        <v>276.60000000000002</v>
      </c>
      <c r="G235" s="42">
        <v>1.3848113798387821E-3</v>
      </c>
      <c r="H235" s="41">
        <v>77.951999999999998</v>
      </c>
      <c r="I235" s="41">
        <v>133.63200000000001</v>
      </c>
      <c r="J235" s="41"/>
    </row>
    <row r="236" spans="2:10" s="7" customFormat="1" x14ac:dyDescent="0.2">
      <c r="B236" s="4" t="s">
        <v>459</v>
      </c>
      <c r="C236" s="5" t="s">
        <v>460</v>
      </c>
      <c r="D236" s="6" t="s">
        <v>42</v>
      </c>
      <c r="E236" s="6" t="s">
        <v>33</v>
      </c>
      <c r="F236" s="53">
        <v>248.9</v>
      </c>
      <c r="G236" s="42">
        <v>1.3848113798387821E-3</v>
      </c>
      <c r="H236" s="41">
        <v>75.641999999999996</v>
      </c>
      <c r="I236" s="41">
        <v>129.672</v>
      </c>
      <c r="J236" s="41"/>
    </row>
    <row r="237" spans="2:10" s="7" customFormat="1" x14ac:dyDescent="0.2">
      <c r="B237" s="4" t="s">
        <v>461</v>
      </c>
      <c r="C237" s="9" t="s">
        <v>462</v>
      </c>
      <c r="D237" s="6" t="s">
        <v>32</v>
      </c>
      <c r="E237" s="6" t="s">
        <v>33</v>
      </c>
      <c r="F237" s="53">
        <v>22.1</v>
      </c>
      <c r="G237" s="42">
        <v>1.3848113798387821E-3</v>
      </c>
      <c r="H237" s="41">
        <v>6.72</v>
      </c>
      <c r="I237" s="41">
        <v>11.52</v>
      </c>
      <c r="J237" s="41"/>
    </row>
    <row r="238" spans="2:10" s="7" customFormat="1" ht="25.5" x14ac:dyDescent="0.2">
      <c r="B238" s="4" t="s">
        <v>463</v>
      </c>
      <c r="C238" s="5" t="s">
        <v>464</v>
      </c>
      <c r="D238" s="6" t="s">
        <v>66</v>
      </c>
      <c r="E238" s="6" t="s">
        <v>33</v>
      </c>
      <c r="F238" s="53">
        <v>38</v>
      </c>
      <c r="G238" s="42">
        <v>1.3848113798387821E-3</v>
      </c>
      <c r="H238" s="41">
        <v>9.4429999999999996</v>
      </c>
      <c r="I238" s="41">
        <v>16.187999999999999</v>
      </c>
      <c r="J238" s="41"/>
    </row>
    <row r="239" spans="2:10" s="7" customFormat="1" x14ac:dyDescent="0.2">
      <c r="B239" s="4" t="s">
        <v>465</v>
      </c>
      <c r="C239" s="5" t="s">
        <v>466</v>
      </c>
      <c r="D239" s="6" t="s">
        <v>66</v>
      </c>
      <c r="E239" s="6" t="s">
        <v>33</v>
      </c>
      <c r="F239" s="53">
        <v>43</v>
      </c>
      <c r="G239" s="42">
        <v>1.3848113798387821E-3</v>
      </c>
      <c r="H239" s="41">
        <v>10.836</v>
      </c>
      <c r="I239" s="41">
        <v>18.576000000000001</v>
      </c>
      <c r="J239" s="41"/>
    </row>
    <row r="240" spans="2:10" s="7" customFormat="1" ht="25.5" x14ac:dyDescent="0.2">
      <c r="B240" s="4" t="s">
        <v>467</v>
      </c>
      <c r="C240" s="5" t="s">
        <v>468</v>
      </c>
      <c r="D240" s="6" t="s">
        <v>66</v>
      </c>
      <c r="E240" s="6" t="s">
        <v>33</v>
      </c>
      <c r="F240" s="53">
        <v>126.7</v>
      </c>
      <c r="G240" s="42">
        <v>1.3848113798387821E-3</v>
      </c>
      <c r="H240" s="41">
        <v>35.076999999999998</v>
      </c>
      <c r="I240" s="41">
        <v>60.131999999999998</v>
      </c>
      <c r="J240" s="41"/>
    </row>
    <row r="241" spans="2:10" s="7" customFormat="1" x14ac:dyDescent="0.2">
      <c r="B241" s="4" t="s">
        <v>469</v>
      </c>
      <c r="C241" s="5" t="s">
        <v>470</v>
      </c>
      <c r="D241" s="6" t="s">
        <v>66</v>
      </c>
      <c r="E241" s="6" t="s">
        <v>33</v>
      </c>
      <c r="F241" s="53">
        <v>139.30000000000001</v>
      </c>
      <c r="G241" s="42">
        <v>1.3848113798387821E-3</v>
      </c>
      <c r="H241" s="41">
        <v>42.349999999999994</v>
      </c>
      <c r="I241" s="41">
        <v>72.599999999999994</v>
      </c>
      <c r="J241" s="41"/>
    </row>
    <row r="242" spans="2:10" s="7" customFormat="1" x14ac:dyDescent="0.2">
      <c r="B242" s="4" t="s">
        <v>471</v>
      </c>
      <c r="C242" s="5" t="s">
        <v>472</v>
      </c>
      <c r="D242" s="6"/>
      <c r="E242" s="6"/>
      <c r="F242" s="50"/>
      <c r="G242" s="42">
        <v>1.3848113798387821E-3</v>
      </c>
      <c r="H242" s="41" t="s">
        <v>49</v>
      </c>
      <c r="I242" s="41" t="s">
        <v>49</v>
      </c>
      <c r="J242" s="41"/>
    </row>
    <row r="243" spans="2:10" s="7" customFormat="1" ht="38.25" x14ac:dyDescent="0.2">
      <c r="B243" s="4" t="s">
        <v>473</v>
      </c>
      <c r="C243" s="5" t="s">
        <v>474</v>
      </c>
      <c r="D243" s="6" t="s">
        <v>42</v>
      </c>
      <c r="E243" s="6" t="s">
        <v>33</v>
      </c>
      <c r="F243" s="53">
        <v>7.55</v>
      </c>
      <c r="G243" s="42">
        <v>1.3848113798387821E-3</v>
      </c>
      <c r="H243" s="41">
        <v>2.3099999999999996</v>
      </c>
      <c r="I243" s="41">
        <v>3.9599999999999995</v>
      </c>
      <c r="J243" s="41"/>
    </row>
    <row r="244" spans="2:10" s="7" customFormat="1" x14ac:dyDescent="0.2">
      <c r="B244" s="4" t="s">
        <v>475</v>
      </c>
      <c r="C244" s="5" t="s">
        <v>476</v>
      </c>
      <c r="D244" s="6" t="s">
        <v>42</v>
      </c>
      <c r="E244" s="6" t="s">
        <v>33</v>
      </c>
      <c r="F244" s="53">
        <v>63.3</v>
      </c>
      <c r="G244" s="42">
        <v>1.3848113798387821E-3</v>
      </c>
      <c r="H244" s="41">
        <v>19.25</v>
      </c>
      <c r="I244" s="41">
        <v>33</v>
      </c>
      <c r="J244" s="41"/>
    </row>
    <row r="245" spans="2:10" s="7" customFormat="1" x14ac:dyDescent="0.2">
      <c r="B245" s="4" t="s">
        <v>477</v>
      </c>
      <c r="C245" s="12" t="s">
        <v>478</v>
      </c>
      <c r="D245" s="6" t="s">
        <v>42</v>
      </c>
      <c r="E245" s="6" t="s">
        <v>33</v>
      </c>
      <c r="F245" s="53">
        <v>63.3</v>
      </c>
      <c r="G245" s="42">
        <v>1.3848113798387821E-3</v>
      </c>
      <c r="H245" s="41">
        <v>19.25</v>
      </c>
      <c r="I245" s="41">
        <v>33</v>
      </c>
      <c r="J245" s="41"/>
    </row>
    <row r="246" spans="2:10" s="7" customFormat="1" x14ac:dyDescent="0.2">
      <c r="B246" s="4" t="s">
        <v>479</v>
      </c>
      <c r="C246" s="12" t="s">
        <v>480</v>
      </c>
      <c r="D246" s="6" t="s">
        <v>42</v>
      </c>
      <c r="E246" s="6" t="s">
        <v>33</v>
      </c>
      <c r="F246" s="53">
        <v>63.3</v>
      </c>
      <c r="G246" s="42">
        <v>1.3848113798387821E-3</v>
      </c>
      <c r="H246" s="41">
        <v>19.25</v>
      </c>
      <c r="I246" s="41">
        <v>33</v>
      </c>
      <c r="J246" s="41"/>
    </row>
    <row r="247" spans="2:10" s="7" customFormat="1" x14ac:dyDescent="0.2">
      <c r="B247" s="4" t="s">
        <v>481</v>
      </c>
      <c r="C247" s="5" t="s">
        <v>482</v>
      </c>
      <c r="D247" s="6" t="s">
        <v>42</v>
      </c>
      <c r="E247" s="6" t="s">
        <v>33</v>
      </c>
      <c r="F247" s="53">
        <v>63.3</v>
      </c>
      <c r="G247" s="42">
        <v>1.3848113798387821E-3</v>
      </c>
      <c r="H247" s="41">
        <v>19.25</v>
      </c>
      <c r="I247" s="41">
        <v>33</v>
      </c>
      <c r="J247" s="41"/>
    </row>
    <row r="248" spans="2:10" s="7" customFormat="1" x14ac:dyDescent="0.2">
      <c r="B248" s="4" t="s">
        <v>483</v>
      </c>
      <c r="C248" s="5" t="s">
        <v>484</v>
      </c>
      <c r="D248" s="6"/>
      <c r="E248" s="6"/>
      <c r="F248" s="50"/>
      <c r="G248" s="42">
        <v>1.3848113798387821E-3</v>
      </c>
      <c r="H248" s="41" t="s">
        <v>49</v>
      </c>
      <c r="I248" s="41" t="s">
        <v>49</v>
      </c>
      <c r="J248" s="41"/>
    </row>
    <row r="249" spans="2:10" s="7" customFormat="1" x14ac:dyDescent="0.2">
      <c r="B249" s="4" t="s">
        <v>485</v>
      </c>
      <c r="C249" s="5" t="s">
        <v>486</v>
      </c>
      <c r="D249" s="6"/>
      <c r="E249" s="6"/>
      <c r="F249" s="50"/>
      <c r="G249" s="42">
        <v>1.3848113798387821E-3</v>
      </c>
      <c r="H249" s="41" t="s">
        <v>49</v>
      </c>
      <c r="I249" s="41" t="s">
        <v>49</v>
      </c>
      <c r="J249" s="41"/>
    </row>
    <row r="250" spans="2:10" s="7" customFormat="1" ht="76.5" x14ac:dyDescent="0.2">
      <c r="B250" s="4" t="s">
        <v>487</v>
      </c>
      <c r="C250" s="5" t="s">
        <v>488</v>
      </c>
      <c r="D250" s="6" t="s">
        <v>66</v>
      </c>
      <c r="E250" s="6" t="s">
        <v>33</v>
      </c>
      <c r="F250" s="53">
        <v>373.4</v>
      </c>
      <c r="G250" s="42">
        <v>1.3848113798387821E-3</v>
      </c>
      <c r="H250" s="41">
        <v>113.456</v>
      </c>
      <c r="I250" s="41">
        <v>194.49600000000001</v>
      </c>
      <c r="J250" s="41"/>
    </row>
    <row r="251" spans="2:10" s="7" customFormat="1" x14ac:dyDescent="0.2">
      <c r="B251" s="4" t="s">
        <v>489</v>
      </c>
      <c r="C251" s="5" t="s">
        <v>490</v>
      </c>
      <c r="D251" s="6" t="s">
        <v>66</v>
      </c>
      <c r="E251" s="6" t="s">
        <v>33</v>
      </c>
      <c r="F251" s="53">
        <v>414.8</v>
      </c>
      <c r="G251" s="42">
        <v>1.3848113798387821E-3</v>
      </c>
      <c r="H251" s="41">
        <v>126.07</v>
      </c>
      <c r="I251" s="41">
        <v>216.11999999999998</v>
      </c>
      <c r="J251" s="41"/>
    </row>
    <row r="252" spans="2:10" s="7" customFormat="1" x14ac:dyDescent="0.2">
      <c r="B252" s="4" t="s">
        <v>491</v>
      </c>
      <c r="C252" s="5" t="s">
        <v>492</v>
      </c>
      <c r="D252" s="6" t="s">
        <v>66</v>
      </c>
      <c r="E252" s="6" t="s">
        <v>33</v>
      </c>
      <c r="F252" s="53">
        <v>484</v>
      </c>
      <c r="G252" s="42">
        <v>1.3848113798387821E-3</v>
      </c>
      <c r="H252" s="41">
        <v>147.077</v>
      </c>
      <c r="I252" s="41">
        <v>252.13200000000001</v>
      </c>
      <c r="J252" s="41"/>
    </row>
    <row r="253" spans="2:10" s="7" customFormat="1" ht="76.5" x14ac:dyDescent="0.2">
      <c r="B253" s="4" t="s">
        <v>493</v>
      </c>
      <c r="C253" s="5" t="s">
        <v>2671</v>
      </c>
      <c r="D253" s="6" t="s">
        <v>66</v>
      </c>
      <c r="E253" s="6" t="s">
        <v>33</v>
      </c>
      <c r="F253" s="53">
        <v>829.8</v>
      </c>
      <c r="G253" s="42">
        <v>1.3848113798387821E-3</v>
      </c>
      <c r="H253" s="41">
        <v>252.13299999999998</v>
      </c>
      <c r="I253" s="41">
        <v>432.22800000000001</v>
      </c>
      <c r="J253" s="41"/>
    </row>
    <row r="254" spans="2:10" s="7" customFormat="1" ht="76.5" x14ac:dyDescent="0.2">
      <c r="B254" s="4" t="s">
        <v>494</v>
      </c>
      <c r="C254" s="5" t="s">
        <v>2670</v>
      </c>
      <c r="D254" s="6" t="s">
        <v>66</v>
      </c>
      <c r="E254" s="6" t="s">
        <v>33</v>
      </c>
      <c r="F254" s="53">
        <v>1140</v>
      </c>
      <c r="G254" s="42">
        <v>1.3848113798387821E-3</v>
      </c>
      <c r="H254" s="41">
        <v>346.5</v>
      </c>
      <c r="I254" s="41">
        <v>594</v>
      </c>
      <c r="J254" s="41"/>
    </row>
    <row r="255" spans="2:10" s="7" customFormat="1" x14ac:dyDescent="0.2">
      <c r="B255" s="4" t="s">
        <v>495</v>
      </c>
      <c r="C255" s="9" t="s">
        <v>496</v>
      </c>
      <c r="D255" s="6" t="s">
        <v>66</v>
      </c>
      <c r="E255" s="6" t="s">
        <v>33</v>
      </c>
      <c r="F255" s="53">
        <v>380.15</v>
      </c>
      <c r="G255" s="42">
        <v>1.3848113798387821E-3</v>
      </c>
      <c r="H255" s="41">
        <v>115.49999999999999</v>
      </c>
      <c r="I255" s="41">
        <v>198</v>
      </c>
      <c r="J255" s="41"/>
    </row>
    <row r="256" spans="2:10" s="7" customFormat="1" ht="33" customHeight="1" x14ac:dyDescent="0.2">
      <c r="B256" s="4" t="s">
        <v>497</v>
      </c>
      <c r="C256" s="9" t="s">
        <v>498</v>
      </c>
      <c r="D256" s="6" t="s">
        <v>66</v>
      </c>
      <c r="E256" s="6" t="s">
        <v>33</v>
      </c>
      <c r="F256" s="53">
        <v>633.5</v>
      </c>
      <c r="G256" s="42">
        <v>1.3848113798387821E-3</v>
      </c>
      <c r="H256" s="41">
        <v>133.35</v>
      </c>
      <c r="I256" s="41">
        <v>228.6</v>
      </c>
      <c r="J256" s="41"/>
    </row>
    <row r="257" spans="2:10" s="7" customFormat="1" x14ac:dyDescent="0.2">
      <c r="B257" s="4" t="s">
        <v>499</v>
      </c>
      <c r="C257" s="5" t="s">
        <v>500</v>
      </c>
      <c r="D257" s="6"/>
      <c r="E257" s="6"/>
      <c r="F257" s="50"/>
      <c r="G257" s="42">
        <v>1.3848113798387821E-3</v>
      </c>
      <c r="H257" s="41" t="s">
        <v>49</v>
      </c>
      <c r="I257" s="41" t="s">
        <v>49</v>
      </c>
      <c r="J257" s="41"/>
    </row>
    <row r="258" spans="2:10" s="7" customFormat="1" ht="25.5" x14ac:dyDescent="0.2">
      <c r="B258" s="4" t="s">
        <v>501</v>
      </c>
      <c r="C258" s="5" t="s">
        <v>502</v>
      </c>
      <c r="D258" s="6" t="s">
        <v>42</v>
      </c>
      <c r="E258" s="6" t="s">
        <v>33</v>
      </c>
      <c r="F258" s="53">
        <v>28.5</v>
      </c>
      <c r="G258" s="42">
        <v>1.3848113798387821E-3</v>
      </c>
      <c r="H258" s="41">
        <v>8.6589999999999989</v>
      </c>
      <c r="I258" s="41">
        <v>14.843999999999998</v>
      </c>
      <c r="J258" s="41"/>
    </row>
    <row r="259" spans="2:10" s="7" customFormat="1" x14ac:dyDescent="0.2">
      <c r="B259" s="4" t="s">
        <v>503</v>
      </c>
      <c r="C259" s="5" t="s">
        <v>504</v>
      </c>
      <c r="D259" s="6" t="s">
        <v>42</v>
      </c>
      <c r="E259" s="6" t="s">
        <v>33</v>
      </c>
      <c r="F259" s="53">
        <v>32.4</v>
      </c>
      <c r="G259" s="42">
        <v>1.3848113798387821E-3</v>
      </c>
      <c r="H259" s="41">
        <v>9.8629999999999995</v>
      </c>
      <c r="I259" s="41">
        <v>16.907999999999998</v>
      </c>
      <c r="J259" s="41"/>
    </row>
    <row r="260" spans="2:10" s="7" customFormat="1" x14ac:dyDescent="0.2">
      <c r="B260" s="4" t="s">
        <v>505</v>
      </c>
      <c r="C260" s="5" t="s">
        <v>506</v>
      </c>
      <c r="D260" s="6" t="s">
        <v>42</v>
      </c>
      <c r="E260" s="6" t="s">
        <v>33</v>
      </c>
      <c r="F260" s="53">
        <v>30.5</v>
      </c>
      <c r="G260" s="42">
        <v>1.3848113798387821E-3</v>
      </c>
      <c r="H260" s="41">
        <v>9.3519999999999985</v>
      </c>
      <c r="I260" s="41">
        <v>16.032</v>
      </c>
      <c r="J260" s="41"/>
    </row>
    <row r="261" spans="2:10" s="7" customFormat="1" x14ac:dyDescent="0.2">
      <c r="B261" s="4" t="s">
        <v>507</v>
      </c>
      <c r="C261" s="5" t="s">
        <v>508</v>
      </c>
      <c r="D261" s="6" t="s">
        <v>42</v>
      </c>
      <c r="E261" s="6" t="s">
        <v>33</v>
      </c>
      <c r="F261" s="53">
        <v>34.799999999999997</v>
      </c>
      <c r="G261" s="42">
        <v>1.3848113798387821E-3</v>
      </c>
      <c r="H261" s="41">
        <v>10.584</v>
      </c>
      <c r="I261" s="41">
        <v>18.143999999999998</v>
      </c>
      <c r="J261" s="41"/>
    </row>
    <row r="262" spans="2:10" s="7" customFormat="1" x14ac:dyDescent="0.2">
      <c r="B262" s="4" t="s">
        <v>509</v>
      </c>
      <c r="C262" s="5" t="s">
        <v>510</v>
      </c>
      <c r="D262" s="6" t="s">
        <v>42</v>
      </c>
      <c r="E262" s="6" t="s">
        <v>33</v>
      </c>
      <c r="F262" s="53">
        <v>46.2</v>
      </c>
      <c r="G262" s="42">
        <v>1.3848113798387821E-3</v>
      </c>
      <c r="H262" s="41">
        <v>14.055999999999997</v>
      </c>
      <c r="I262" s="41">
        <v>24.095999999999997</v>
      </c>
      <c r="J262" s="41"/>
    </row>
    <row r="263" spans="2:10" s="7" customFormat="1" ht="25.5" x14ac:dyDescent="0.2">
      <c r="B263" s="4" t="s">
        <v>511</v>
      </c>
      <c r="C263" s="5" t="s">
        <v>512</v>
      </c>
      <c r="D263" s="6" t="s">
        <v>42</v>
      </c>
      <c r="E263" s="6" t="s">
        <v>33</v>
      </c>
      <c r="F263" s="53">
        <v>46.5</v>
      </c>
      <c r="G263" s="42">
        <v>1.3848113798387821E-3</v>
      </c>
      <c r="H263" s="41">
        <v>14.139999999999999</v>
      </c>
      <c r="I263" s="41">
        <v>24.24</v>
      </c>
      <c r="J263" s="41"/>
    </row>
    <row r="264" spans="2:10" s="7" customFormat="1" x14ac:dyDescent="0.2">
      <c r="B264" s="4" t="s">
        <v>513</v>
      </c>
      <c r="C264" s="5" t="s">
        <v>514</v>
      </c>
      <c r="D264" s="6" t="s">
        <v>42</v>
      </c>
      <c r="E264" s="6" t="s">
        <v>33</v>
      </c>
      <c r="F264" s="53">
        <v>51.3</v>
      </c>
      <c r="G264" s="42">
        <v>1.3848113798387821E-3</v>
      </c>
      <c r="H264" s="41">
        <v>15.602999999999998</v>
      </c>
      <c r="I264" s="41">
        <v>26.747999999999998</v>
      </c>
      <c r="J264" s="41"/>
    </row>
    <row r="265" spans="2:10" s="7" customFormat="1" x14ac:dyDescent="0.2">
      <c r="B265" s="4" t="s">
        <v>515</v>
      </c>
      <c r="C265" s="5" t="s">
        <v>516</v>
      </c>
      <c r="D265" s="6" t="s">
        <v>42</v>
      </c>
      <c r="E265" s="6" t="s">
        <v>33</v>
      </c>
      <c r="F265" s="53">
        <v>53.5</v>
      </c>
      <c r="G265" s="42">
        <v>1.3848113798387821E-3</v>
      </c>
      <c r="H265" s="41">
        <v>16.302999999999997</v>
      </c>
      <c r="I265" s="41">
        <v>27.947999999999997</v>
      </c>
      <c r="J265" s="41"/>
    </row>
    <row r="266" spans="2:10" s="7" customFormat="1" x14ac:dyDescent="0.2">
      <c r="B266" s="4" t="s">
        <v>517</v>
      </c>
      <c r="C266" s="5" t="s">
        <v>518</v>
      </c>
      <c r="D266" s="6" t="s">
        <v>42</v>
      </c>
      <c r="E266" s="6" t="s">
        <v>33</v>
      </c>
      <c r="F266" s="53">
        <v>60</v>
      </c>
      <c r="G266" s="42">
        <v>1.3848113798387821E-3</v>
      </c>
      <c r="H266" s="41">
        <v>18.514999999999997</v>
      </c>
      <c r="I266" s="41">
        <v>31.74</v>
      </c>
      <c r="J266" s="41"/>
    </row>
    <row r="267" spans="2:10" s="7" customFormat="1" ht="25.5" x14ac:dyDescent="0.2">
      <c r="B267" s="4" t="s">
        <v>519</v>
      </c>
      <c r="C267" s="5" t="s">
        <v>520</v>
      </c>
      <c r="D267" s="6" t="s">
        <v>19</v>
      </c>
      <c r="E267" s="6" t="s">
        <v>33</v>
      </c>
      <c r="F267" s="53">
        <v>290.39999999999998</v>
      </c>
      <c r="G267" s="42">
        <v>1.3848113798387821E-3</v>
      </c>
      <c r="H267" s="41">
        <v>88.248999999999995</v>
      </c>
      <c r="I267" s="41">
        <v>151.28399999999999</v>
      </c>
      <c r="J267" s="41"/>
    </row>
    <row r="268" spans="2:10" s="7" customFormat="1" ht="25.5" x14ac:dyDescent="0.2">
      <c r="B268" s="4" t="s">
        <v>521</v>
      </c>
      <c r="C268" s="5" t="s">
        <v>522</v>
      </c>
      <c r="D268" s="6" t="s">
        <v>42</v>
      </c>
      <c r="E268" s="6" t="s">
        <v>33</v>
      </c>
      <c r="F268" s="53">
        <v>152.1</v>
      </c>
      <c r="G268" s="42">
        <v>1.3848113798387821E-3</v>
      </c>
      <c r="H268" s="41">
        <v>42.875</v>
      </c>
      <c r="I268" s="41">
        <v>73.5</v>
      </c>
      <c r="J268" s="41"/>
    </row>
    <row r="269" spans="2:10" s="7" customFormat="1" ht="38.25" x14ac:dyDescent="0.2">
      <c r="B269" s="4" t="s">
        <v>523</v>
      </c>
      <c r="C269" s="5" t="s">
        <v>524</v>
      </c>
      <c r="D269" s="6" t="s">
        <v>42</v>
      </c>
      <c r="E269" s="6" t="s">
        <v>33</v>
      </c>
      <c r="F269" s="53">
        <v>69.099999999999994</v>
      </c>
      <c r="G269" s="42">
        <v>1.3848113798387821E-3</v>
      </c>
      <c r="H269" s="41">
        <v>21.007000000000001</v>
      </c>
      <c r="I269" s="41">
        <v>36.012</v>
      </c>
      <c r="J269" s="41"/>
    </row>
    <row r="270" spans="2:10" s="7" customFormat="1" x14ac:dyDescent="0.2">
      <c r="B270" s="4" t="s">
        <v>525</v>
      </c>
      <c r="C270" s="5" t="s">
        <v>526</v>
      </c>
      <c r="D270" s="6"/>
      <c r="E270" s="6"/>
      <c r="F270" s="50"/>
      <c r="G270" s="42">
        <v>1.3848113798387821E-3</v>
      </c>
      <c r="H270" s="41" t="s">
        <v>49</v>
      </c>
      <c r="I270" s="41" t="s">
        <v>49</v>
      </c>
      <c r="J270" s="41"/>
    </row>
    <row r="271" spans="2:10" s="7" customFormat="1" ht="25.5" x14ac:dyDescent="0.2">
      <c r="B271" s="4" t="s">
        <v>527</v>
      </c>
      <c r="C271" s="5" t="s">
        <v>528</v>
      </c>
      <c r="D271" s="6" t="s">
        <v>42</v>
      </c>
      <c r="E271" s="6" t="s">
        <v>33</v>
      </c>
      <c r="F271" s="53">
        <v>165.5</v>
      </c>
      <c r="G271" s="42">
        <v>1.3848113798387821E-3</v>
      </c>
      <c r="H271" s="41">
        <v>50.420999999999999</v>
      </c>
      <c r="I271" s="41">
        <v>86.435999999999993</v>
      </c>
      <c r="J271" s="41"/>
    </row>
    <row r="272" spans="2:10" s="7" customFormat="1" x14ac:dyDescent="0.2">
      <c r="B272" s="4" t="s">
        <v>529</v>
      </c>
      <c r="C272" s="5" t="s">
        <v>530</v>
      </c>
      <c r="D272" s="6" t="s">
        <v>42</v>
      </c>
      <c r="E272" s="6" t="s">
        <v>33</v>
      </c>
      <c r="F272" s="53">
        <v>96.5</v>
      </c>
      <c r="G272" s="42">
        <v>1.3848113798387821E-3</v>
      </c>
      <c r="H272" s="41">
        <v>29.414000000000001</v>
      </c>
      <c r="I272" s="41">
        <v>50.423999999999999</v>
      </c>
      <c r="J272" s="41"/>
    </row>
    <row r="273" spans="2:10" s="7" customFormat="1" x14ac:dyDescent="0.2">
      <c r="B273" s="4" t="s">
        <v>531</v>
      </c>
      <c r="C273" s="5" t="s">
        <v>532</v>
      </c>
      <c r="D273" s="6" t="s">
        <v>42</v>
      </c>
      <c r="E273" s="6" t="s">
        <v>33</v>
      </c>
      <c r="F273" s="53">
        <v>110.5</v>
      </c>
      <c r="G273" s="42">
        <v>1.3848113798387821E-3</v>
      </c>
      <c r="H273" s="41">
        <v>33.613999999999997</v>
      </c>
      <c r="I273" s="41">
        <v>57.624000000000002</v>
      </c>
      <c r="J273" s="41"/>
    </row>
    <row r="274" spans="2:10" s="7" customFormat="1" x14ac:dyDescent="0.2">
      <c r="B274" s="4" t="s">
        <v>533</v>
      </c>
      <c r="C274" s="5" t="s">
        <v>534</v>
      </c>
      <c r="D274" s="6" t="s">
        <v>42</v>
      </c>
      <c r="E274" s="6" t="s">
        <v>33</v>
      </c>
      <c r="F274" s="53">
        <v>165</v>
      </c>
      <c r="G274" s="42">
        <v>1.3848113798387821E-3</v>
      </c>
      <c r="H274" s="41">
        <v>50.420999999999999</v>
      </c>
      <c r="I274" s="41">
        <v>86.435999999999993</v>
      </c>
      <c r="J274" s="41"/>
    </row>
    <row r="275" spans="2:10" s="7" customFormat="1" x14ac:dyDescent="0.2">
      <c r="B275" s="4" t="s">
        <v>535</v>
      </c>
      <c r="C275" s="5" t="s">
        <v>536</v>
      </c>
      <c r="D275" s="6" t="s">
        <v>42</v>
      </c>
      <c r="E275" s="6" t="s">
        <v>33</v>
      </c>
      <c r="F275" s="53">
        <v>215</v>
      </c>
      <c r="G275" s="42">
        <v>1.3848113798387821E-3</v>
      </c>
      <c r="H275" s="41">
        <v>65.45</v>
      </c>
      <c r="I275" s="41">
        <v>112.2</v>
      </c>
      <c r="J275" s="41"/>
    </row>
    <row r="276" spans="2:10" s="7" customFormat="1" x14ac:dyDescent="0.2">
      <c r="B276" s="4" t="s">
        <v>537</v>
      </c>
      <c r="C276" s="5" t="s">
        <v>538</v>
      </c>
      <c r="D276" s="6" t="s">
        <v>42</v>
      </c>
      <c r="E276" s="6" t="s">
        <v>33</v>
      </c>
      <c r="F276" s="53">
        <v>193</v>
      </c>
      <c r="G276" s="42">
        <v>1.3848113798387821E-3</v>
      </c>
      <c r="H276" s="41">
        <v>58.834999999999994</v>
      </c>
      <c r="I276" s="41">
        <v>100.86</v>
      </c>
      <c r="J276" s="41"/>
    </row>
    <row r="277" spans="2:10" s="7" customFormat="1" ht="25.5" x14ac:dyDescent="0.2">
      <c r="B277" s="4" t="s">
        <v>539</v>
      </c>
      <c r="C277" s="5" t="s">
        <v>540</v>
      </c>
      <c r="D277" s="6" t="s">
        <v>42</v>
      </c>
      <c r="E277" s="6" t="s">
        <v>33</v>
      </c>
      <c r="F277" s="53">
        <v>165.5</v>
      </c>
      <c r="G277" s="42">
        <v>1.3848113798387821E-3</v>
      </c>
      <c r="H277" s="41">
        <v>50.420999999999999</v>
      </c>
      <c r="I277" s="41">
        <v>86.435999999999993</v>
      </c>
      <c r="J277" s="41"/>
    </row>
    <row r="278" spans="2:10" s="7" customFormat="1" x14ac:dyDescent="0.2">
      <c r="B278" s="4" t="s">
        <v>541</v>
      </c>
      <c r="C278" s="5" t="s">
        <v>530</v>
      </c>
      <c r="D278" s="6" t="s">
        <v>42</v>
      </c>
      <c r="E278" s="6" t="s">
        <v>33</v>
      </c>
      <c r="F278" s="53">
        <v>96.5</v>
      </c>
      <c r="G278" s="42">
        <v>1.3848113798387821E-3</v>
      </c>
      <c r="H278" s="41">
        <v>29.414000000000001</v>
      </c>
      <c r="I278" s="41">
        <v>50.423999999999999</v>
      </c>
      <c r="J278" s="41"/>
    </row>
    <row r="279" spans="2:10" s="7" customFormat="1" x14ac:dyDescent="0.2">
      <c r="B279" s="4" t="s">
        <v>542</v>
      </c>
      <c r="C279" s="5" t="s">
        <v>532</v>
      </c>
      <c r="D279" s="6" t="s">
        <v>42</v>
      </c>
      <c r="E279" s="6" t="s">
        <v>33</v>
      </c>
      <c r="F279" s="53">
        <v>110.5</v>
      </c>
      <c r="G279" s="42">
        <v>1.3848113798387821E-3</v>
      </c>
      <c r="H279" s="41">
        <v>33.613999999999997</v>
      </c>
      <c r="I279" s="41">
        <v>57.624000000000002</v>
      </c>
      <c r="J279" s="41"/>
    </row>
    <row r="280" spans="2:10" s="7" customFormat="1" x14ac:dyDescent="0.2">
      <c r="B280" s="4" t="s">
        <v>543</v>
      </c>
      <c r="C280" s="5" t="s">
        <v>534</v>
      </c>
      <c r="D280" s="6" t="s">
        <v>42</v>
      </c>
      <c r="E280" s="6" t="s">
        <v>33</v>
      </c>
      <c r="F280" s="53">
        <v>165.5</v>
      </c>
      <c r="G280" s="42">
        <v>1.3848113798387821E-3</v>
      </c>
      <c r="H280" s="41">
        <v>50.420999999999999</v>
      </c>
      <c r="I280" s="41">
        <v>86.435999999999993</v>
      </c>
      <c r="J280" s="41"/>
    </row>
    <row r="281" spans="2:10" s="7" customFormat="1" x14ac:dyDescent="0.2">
      <c r="B281" s="4" t="s">
        <v>544</v>
      </c>
      <c r="C281" s="5" t="s">
        <v>538</v>
      </c>
      <c r="D281" s="6" t="s">
        <v>42</v>
      </c>
      <c r="E281" s="6" t="s">
        <v>33</v>
      </c>
      <c r="F281" s="53">
        <v>193.5</v>
      </c>
      <c r="G281" s="42">
        <v>1.3848113798387821E-3</v>
      </c>
      <c r="H281" s="41">
        <v>58.834999999999994</v>
      </c>
      <c r="I281" s="41">
        <v>100.86</v>
      </c>
      <c r="J281" s="41"/>
    </row>
    <row r="282" spans="2:10" s="7" customFormat="1" ht="25.5" x14ac:dyDescent="0.2">
      <c r="B282" s="4" t="s">
        <v>545</v>
      </c>
      <c r="C282" s="5" t="s">
        <v>546</v>
      </c>
      <c r="D282" s="6" t="s">
        <v>42</v>
      </c>
      <c r="E282" s="6" t="s">
        <v>33</v>
      </c>
      <c r="F282" s="53">
        <v>165.5</v>
      </c>
      <c r="G282" s="42">
        <v>1.3848113798387821E-3</v>
      </c>
      <c r="H282" s="41">
        <v>50.420999999999999</v>
      </c>
      <c r="I282" s="41">
        <v>86.435999999999993</v>
      </c>
      <c r="J282" s="41"/>
    </row>
    <row r="283" spans="2:10" s="7" customFormat="1" x14ac:dyDescent="0.2">
      <c r="B283" s="4" t="s">
        <v>547</v>
      </c>
      <c r="C283" s="5" t="s">
        <v>548</v>
      </c>
      <c r="D283" s="6" t="s">
        <v>42</v>
      </c>
      <c r="E283" s="6" t="s">
        <v>33</v>
      </c>
      <c r="F283" s="53">
        <v>152</v>
      </c>
      <c r="G283" s="42">
        <v>1.3848113798387821E-3</v>
      </c>
      <c r="H283" s="41">
        <v>46.199999999999996</v>
      </c>
      <c r="I283" s="41">
        <v>79.2</v>
      </c>
      <c r="J283" s="41"/>
    </row>
    <row r="284" spans="2:10" s="7" customFormat="1" x14ac:dyDescent="0.2">
      <c r="B284" s="4" t="s">
        <v>549</v>
      </c>
      <c r="C284" s="5" t="s">
        <v>534</v>
      </c>
      <c r="D284" s="6" t="s">
        <v>42</v>
      </c>
      <c r="E284" s="6" t="s">
        <v>33</v>
      </c>
      <c r="F284" s="53">
        <v>165.5</v>
      </c>
      <c r="G284" s="42">
        <v>1.3848113798387821E-3</v>
      </c>
      <c r="H284" s="41">
        <v>50.420999999999999</v>
      </c>
      <c r="I284" s="41">
        <v>86.435999999999993</v>
      </c>
      <c r="J284" s="41"/>
    </row>
    <row r="285" spans="2:10" s="7" customFormat="1" x14ac:dyDescent="0.2">
      <c r="B285" s="4" t="s">
        <v>550</v>
      </c>
      <c r="C285" s="5" t="s">
        <v>538</v>
      </c>
      <c r="D285" s="6" t="s">
        <v>42</v>
      </c>
      <c r="E285" s="6" t="s">
        <v>33</v>
      </c>
      <c r="F285" s="53">
        <v>193.5</v>
      </c>
      <c r="G285" s="42">
        <v>1.3848113798387821E-3</v>
      </c>
      <c r="H285" s="41">
        <v>58.834999999999994</v>
      </c>
      <c r="I285" s="41">
        <v>100.86</v>
      </c>
      <c r="J285" s="41"/>
    </row>
    <row r="286" spans="2:10" s="7" customFormat="1" ht="25.5" x14ac:dyDescent="0.2">
      <c r="B286" s="4" t="s">
        <v>551</v>
      </c>
      <c r="C286" s="5" t="s">
        <v>552</v>
      </c>
      <c r="D286" s="6" t="s">
        <v>42</v>
      </c>
      <c r="E286" s="6" t="s">
        <v>33</v>
      </c>
      <c r="F286" s="53">
        <v>110.5</v>
      </c>
      <c r="G286" s="42">
        <v>1.3848113798387821E-3</v>
      </c>
      <c r="H286" s="41">
        <v>33.613999999999997</v>
      </c>
      <c r="I286" s="41">
        <v>57.624000000000002</v>
      </c>
      <c r="J286" s="41"/>
    </row>
    <row r="287" spans="2:10" s="7" customFormat="1" x14ac:dyDescent="0.2">
      <c r="B287" s="4" t="s">
        <v>553</v>
      </c>
      <c r="C287" s="5" t="s">
        <v>548</v>
      </c>
      <c r="D287" s="6" t="s">
        <v>42</v>
      </c>
      <c r="E287" s="6" t="s">
        <v>33</v>
      </c>
      <c r="F287" s="53">
        <v>101.3</v>
      </c>
      <c r="G287" s="42">
        <v>1.3848113798387821E-3</v>
      </c>
      <c r="H287" s="41">
        <v>30.799999999999997</v>
      </c>
      <c r="I287" s="41">
        <v>52.8</v>
      </c>
      <c r="J287" s="41"/>
    </row>
    <row r="288" spans="2:10" s="7" customFormat="1" x14ac:dyDescent="0.2">
      <c r="B288" s="4" t="s">
        <v>554</v>
      </c>
      <c r="C288" s="5" t="s">
        <v>534</v>
      </c>
      <c r="D288" s="6" t="s">
        <v>42</v>
      </c>
      <c r="E288" s="6" t="s">
        <v>33</v>
      </c>
      <c r="F288" s="53">
        <v>110.6</v>
      </c>
      <c r="G288" s="42">
        <v>1.3848113798387821E-3</v>
      </c>
      <c r="H288" s="41">
        <v>33.613999999999997</v>
      </c>
      <c r="I288" s="41">
        <v>57.624000000000002</v>
      </c>
      <c r="J288" s="41"/>
    </row>
    <row r="289" spans="2:10" s="7" customFormat="1" x14ac:dyDescent="0.2">
      <c r="B289" s="4" t="s">
        <v>555</v>
      </c>
      <c r="C289" s="5" t="s">
        <v>538</v>
      </c>
      <c r="D289" s="6" t="s">
        <v>42</v>
      </c>
      <c r="E289" s="6" t="s">
        <v>33</v>
      </c>
      <c r="F289" s="53">
        <v>138.30000000000001</v>
      </c>
      <c r="G289" s="42">
        <v>1.3848113798387821E-3</v>
      </c>
      <c r="H289" s="41">
        <v>42.021000000000001</v>
      </c>
      <c r="I289" s="41">
        <v>72.036000000000001</v>
      </c>
      <c r="J289" s="41"/>
    </row>
    <row r="290" spans="2:10" s="7" customFormat="1" ht="25.5" x14ac:dyDescent="0.2">
      <c r="B290" s="4" t="s">
        <v>556</v>
      </c>
      <c r="C290" s="5" t="s">
        <v>557</v>
      </c>
      <c r="D290" s="6" t="s">
        <v>42</v>
      </c>
      <c r="E290" s="6" t="s">
        <v>33</v>
      </c>
      <c r="F290" s="53">
        <v>235</v>
      </c>
      <c r="G290" s="42">
        <v>1.3848113798387821E-3</v>
      </c>
      <c r="H290" s="41">
        <v>71.434999999999988</v>
      </c>
      <c r="I290" s="41">
        <v>122.46</v>
      </c>
      <c r="J290" s="41"/>
    </row>
    <row r="291" spans="2:10" s="7" customFormat="1" x14ac:dyDescent="0.2">
      <c r="B291" s="4" t="s">
        <v>558</v>
      </c>
      <c r="C291" s="5" t="s">
        <v>548</v>
      </c>
      <c r="D291" s="6" t="s">
        <v>42</v>
      </c>
      <c r="E291" s="6" t="s">
        <v>33</v>
      </c>
      <c r="F291" s="53">
        <v>235</v>
      </c>
      <c r="G291" s="42">
        <v>1.3848113798387821E-3</v>
      </c>
      <c r="H291" s="41">
        <v>71.434999999999988</v>
      </c>
      <c r="I291" s="41">
        <v>122.46</v>
      </c>
      <c r="J291" s="41"/>
    </row>
    <row r="292" spans="2:10" s="7" customFormat="1" x14ac:dyDescent="0.2">
      <c r="B292" s="4" t="s">
        <v>559</v>
      </c>
      <c r="C292" s="5" t="s">
        <v>534</v>
      </c>
      <c r="D292" s="6" t="s">
        <v>42</v>
      </c>
      <c r="E292" s="6" t="s">
        <v>33</v>
      </c>
      <c r="F292" s="53">
        <v>235</v>
      </c>
      <c r="G292" s="42">
        <v>1.3848113798387821E-3</v>
      </c>
      <c r="H292" s="41">
        <v>71.434999999999988</v>
      </c>
      <c r="I292" s="41">
        <v>122.46</v>
      </c>
      <c r="J292" s="41"/>
    </row>
    <row r="293" spans="2:10" s="7" customFormat="1" x14ac:dyDescent="0.2">
      <c r="B293" s="4" t="s">
        <v>560</v>
      </c>
      <c r="C293" s="5" t="s">
        <v>538</v>
      </c>
      <c r="D293" s="6" t="s">
        <v>42</v>
      </c>
      <c r="E293" s="6" t="s">
        <v>33</v>
      </c>
      <c r="F293" s="53">
        <v>235</v>
      </c>
      <c r="G293" s="42">
        <v>1.3848113798387821E-3</v>
      </c>
      <c r="H293" s="41">
        <v>71.434999999999988</v>
      </c>
      <c r="I293" s="41">
        <v>122.46</v>
      </c>
      <c r="J293" s="41"/>
    </row>
    <row r="294" spans="2:10" s="7" customFormat="1" ht="38.25" x14ac:dyDescent="0.2">
      <c r="B294" s="4" t="s">
        <v>561</v>
      </c>
      <c r="C294" s="5" t="s">
        <v>562</v>
      </c>
      <c r="D294" s="6" t="s">
        <v>42</v>
      </c>
      <c r="E294" s="6" t="s">
        <v>33</v>
      </c>
      <c r="F294" s="53">
        <v>359</v>
      </c>
      <c r="G294" s="42">
        <v>1.3848113798387821E-3</v>
      </c>
      <c r="H294" s="41">
        <v>109.081</v>
      </c>
      <c r="I294" s="41">
        <v>186.99600000000001</v>
      </c>
      <c r="J294" s="41"/>
    </row>
    <row r="295" spans="2:10" s="7" customFormat="1" ht="25.5" x14ac:dyDescent="0.2">
      <c r="B295" s="4" t="s">
        <v>563</v>
      </c>
      <c r="C295" s="5" t="s">
        <v>564</v>
      </c>
      <c r="D295" s="6" t="s">
        <v>42</v>
      </c>
      <c r="E295" s="6" t="s">
        <v>33</v>
      </c>
      <c r="F295" s="53">
        <v>248.5</v>
      </c>
      <c r="G295" s="42">
        <v>1.3848113798387821E-3</v>
      </c>
      <c r="H295" s="41">
        <v>75.641999999999996</v>
      </c>
      <c r="I295" s="41">
        <v>129.672</v>
      </c>
      <c r="J295" s="41"/>
    </row>
    <row r="296" spans="2:10" s="7" customFormat="1" ht="25.5" x14ac:dyDescent="0.2">
      <c r="B296" s="4" t="s">
        <v>565</v>
      </c>
      <c r="C296" s="5" t="s">
        <v>566</v>
      </c>
      <c r="D296" s="6" t="s">
        <v>42</v>
      </c>
      <c r="E296" s="6" t="s">
        <v>33</v>
      </c>
      <c r="F296" s="53">
        <v>248.5</v>
      </c>
      <c r="G296" s="42">
        <v>1.3848113798387821E-3</v>
      </c>
      <c r="H296" s="41">
        <v>75.641999999999996</v>
      </c>
      <c r="I296" s="41">
        <v>129.672</v>
      </c>
      <c r="J296" s="41"/>
    </row>
    <row r="297" spans="2:10" s="7" customFormat="1" ht="25.5" x14ac:dyDescent="0.2">
      <c r="B297" s="4" t="s">
        <v>567</v>
      </c>
      <c r="C297" s="5" t="s">
        <v>568</v>
      </c>
      <c r="D297" s="6" t="s">
        <v>42</v>
      </c>
      <c r="E297" s="6" t="s">
        <v>33</v>
      </c>
      <c r="F297" s="53">
        <v>96.5</v>
      </c>
      <c r="G297" s="42">
        <v>1.3848113798387821E-3</v>
      </c>
      <c r="H297" s="41">
        <v>29.414000000000001</v>
      </c>
      <c r="I297" s="41">
        <v>50.423999999999999</v>
      </c>
      <c r="J297" s="41"/>
    </row>
    <row r="298" spans="2:10" s="7" customFormat="1" ht="25.5" x14ac:dyDescent="0.2">
      <c r="B298" s="4" t="s">
        <v>569</v>
      </c>
      <c r="C298" s="5" t="s">
        <v>570</v>
      </c>
      <c r="D298" s="6" t="s">
        <v>32</v>
      </c>
      <c r="E298" s="6" t="s">
        <v>33</v>
      </c>
      <c r="F298" s="53">
        <v>41.4</v>
      </c>
      <c r="G298" s="42">
        <v>1.3848113798387821E-3</v>
      </c>
      <c r="H298" s="41">
        <v>12.6</v>
      </c>
      <c r="I298" s="41">
        <v>21.599999999999998</v>
      </c>
      <c r="J298" s="41"/>
    </row>
    <row r="299" spans="2:10" s="7" customFormat="1" ht="25.5" x14ac:dyDescent="0.2">
      <c r="B299" s="4" t="s">
        <v>571</v>
      </c>
      <c r="C299" s="5" t="s">
        <v>572</v>
      </c>
      <c r="D299" s="6" t="s">
        <v>32</v>
      </c>
      <c r="E299" s="6" t="s">
        <v>33</v>
      </c>
      <c r="F299" s="53">
        <v>69</v>
      </c>
      <c r="G299" s="42">
        <v>1.3848113798387821E-3</v>
      </c>
      <c r="H299" s="41">
        <v>21.007000000000001</v>
      </c>
      <c r="I299" s="41">
        <v>36.012</v>
      </c>
      <c r="J299" s="41"/>
    </row>
    <row r="300" spans="2:10" s="7" customFormat="1" x14ac:dyDescent="0.2">
      <c r="B300" s="4" t="s">
        <v>573</v>
      </c>
      <c r="C300" s="5" t="s">
        <v>574</v>
      </c>
      <c r="D300" s="6" t="s">
        <v>42</v>
      </c>
      <c r="E300" s="6" t="s">
        <v>20</v>
      </c>
      <c r="F300" s="53">
        <v>96.5</v>
      </c>
      <c r="G300" s="42">
        <v>1.3848113798387821E-3</v>
      </c>
      <c r="H300" s="41">
        <v>29.414000000000001</v>
      </c>
      <c r="I300" s="41">
        <v>50.423999999999999</v>
      </c>
      <c r="J300" s="41"/>
    </row>
    <row r="301" spans="2:10" s="7" customFormat="1" x14ac:dyDescent="0.2">
      <c r="B301" s="8" t="s">
        <v>575</v>
      </c>
      <c r="C301" s="5" t="s">
        <v>576</v>
      </c>
      <c r="D301" s="6"/>
      <c r="E301" s="6"/>
      <c r="F301" s="50"/>
      <c r="G301" s="40" t="e">
        <f>#REF!/(COUNTA(#REF!))</f>
        <v>#REF!</v>
      </c>
      <c r="H301" s="41" t="s">
        <v>49</v>
      </c>
      <c r="I301" s="41" t="s">
        <v>49</v>
      </c>
      <c r="J301" s="41"/>
    </row>
    <row r="302" spans="2:10" s="7" customFormat="1" x14ac:dyDescent="0.2">
      <c r="B302" s="4" t="s">
        <v>577</v>
      </c>
      <c r="C302" s="5" t="s">
        <v>578</v>
      </c>
      <c r="D302" s="6"/>
      <c r="E302" s="6"/>
      <c r="F302" s="50"/>
      <c r="G302" s="42">
        <v>2.1630500633520902E-4</v>
      </c>
      <c r="H302" s="41" t="s">
        <v>49</v>
      </c>
      <c r="I302" s="41" t="s">
        <v>49</v>
      </c>
      <c r="J302" s="41"/>
    </row>
    <row r="303" spans="2:10" s="7" customFormat="1" x14ac:dyDescent="0.2">
      <c r="B303" s="4" t="s">
        <v>579</v>
      </c>
      <c r="C303" s="5" t="s">
        <v>580</v>
      </c>
      <c r="D303" s="6" t="s">
        <v>66</v>
      </c>
      <c r="E303" s="6" t="s">
        <v>20</v>
      </c>
      <c r="F303" s="53">
        <v>207.4</v>
      </c>
      <c r="G303" s="42">
        <v>2.1630500633520902E-4</v>
      </c>
      <c r="H303" s="41">
        <v>55.558999999999997</v>
      </c>
      <c r="I303" s="41">
        <v>95.244</v>
      </c>
      <c r="J303" s="41"/>
    </row>
    <row r="304" spans="2:10" s="7" customFormat="1" x14ac:dyDescent="0.2">
      <c r="B304" s="4" t="s">
        <v>581</v>
      </c>
      <c r="C304" s="5" t="s">
        <v>582</v>
      </c>
      <c r="D304" s="6" t="s">
        <v>66</v>
      </c>
      <c r="E304" s="6" t="s">
        <v>20</v>
      </c>
      <c r="F304" s="53">
        <v>345.7</v>
      </c>
      <c r="G304" s="42">
        <v>2.1630500633520902E-4</v>
      </c>
      <c r="H304" s="41">
        <v>105.056</v>
      </c>
      <c r="I304" s="41">
        <v>180.096</v>
      </c>
      <c r="J304" s="41"/>
    </row>
    <row r="305" spans="2:10" s="7" customFormat="1" x14ac:dyDescent="0.2">
      <c r="B305" s="4" t="s">
        <v>583</v>
      </c>
      <c r="C305" s="5" t="s">
        <v>584</v>
      </c>
      <c r="D305" s="6" t="s">
        <v>32</v>
      </c>
      <c r="E305" s="6" t="s">
        <v>20</v>
      </c>
      <c r="F305" s="53">
        <v>165.9</v>
      </c>
      <c r="G305" s="42">
        <v>2.1630500633520902E-4</v>
      </c>
      <c r="H305" s="41">
        <v>33.333999999999996</v>
      </c>
      <c r="I305" s="41">
        <v>57.143999999999998</v>
      </c>
      <c r="J305" s="41"/>
    </row>
    <row r="306" spans="2:10" s="7" customFormat="1" x14ac:dyDescent="0.2">
      <c r="B306" s="4" t="s">
        <v>585</v>
      </c>
      <c r="C306" s="5" t="s">
        <v>586</v>
      </c>
      <c r="D306" s="6" t="s">
        <v>32</v>
      </c>
      <c r="E306" s="6" t="s">
        <v>20</v>
      </c>
      <c r="F306" s="53">
        <v>331.5</v>
      </c>
      <c r="G306" s="42">
        <v>2.1630500633520902E-4</v>
      </c>
      <c r="H306" s="41">
        <v>55.558999999999997</v>
      </c>
      <c r="I306" s="41">
        <v>95.244</v>
      </c>
      <c r="J306" s="41"/>
    </row>
    <row r="307" spans="2:10" s="7" customFormat="1" ht="25.5" x14ac:dyDescent="0.2">
      <c r="B307" s="4" t="s">
        <v>2665</v>
      </c>
      <c r="C307" s="5" t="s">
        <v>2666</v>
      </c>
      <c r="D307" s="6" t="s">
        <v>19</v>
      </c>
      <c r="E307" s="6" t="s">
        <v>20</v>
      </c>
      <c r="F307" s="53">
        <v>72</v>
      </c>
      <c r="G307" s="42"/>
      <c r="H307" s="41"/>
      <c r="I307" s="41"/>
      <c r="J307" s="41"/>
    </row>
    <row r="308" spans="2:10" s="7" customFormat="1" x14ac:dyDescent="0.2">
      <c r="B308" s="4" t="s">
        <v>587</v>
      </c>
      <c r="C308" s="5" t="s">
        <v>588</v>
      </c>
      <c r="D308" s="6"/>
      <c r="E308" s="6"/>
      <c r="F308" s="50"/>
      <c r="G308" s="42">
        <v>2.1630500633520902E-4</v>
      </c>
      <c r="H308" s="41" t="s">
        <v>49</v>
      </c>
      <c r="I308" s="41" t="s">
        <v>49</v>
      </c>
      <c r="J308" s="41"/>
    </row>
    <row r="309" spans="2:10" s="7" customFormat="1" ht="25.5" x14ac:dyDescent="0.2">
      <c r="B309" s="4" t="s">
        <v>589</v>
      </c>
      <c r="C309" s="5" t="s">
        <v>590</v>
      </c>
      <c r="D309" s="6" t="s">
        <v>42</v>
      </c>
      <c r="E309" s="6" t="s">
        <v>20</v>
      </c>
      <c r="F309" s="53">
        <v>13.5</v>
      </c>
      <c r="G309" s="42">
        <v>2.1630500633520902E-4</v>
      </c>
      <c r="H309" s="41">
        <v>3.899</v>
      </c>
      <c r="I309" s="41">
        <v>6.6840000000000002</v>
      </c>
      <c r="J309" s="41"/>
    </row>
    <row r="310" spans="2:10" s="7" customFormat="1" ht="25.5" x14ac:dyDescent="0.2">
      <c r="B310" s="4" t="s">
        <v>591</v>
      </c>
      <c r="C310" s="5" t="s">
        <v>592</v>
      </c>
      <c r="D310" s="6" t="s">
        <v>42</v>
      </c>
      <c r="E310" s="6" t="s">
        <v>20</v>
      </c>
      <c r="F310" s="53">
        <v>11</v>
      </c>
      <c r="G310" s="42">
        <v>2.1630500633520902E-4</v>
      </c>
      <c r="H310" s="41">
        <v>3.36</v>
      </c>
      <c r="I310" s="41">
        <v>5.76</v>
      </c>
      <c r="J310" s="41"/>
    </row>
    <row r="311" spans="2:10" s="7" customFormat="1" x14ac:dyDescent="0.2">
      <c r="B311" s="4" t="s">
        <v>593</v>
      </c>
      <c r="C311" s="5" t="s">
        <v>594</v>
      </c>
      <c r="D311" s="6" t="s">
        <v>32</v>
      </c>
      <c r="E311" s="6" t="s">
        <v>20</v>
      </c>
      <c r="F311" s="53">
        <v>12.4</v>
      </c>
      <c r="G311" s="42">
        <v>2.1630500633520902E-4</v>
      </c>
      <c r="H311" s="41">
        <v>3.78</v>
      </c>
      <c r="I311" s="41">
        <v>6.48</v>
      </c>
      <c r="J311" s="41"/>
    </row>
    <row r="312" spans="2:10" s="7" customFormat="1" x14ac:dyDescent="0.2">
      <c r="B312" s="4" t="s">
        <v>595</v>
      </c>
      <c r="C312" s="5" t="s">
        <v>225</v>
      </c>
      <c r="D312" s="6"/>
      <c r="E312" s="6"/>
      <c r="F312" s="50"/>
      <c r="G312" s="42">
        <v>2.1630500633520902E-4</v>
      </c>
      <c r="H312" s="41" t="s">
        <v>49</v>
      </c>
      <c r="I312" s="41" t="s">
        <v>49</v>
      </c>
      <c r="J312" s="41"/>
    </row>
    <row r="313" spans="2:10" s="7" customFormat="1" x14ac:dyDescent="0.2">
      <c r="B313" s="4" t="s">
        <v>596</v>
      </c>
      <c r="C313" s="5" t="s">
        <v>597</v>
      </c>
      <c r="D313" s="6" t="s">
        <v>42</v>
      </c>
      <c r="E313" s="6" t="s">
        <v>20</v>
      </c>
      <c r="F313" s="53">
        <v>13.5</v>
      </c>
      <c r="G313" s="42">
        <v>7.2833286981309855E-4</v>
      </c>
      <c r="H313" s="43">
        <v>4.1999999999999993</v>
      </c>
      <c r="I313" s="41">
        <v>7.1999999999999993</v>
      </c>
      <c r="J313" s="41"/>
    </row>
    <row r="314" spans="2:10" s="7" customFormat="1" x14ac:dyDescent="0.2">
      <c r="B314" s="4" t="s">
        <v>598</v>
      </c>
      <c r="C314" s="5" t="s">
        <v>599</v>
      </c>
      <c r="D314" s="6" t="s">
        <v>42</v>
      </c>
      <c r="E314" s="6" t="s">
        <v>20</v>
      </c>
      <c r="F314" s="53">
        <v>8.1999999999999993</v>
      </c>
      <c r="G314" s="42">
        <v>7.2833286981309855E-4</v>
      </c>
      <c r="H314" s="41">
        <v>2.5129999999999999</v>
      </c>
      <c r="I314" s="41">
        <v>4.3079999999999998</v>
      </c>
      <c r="J314" s="41"/>
    </row>
    <row r="315" spans="2:10" s="7" customFormat="1" x14ac:dyDescent="0.2">
      <c r="B315" s="4" t="s">
        <v>600</v>
      </c>
      <c r="C315" s="5" t="s">
        <v>601</v>
      </c>
      <c r="D315" s="6" t="s">
        <v>42</v>
      </c>
      <c r="E315" s="6" t="s">
        <v>20</v>
      </c>
      <c r="F315" s="53">
        <v>6.9</v>
      </c>
      <c r="G315" s="42">
        <v>7.2833286981309855E-4</v>
      </c>
      <c r="H315" s="41">
        <v>2.0999999999999996</v>
      </c>
      <c r="I315" s="41">
        <v>3.5999999999999996</v>
      </c>
      <c r="J315" s="41"/>
    </row>
    <row r="316" spans="2:10" s="7" customFormat="1" x14ac:dyDescent="0.2">
      <c r="B316" s="4" t="s">
        <v>602</v>
      </c>
      <c r="C316" s="5" t="s">
        <v>603</v>
      </c>
      <c r="D316" s="6" t="s">
        <v>42</v>
      </c>
      <c r="E316" s="6" t="s">
        <v>33</v>
      </c>
      <c r="F316" s="53">
        <v>11</v>
      </c>
      <c r="G316" s="42">
        <v>7.2833286981309855E-4</v>
      </c>
      <c r="H316" s="41">
        <v>3.36</v>
      </c>
      <c r="I316" s="41">
        <v>5.76</v>
      </c>
      <c r="J316" s="41"/>
    </row>
    <row r="317" spans="2:10" s="7" customFormat="1" x14ac:dyDescent="0.2">
      <c r="B317" s="4" t="s">
        <v>604</v>
      </c>
      <c r="C317" s="5" t="s">
        <v>605</v>
      </c>
      <c r="D317" s="6" t="s">
        <v>42</v>
      </c>
      <c r="E317" s="6" t="s">
        <v>20</v>
      </c>
      <c r="F317" s="53">
        <v>9.5</v>
      </c>
      <c r="G317" s="42">
        <v>7.2833286981309855E-4</v>
      </c>
      <c r="H317" s="41">
        <v>2.2189999999999999</v>
      </c>
      <c r="I317" s="41">
        <v>3.8039999999999998</v>
      </c>
      <c r="J317" s="41"/>
    </row>
    <row r="318" spans="2:10" s="7" customFormat="1" x14ac:dyDescent="0.2">
      <c r="B318" s="4" t="s">
        <v>606</v>
      </c>
      <c r="C318" s="5" t="s">
        <v>607</v>
      </c>
      <c r="D318" s="6" t="s">
        <v>42</v>
      </c>
      <c r="E318" s="6" t="s">
        <v>20</v>
      </c>
      <c r="F318" s="53">
        <v>8.1999999999999993</v>
      </c>
      <c r="G318" s="42">
        <v>7.2833286981309855E-4</v>
      </c>
      <c r="H318" s="41">
        <v>2.2189999999999999</v>
      </c>
      <c r="I318" s="41">
        <v>3.8039999999999998</v>
      </c>
      <c r="J318" s="41"/>
    </row>
    <row r="319" spans="2:10" s="7" customFormat="1" x14ac:dyDescent="0.2">
      <c r="B319" s="4" t="s">
        <v>608</v>
      </c>
      <c r="C319" s="5" t="s">
        <v>609</v>
      </c>
      <c r="D319" s="6" t="s">
        <v>32</v>
      </c>
      <c r="E319" s="6" t="s">
        <v>20</v>
      </c>
      <c r="F319" s="53">
        <v>7.15</v>
      </c>
      <c r="G319" s="42">
        <v>7.2833286981309855E-4</v>
      </c>
      <c r="H319" s="41">
        <v>2.2189999999999999</v>
      </c>
      <c r="I319" s="41">
        <v>3.8039999999999998</v>
      </c>
      <c r="J319" s="41"/>
    </row>
    <row r="320" spans="2:10" s="7" customFormat="1" ht="25.5" x14ac:dyDescent="0.2">
      <c r="B320" s="4" t="s">
        <v>2668</v>
      </c>
      <c r="C320" s="5" t="s">
        <v>2669</v>
      </c>
      <c r="D320" s="6" t="s">
        <v>42</v>
      </c>
      <c r="E320" s="6" t="s">
        <v>20</v>
      </c>
      <c r="F320" s="53">
        <v>3.15</v>
      </c>
      <c r="G320" s="42"/>
      <c r="H320" s="41"/>
      <c r="I320" s="41"/>
      <c r="J320" s="41"/>
    </row>
    <row r="321" spans="2:10" s="7" customFormat="1" ht="25.5" x14ac:dyDescent="0.2">
      <c r="B321" s="4" t="s">
        <v>2672</v>
      </c>
      <c r="C321" s="5" t="s">
        <v>2673</v>
      </c>
      <c r="D321" s="6" t="s">
        <v>42</v>
      </c>
      <c r="E321" s="6" t="s">
        <v>20</v>
      </c>
      <c r="F321" s="53">
        <v>1.5</v>
      </c>
      <c r="G321" s="42"/>
      <c r="H321" s="41"/>
      <c r="I321" s="41"/>
      <c r="J321" s="41"/>
    </row>
    <row r="322" spans="2:10" s="7" customFormat="1" x14ac:dyDescent="0.2">
      <c r="B322" s="8" t="s">
        <v>610</v>
      </c>
      <c r="C322" s="11" t="s">
        <v>611</v>
      </c>
      <c r="D322" s="6"/>
      <c r="E322" s="6"/>
      <c r="F322" s="50"/>
      <c r="G322" s="40" t="e">
        <f>#REF!/(COUNTA(#REF!))</f>
        <v>#REF!</v>
      </c>
      <c r="H322" s="41" t="s">
        <v>49</v>
      </c>
      <c r="I322" s="41" t="s">
        <v>49</v>
      </c>
      <c r="J322" s="41"/>
    </row>
    <row r="323" spans="2:10" s="7" customFormat="1" x14ac:dyDescent="0.2">
      <c r="B323" s="4" t="s">
        <v>612</v>
      </c>
      <c r="C323" s="11" t="s">
        <v>192</v>
      </c>
      <c r="D323" s="6"/>
      <c r="E323" s="6"/>
      <c r="F323" s="50"/>
      <c r="G323" s="42">
        <v>1.0495398551461416E-5</v>
      </c>
      <c r="H323" s="41" t="s">
        <v>49</v>
      </c>
      <c r="I323" s="41" t="s">
        <v>49</v>
      </c>
      <c r="J323" s="41"/>
    </row>
    <row r="324" spans="2:10" s="7" customFormat="1" x14ac:dyDescent="0.2">
      <c r="B324" s="4" t="s">
        <v>613</v>
      </c>
      <c r="C324" s="5" t="s">
        <v>614</v>
      </c>
      <c r="D324" s="6"/>
      <c r="E324" s="6"/>
      <c r="F324" s="50"/>
      <c r="G324" s="42">
        <v>1.0495398551461416E-5</v>
      </c>
      <c r="H324" s="41" t="s">
        <v>49</v>
      </c>
      <c r="I324" s="41" t="s">
        <v>49</v>
      </c>
      <c r="J324" s="41"/>
    </row>
    <row r="325" spans="2:10" s="7" customFormat="1" x14ac:dyDescent="0.2">
      <c r="B325" s="4" t="s">
        <v>615</v>
      </c>
      <c r="C325" s="5" t="s">
        <v>616</v>
      </c>
      <c r="D325" s="6" t="s">
        <v>42</v>
      </c>
      <c r="E325" s="6" t="s">
        <v>33</v>
      </c>
      <c r="F325" s="53">
        <v>55.3</v>
      </c>
      <c r="G325" s="42">
        <v>1.0495398551461416E-5</v>
      </c>
      <c r="H325" s="41">
        <v>16.806999999999999</v>
      </c>
      <c r="I325" s="41">
        <v>28.812000000000001</v>
      </c>
      <c r="J325" s="41"/>
    </row>
    <row r="326" spans="2:10" s="7" customFormat="1" x14ac:dyDescent="0.2">
      <c r="B326" s="4" t="s">
        <v>617</v>
      </c>
      <c r="C326" s="5" t="s">
        <v>618</v>
      </c>
      <c r="D326" s="6" t="s">
        <v>42</v>
      </c>
      <c r="E326" s="6" t="s">
        <v>33</v>
      </c>
      <c r="F326" s="53">
        <v>114</v>
      </c>
      <c r="G326" s="42">
        <v>1.0495398551461416E-5</v>
      </c>
      <c r="H326" s="41">
        <v>34.65</v>
      </c>
      <c r="I326" s="41">
        <v>59.4</v>
      </c>
      <c r="J326" s="41"/>
    </row>
    <row r="327" spans="2:10" s="7" customFormat="1" x14ac:dyDescent="0.2">
      <c r="B327" s="4" t="s">
        <v>619</v>
      </c>
      <c r="C327" s="5" t="s">
        <v>620</v>
      </c>
      <c r="D327" s="6" t="s">
        <v>66</v>
      </c>
      <c r="E327" s="6" t="s">
        <v>33</v>
      </c>
      <c r="F327" s="53">
        <v>27.5</v>
      </c>
      <c r="G327" s="42">
        <v>1.0495398551461416E-5</v>
      </c>
      <c r="H327" s="41">
        <v>8.407</v>
      </c>
      <c r="I327" s="41">
        <v>14.411999999999999</v>
      </c>
      <c r="J327" s="41"/>
    </row>
    <row r="328" spans="2:10" s="7" customFormat="1" x14ac:dyDescent="0.2">
      <c r="B328" s="4" t="s">
        <v>621</v>
      </c>
      <c r="C328" s="5" t="s">
        <v>622</v>
      </c>
      <c r="D328" s="6" t="s">
        <v>66</v>
      </c>
      <c r="E328" s="6" t="s">
        <v>33</v>
      </c>
      <c r="F328" s="53">
        <v>27.5</v>
      </c>
      <c r="G328" s="42">
        <v>1.0495398551461416E-5</v>
      </c>
      <c r="H328" s="41">
        <v>8.407</v>
      </c>
      <c r="I328" s="41">
        <v>14.411999999999999</v>
      </c>
      <c r="J328" s="41"/>
    </row>
    <row r="329" spans="2:10" s="7" customFormat="1" x14ac:dyDescent="0.2">
      <c r="B329" s="4" t="s">
        <v>623</v>
      </c>
      <c r="C329" s="5" t="s">
        <v>624</v>
      </c>
      <c r="D329" s="6" t="s">
        <v>66</v>
      </c>
      <c r="E329" s="6" t="s">
        <v>33</v>
      </c>
      <c r="F329" s="53">
        <v>27.5</v>
      </c>
      <c r="G329" s="42">
        <v>1.0495398551461416E-5</v>
      </c>
      <c r="H329" s="41">
        <v>8.407</v>
      </c>
      <c r="I329" s="41">
        <v>14.411999999999999</v>
      </c>
      <c r="J329" s="41"/>
    </row>
    <row r="330" spans="2:10" s="7" customFormat="1" x14ac:dyDescent="0.2">
      <c r="B330" s="4" t="s">
        <v>625</v>
      </c>
      <c r="C330" s="5" t="s">
        <v>626</v>
      </c>
      <c r="D330" s="6" t="s">
        <v>66</v>
      </c>
      <c r="E330" s="6" t="s">
        <v>33</v>
      </c>
      <c r="F330" s="53">
        <v>27.5</v>
      </c>
      <c r="G330" s="42">
        <v>1.0495398551461416E-5</v>
      </c>
      <c r="H330" s="41">
        <v>8.407</v>
      </c>
      <c r="I330" s="41">
        <v>14.411999999999999</v>
      </c>
      <c r="J330" s="41"/>
    </row>
    <row r="331" spans="2:10" s="7" customFormat="1" x14ac:dyDescent="0.2">
      <c r="B331" s="4" t="s">
        <v>627</v>
      </c>
      <c r="C331" s="5" t="s">
        <v>628</v>
      </c>
      <c r="D331" s="6" t="s">
        <v>66</v>
      </c>
      <c r="E331" s="6" t="s">
        <v>33</v>
      </c>
      <c r="F331" s="53">
        <v>59</v>
      </c>
      <c r="G331" s="42">
        <v>1.0495398551461416E-5</v>
      </c>
      <c r="H331" s="41">
        <v>17.983000000000001</v>
      </c>
      <c r="I331" s="41">
        <v>30.827999999999999</v>
      </c>
      <c r="J331" s="41"/>
    </row>
    <row r="332" spans="2:10" s="7" customFormat="1" x14ac:dyDescent="0.2">
      <c r="B332" s="4" t="s">
        <v>629</v>
      </c>
      <c r="C332" s="5" t="s">
        <v>630</v>
      </c>
      <c r="D332" s="6" t="s">
        <v>66</v>
      </c>
      <c r="E332" s="6" t="s">
        <v>33</v>
      </c>
      <c r="F332" s="53">
        <v>27.5</v>
      </c>
      <c r="G332" s="42">
        <v>1.0495398551461416E-5</v>
      </c>
      <c r="H332" s="41">
        <v>8.407</v>
      </c>
      <c r="I332" s="41">
        <v>14.411999999999999</v>
      </c>
      <c r="J332" s="41"/>
    </row>
    <row r="333" spans="2:10" s="7" customFormat="1" x14ac:dyDescent="0.2">
      <c r="B333" s="4" t="s">
        <v>631</v>
      </c>
      <c r="C333" s="5" t="s">
        <v>632</v>
      </c>
      <c r="D333" s="6" t="s">
        <v>66</v>
      </c>
      <c r="E333" s="6" t="s">
        <v>33</v>
      </c>
      <c r="F333" s="53">
        <v>27.5</v>
      </c>
      <c r="G333" s="42">
        <v>1.0495398551461416E-5</v>
      </c>
      <c r="H333" s="41">
        <v>8.407</v>
      </c>
      <c r="I333" s="41">
        <v>14.411999999999999</v>
      </c>
      <c r="J333" s="41"/>
    </row>
    <row r="334" spans="2:10" s="7" customFormat="1" x14ac:dyDescent="0.2">
      <c r="B334" s="4" t="s">
        <v>633</v>
      </c>
      <c r="C334" s="5" t="s">
        <v>634</v>
      </c>
      <c r="D334" s="6" t="s">
        <v>66</v>
      </c>
      <c r="E334" s="6" t="s">
        <v>33</v>
      </c>
      <c r="F334" s="53">
        <v>25</v>
      </c>
      <c r="G334" s="42">
        <v>1.0495398551461416E-5</v>
      </c>
      <c r="H334" s="41">
        <v>3.3319999999999999</v>
      </c>
      <c r="I334" s="41">
        <v>5.7119999999999997</v>
      </c>
      <c r="J334" s="41"/>
    </row>
    <row r="335" spans="2:10" s="7" customFormat="1" x14ac:dyDescent="0.2">
      <c r="B335" s="4" t="s">
        <v>635</v>
      </c>
      <c r="C335" s="5" t="s">
        <v>636</v>
      </c>
      <c r="D335" s="6" t="s">
        <v>66</v>
      </c>
      <c r="E335" s="6" t="s">
        <v>33</v>
      </c>
      <c r="F335" s="53">
        <v>23</v>
      </c>
      <c r="G335" s="42">
        <v>1.0495398551461416E-5</v>
      </c>
      <c r="H335" s="41">
        <v>7</v>
      </c>
      <c r="I335" s="41">
        <v>12</v>
      </c>
      <c r="J335" s="41"/>
    </row>
    <row r="336" spans="2:10" s="7" customFormat="1" ht="25.5" x14ac:dyDescent="0.2">
      <c r="B336" s="4" t="s">
        <v>637</v>
      </c>
      <c r="C336" s="5" t="s">
        <v>638</v>
      </c>
      <c r="D336" s="6" t="s">
        <v>42</v>
      </c>
      <c r="E336" s="6" t="s">
        <v>33</v>
      </c>
      <c r="F336" s="53">
        <v>25</v>
      </c>
      <c r="G336" s="42">
        <v>1.0495398551461416E-5</v>
      </c>
      <c r="H336" s="41">
        <v>7.6999999999999993</v>
      </c>
      <c r="I336" s="41">
        <v>13.2</v>
      </c>
      <c r="J336" s="41"/>
    </row>
    <row r="337" spans="2:10" s="7" customFormat="1" ht="25.5" x14ac:dyDescent="0.2">
      <c r="B337" s="4" t="s">
        <v>639</v>
      </c>
      <c r="C337" s="5" t="s">
        <v>640</v>
      </c>
      <c r="D337" s="6" t="s">
        <v>42</v>
      </c>
      <c r="E337" s="6" t="s">
        <v>33</v>
      </c>
      <c r="F337" s="53">
        <v>69</v>
      </c>
      <c r="G337" s="42">
        <v>1.0495398551461416E-5</v>
      </c>
      <c r="H337" s="41">
        <v>21.007000000000001</v>
      </c>
      <c r="I337" s="41">
        <v>36.012</v>
      </c>
      <c r="J337" s="41"/>
    </row>
    <row r="338" spans="2:10" s="7" customFormat="1" x14ac:dyDescent="0.2">
      <c r="B338" s="4" t="s">
        <v>641</v>
      </c>
      <c r="C338" s="5" t="s">
        <v>642</v>
      </c>
      <c r="D338" s="6" t="s">
        <v>42</v>
      </c>
      <c r="E338" s="6" t="s">
        <v>33</v>
      </c>
      <c r="F338" s="53">
        <v>69</v>
      </c>
      <c r="G338" s="42">
        <v>1.0495398551461416E-5</v>
      </c>
      <c r="H338" s="41">
        <v>21.007000000000001</v>
      </c>
      <c r="I338" s="41">
        <v>36.012</v>
      </c>
      <c r="J338" s="41"/>
    </row>
    <row r="339" spans="2:10" s="7" customFormat="1" x14ac:dyDescent="0.2">
      <c r="B339" s="4" t="s">
        <v>643</v>
      </c>
      <c r="C339" s="5" t="s">
        <v>644</v>
      </c>
      <c r="D339" s="6" t="s">
        <v>42</v>
      </c>
      <c r="E339" s="6" t="s">
        <v>33</v>
      </c>
      <c r="F339" s="53">
        <v>69</v>
      </c>
      <c r="G339" s="42">
        <v>1.0495398551461416E-5</v>
      </c>
      <c r="H339" s="41">
        <v>21.007000000000001</v>
      </c>
      <c r="I339" s="41">
        <v>36.012</v>
      </c>
      <c r="J339" s="41"/>
    </row>
    <row r="340" spans="2:10" s="7" customFormat="1" x14ac:dyDescent="0.2">
      <c r="B340" s="4" t="s">
        <v>645</v>
      </c>
      <c r="C340" s="5" t="s">
        <v>646</v>
      </c>
      <c r="D340" s="6" t="s">
        <v>42</v>
      </c>
      <c r="E340" s="6" t="s">
        <v>33</v>
      </c>
      <c r="F340" s="53">
        <v>76</v>
      </c>
      <c r="G340" s="42">
        <v>1.0495398551461416E-5</v>
      </c>
      <c r="H340" s="41">
        <v>23.114000000000001</v>
      </c>
      <c r="I340" s="41">
        <v>39.624000000000002</v>
      </c>
      <c r="J340" s="41"/>
    </row>
    <row r="341" spans="2:10" s="7" customFormat="1" x14ac:dyDescent="0.2">
      <c r="B341" s="4" t="s">
        <v>647</v>
      </c>
      <c r="C341" s="5" t="s">
        <v>648</v>
      </c>
      <c r="D341" s="6" t="s">
        <v>42</v>
      </c>
      <c r="E341" s="6" t="s">
        <v>33</v>
      </c>
      <c r="F341" s="53">
        <v>69</v>
      </c>
      <c r="G341" s="42">
        <v>1.0495398551461416E-5</v>
      </c>
      <c r="H341" s="41">
        <v>21.007000000000001</v>
      </c>
      <c r="I341" s="41">
        <v>36.012</v>
      </c>
      <c r="J341" s="41"/>
    </row>
    <row r="342" spans="2:10" s="7" customFormat="1" ht="38.25" x14ac:dyDescent="0.2">
      <c r="B342" s="4" t="s">
        <v>649</v>
      </c>
      <c r="C342" s="5" t="s">
        <v>650</v>
      </c>
      <c r="D342" s="6" t="s">
        <v>42</v>
      </c>
      <c r="E342" s="6" t="s">
        <v>33</v>
      </c>
      <c r="F342" s="53">
        <v>110</v>
      </c>
      <c r="G342" s="42">
        <v>1.0495398551461416E-5</v>
      </c>
      <c r="H342" s="41">
        <v>33.613999999999997</v>
      </c>
      <c r="I342" s="41">
        <v>57.624000000000002</v>
      </c>
      <c r="J342" s="41"/>
    </row>
    <row r="343" spans="2:10" s="7" customFormat="1" ht="38.25" x14ac:dyDescent="0.2">
      <c r="B343" s="4" t="s">
        <v>651</v>
      </c>
      <c r="C343" s="5" t="s">
        <v>652</v>
      </c>
      <c r="D343" s="6" t="s">
        <v>42</v>
      </c>
      <c r="E343" s="6" t="s">
        <v>33</v>
      </c>
      <c r="F343" s="53">
        <v>124</v>
      </c>
      <c r="G343" s="42">
        <v>1.0495398551461416E-5</v>
      </c>
      <c r="H343" s="41">
        <v>37.820999999999998</v>
      </c>
      <c r="I343" s="41">
        <v>64.835999999999999</v>
      </c>
      <c r="J343" s="41"/>
    </row>
    <row r="344" spans="2:10" s="7" customFormat="1" x14ac:dyDescent="0.2">
      <c r="B344" s="4" t="s">
        <v>653</v>
      </c>
      <c r="C344" s="5" t="s">
        <v>654</v>
      </c>
      <c r="D344" s="6" t="s">
        <v>42</v>
      </c>
      <c r="E344" s="6" t="s">
        <v>33</v>
      </c>
      <c r="F344" s="53">
        <v>138</v>
      </c>
      <c r="G344" s="42">
        <v>1.0495398551461416E-5</v>
      </c>
      <c r="H344" s="41">
        <v>42.021000000000001</v>
      </c>
      <c r="I344" s="41">
        <v>72.036000000000001</v>
      </c>
      <c r="J344" s="41"/>
    </row>
    <row r="345" spans="2:10" s="7" customFormat="1" x14ac:dyDescent="0.2">
      <c r="B345" s="4" t="s">
        <v>655</v>
      </c>
      <c r="C345" s="5" t="s">
        <v>656</v>
      </c>
      <c r="D345" s="6" t="s">
        <v>42</v>
      </c>
      <c r="E345" s="6" t="s">
        <v>33</v>
      </c>
      <c r="F345" s="53">
        <v>149</v>
      </c>
      <c r="G345" s="42">
        <v>1.0495398551461416E-5</v>
      </c>
      <c r="H345" s="41">
        <v>45.5</v>
      </c>
      <c r="I345" s="41">
        <v>78</v>
      </c>
      <c r="J345" s="41"/>
    </row>
    <row r="346" spans="2:10" s="7" customFormat="1" x14ac:dyDescent="0.2">
      <c r="B346" s="4" t="s">
        <v>657</v>
      </c>
      <c r="C346" s="5" t="s">
        <v>658</v>
      </c>
      <c r="D346" s="6" t="s">
        <v>42</v>
      </c>
      <c r="E346" s="6" t="s">
        <v>33</v>
      </c>
      <c r="F346" s="53">
        <v>160</v>
      </c>
      <c r="G346" s="42">
        <v>1.0495398551461416E-5</v>
      </c>
      <c r="H346" s="41">
        <v>49</v>
      </c>
      <c r="I346" s="41">
        <v>84</v>
      </c>
      <c r="J346" s="41"/>
    </row>
    <row r="347" spans="2:10" s="7" customFormat="1" x14ac:dyDescent="0.2">
      <c r="B347" s="4" t="s">
        <v>659</v>
      </c>
      <c r="C347" s="5" t="s">
        <v>660</v>
      </c>
      <c r="D347" s="6" t="s">
        <v>32</v>
      </c>
      <c r="E347" s="6" t="s">
        <v>33</v>
      </c>
      <c r="F347" s="53">
        <v>83</v>
      </c>
      <c r="G347" s="42">
        <v>1.0495398551461416E-5</v>
      </c>
      <c r="H347" s="41">
        <v>22.224999999999998</v>
      </c>
      <c r="I347" s="41">
        <v>38.1</v>
      </c>
      <c r="J347" s="41"/>
    </row>
    <row r="348" spans="2:10" s="7" customFormat="1" ht="25.5" x14ac:dyDescent="0.2">
      <c r="B348" s="4" t="s">
        <v>661</v>
      </c>
      <c r="C348" s="5" t="s">
        <v>662</v>
      </c>
      <c r="D348" s="6" t="s">
        <v>42</v>
      </c>
      <c r="E348" s="6" t="s">
        <v>33</v>
      </c>
      <c r="F348" s="53">
        <v>110</v>
      </c>
      <c r="G348" s="42">
        <v>1.0495398551461416E-5</v>
      </c>
      <c r="H348" s="41">
        <v>31.114999999999998</v>
      </c>
      <c r="I348" s="41">
        <v>53.34</v>
      </c>
      <c r="J348" s="41"/>
    </row>
    <row r="349" spans="2:10" s="7" customFormat="1" ht="25.5" x14ac:dyDescent="0.2">
      <c r="B349" s="4" t="s">
        <v>663</v>
      </c>
      <c r="C349" s="5" t="s">
        <v>664</v>
      </c>
      <c r="D349" s="6" t="s">
        <v>42</v>
      </c>
      <c r="E349" s="6" t="s">
        <v>33</v>
      </c>
      <c r="F349" s="53">
        <v>165</v>
      </c>
      <c r="G349" s="42">
        <v>1.0495398551461416E-5</v>
      </c>
      <c r="H349" s="41">
        <v>50.420999999999999</v>
      </c>
      <c r="I349" s="41">
        <v>86.435999999999993</v>
      </c>
      <c r="J349" s="41"/>
    </row>
    <row r="350" spans="2:10" s="7" customFormat="1" x14ac:dyDescent="0.2">
      <c r="B350" s="4" t="s">
        <v>665</v>
      </c>
      <c r="C350" s="5" t="s">
        <v>666</v>
      </c>
      <c r="D350" s="6" t="s">
        <v>42</v>
      </c>
      <c r="E350" s="6" t="s">
        <v>33</v>
      </c>
      <c r="F350" s="53">
        <v>178</v>
      </c>
      <c r="G350" s="42">
        <v>1.0495398551461416E-5</v>
      </c>
      <c r="H350" s="41">
        <v>54.628</v>
      </c>
      <c r="I350" s="41">
        <v>93.64800000000001</v>
      </c>
      <c r="J350" s="41"/>
    </row>
    <row r="351" spans="2:10" s="7" customFormat="1" x14ac:dyDescent="0.2">
      <c r="B351" s="4" t="s">
        <v>667</v>
      </c>
      <c r="C351" s="5" t="s">
        <v>668</v>
      </c>
      <c r="D351" s="6" t="s">
        <v>42</v>
      </c>
      <c r="E351" s="6" t="s">
        <v>33</v>
      </c>
      <c r="F351" s="53">
        <v>192</v>
      </c>
      <c r="G351" s="42">
        <v>1.0495398551461416E-5</v>
      </c>
      <c r="H351" s="41">
        <v>58.834999999999994</v>
      </c>
      <c r="I351" s="41">
        <v>100.86</v>
      </c>
      <c r="J351" s="41"/>
    </row>
    <row r="352" spans="2:10" s="7" customFormat="1" ht="25.5" x14ac:dyDescent="0.2">
      <c r="B352" s="4" t="s">
        <v>669</v>
      </c>
      <c r="C352" s="5" t="s">
        <v>670</v>
      </c>
      <c r="D352" s="6" t="s">
        <v>42</v>
      </c>
      <c r="E352" s="6" t="s">
        <v>33</v>
      </c>
      <c r="F352" s="53">
        <v>330</v>
      </c>
      <c r="G352" s="42">
        <v>1.0495398551461416E-5</v>
      </c>
      <c r="H352" s="41">
        <v>100.84899999999999</v>
      </c>
      <c r="I352" s="41">
        <v>172.88399999999999</v>
      </c>
      <c r="J352" s="41"/>
    </row>
    <row r="353" spans="2:10" s="7" customFormat="1" x14ac:dyDescent="0.2">
      <c r="B353" s="4" t="s">
        <v>671</v>
      </c>
      <c r="C353" s="5" t="s">
        <v>672</v>
      </c>
      <c r="D353" s="6"/>
      <c r="E353" s="6"/>
      <c r="F353" s="50"/>
      <c r="G353" s="42">
        <v>1.0495398551461416E-5</v>
      </c>
      <c r="H353" s="41" t="s">
        <v>49</v>
      </c>
      <c r="I353" s="41" t="s">
        <v>49</v>
      </c>
      <c r="J353" s="41"/>
    </row>
    <row r="354" spans="2:10" s="7" customFormat="1" x14ac:dyDescent="0.2">
      <c r="B354" s="4" t="s">
        <v>673</v>
      </c>
      <c r="C354" s="5" t="s">
        <v>674</v>
      </c>
      <c r="D354" s="6" t="s">
        <v>32</v>
      </c>
      <c r="E354" s="6" t="s">
        <v>33</v>
      </c>
      <c r="F354" s="53">
        <v>55</v>
      </c>
      <c r="G354" s="42">
        <v>1.0495398551461416E-5</v>
      </c>
      <c r="H354" s="41">
        <v>16.806999999999999</v>
      </c>
      <c r="I354" s="41">
        <v>28.812000000000001</v>
      </c>
      <c r="J354" s="41"/>
    </row>
    <row r="355" spans="2:10" s="7" customFormat="1" x14ac:dyDescent="0.2">
      <c r="B355" s="4" t="s">
        <v>675</v>
      </c>
      <c r="C355" s="5" t="s">
        <v>676</v>
      </c>
      <c r="D355" s="6" t="s">
        <v>32</v>
      </c>
      <c r="E355" s="6" t="s">
        <v>33</v>
      </c>
      <c r="F355" s="53">
        <v>69</v>
      </c>
      <c r="G355" s="42">
        <v>1.0495398551461416E-5</v>
      </c>
      <c r="H355" s="41">
        <v>21</v>
      </c>
      <c r="I355" s="41">
        <v>36</v>
      </c>
      <c r="J355" s="41"/>
    </row>
    <row r="356" spans="2:10" s="7" customFormat="1" x14ac:dyDescent="0.2">
      <c r="B356" s="4" t="s">
        <v>677</v>
      </c>
      <c r="C356" s="5" t="s">
        <v>678</v>
      </c>
      <c r="D356" s="6" t="s">
        <v>32</v>
      </c>
      <c r="E356" s="6" t="s">
        <v>33</v>
      </c>
      <c r="F356" s="53">
        <v>41</v>
      </c>
      <c r="G356" s="42">
        <v>1.0495398551461416E-5</v>
      </c>
      <c r="H356" s="41">
        <v>21.007000000000001</v>
      </c>
      <c r="I356" s="41">
        <v>36.012</v>
      </c>
      <c r="J356" s="41"/>
    </row>
    <row r="357" spans="2:10" s="7" customFormat="1" x14ac:dyDescent="0.2">
      <c r="B357" s="4" t="s">
        <v>679</v>
      </c>
      <c r="C357" s="5" t="s">
        <v>680</v>
      </c>
      <c r="D357" s="6" t="s">
        <v>32</v>
      </c>
      <c r="E357" s="6" t="s">
        <v>33</v>
      </c>
      <c r="F357" s="53">
        <v>41</v>
      </c>
      <c r="G357" s="42">
        <v>1.0495398551461416E-5</v>
      </c>
      <c r="H357" s="41">
        <v>12.6</v>
      </c>
      <c r="I357" s="41">
        <v>21.599999999999998</v>
      </c>
      <c r="J357" s="41"/>
    </row>
    <row r="358" spans="2:10" s="7" customFormat="1" x14ac:dyDescent="0.2">
      <c r="B358" s="4" t="s">
        <v>681</v>
      </c>
      <c r="C358" s="5" t="s">
        <v>682</v>
      </c>
      <c r="D358" s="6" t="s">
        <v>32</v>
      </c>
      <c r="E358" s="6" t="s">
        <v>33</v>
      </c>
      <c r="F358" s="53">
        <v>48</v>
      </c>
      <c r="G358" s="42">
        <v>1.0495398551461416E-5</v>
      </c>
      <c r="H358" s="41">
        <v>14.707000000000001</v>
      </c>
      <c r="I358" s="41">
        <v>25.212</v>
      </c>
      <c r="J358" s="41"/>
    </row>
    <row r="359" spans="2:10" s="7" customFormat="1" x14ac:dyDescent="0.2">
      <c r="B359" s="4" t="s">
        <v>683</v>
      </c>
      <c r="C359" s="5" t="s">
        <v>676</v>
      </c>
      <c r="D359" s="6" t="s">
        <v>32</v>
      </c>
      <c r="E359" s="6" t="s">
        <v>33</v>
      </c>
      <c r="F359" s="53">
        <v>57.5</v>
      </c>
      <c r="G359" s="42">
        <v>1.0495398551461416E-5</v>
      </c>
      <c r="H359" s="41">
        <v>17.5</v>
      </c>
      <c r="I359" s="41">
        <v>30</v>
      </c>
      <c r="J359" s="41"/>
    </row>
    <row r="360" spans="2:10" s="7" customFormat="1" ht="25.5" x14ac:dyDescent="0.2">
      <c r="B360" s="4" t="s">
        <v>684</v>
      </c>
      <c r="C360" s="5" t="s">
        <v>685</v>
      </c>
      <c r="D360" s="6" t="s">
        <v>32</v>
      </c>
      <c r="E360" s="6" t="s">
        <v>33</v>
      </c>
      <c r="F360" s="53">
        <v>38</v>
      </c>
      <c r="G360" s="42">
        <v>1.0495398551461416E-5</v>
      </c>
      <c r="H360" s="41">
        <v>11.549999999999999</v>
      </c>
      <c r="I360" s="41">
        <v>19.8</v>
      </c>
      <c r="J360" s="41"/>
    </row>
    <row r="361" spans="2:10" s="7" customFormat="1" x14ac:dyDescent="0.2">
      <c r="B361" s="4" t="s">
        <v>686</v>
      </c>
      <c r="C361" s="5" t="s">
        <v>682</v>
      </c>
      <c r="D361" s="6" t="s">
        <v>32</v>
      </c>
      <c r="E361" s="6" t="s">
        <v>33</v>
      </c>
      <c r="F361" s="53">
        <v>44</v>
      </c>
      <c r="G361" s="42">
        <v>1.0495398551461416E-5</v>
      </c>
      <c r="H361" s="41">
        <v>13.475</v>
      </c>
      <c r="I361" s="41">
        <v>23.099999999999998</v>
      </c>
      <c r="J361" s="41"/>
    </row>
    <row r="362" spans="2:10" s="7" customFormat="1" x14ac:dyDescent="0.2">
      <c r="B362" s="4" t="s">
        <v>687</v>
      </c>
      <c r="C362" s="5" t="s">
        <v>676</v>
      </c>
      <c r="D362" s="6" t="s">
        <v>32</v>
      </c>
      <c r="E362" s="6" t="s">
        <v>33</v>
      </c>
      <c r="F362" s="53">
        <v>50</v>
      </c>
      <c r="G362" s="42">
        <v>1.0495398551461416E-5</v>
      </c>
      <c r="H362" s="41">
        <v>0</v>
      </c>
      <c r="I362" s="41">
        <v>0</v>
      </c>
      <c r="J362" s="41"/>
    </row>
    <row r="363" spans="2:10" s="7" customFormat="1" ht="25.5" x14ac:dyDescent="0.2">
      <c r="B363" s="4" t="s">
        <v>688</v>
      </c>
      <c r="C363" s="5" t="s">
        <v>689</v>
      </c>
      <c r="D363" s="6" t="s">
        <v>32</v>
      </c>
      <c r="E363" s="6" t="s">
        <v>33</v>
      </c>
      <c r="F363" s="53">
        <v>55</v>
      </c>
      <c r="G363" s="42">
        <v>1.0495398551461416E-5</v>
      </c>
      <c r="H363" s="41">
        <v>16.806999999999999</v>
      </c>
      <c r="I363" s="41">
        <v>28.812000000000001</v>
      </c>
      <c r="J363" s="41"/>
    </row>
    <row r="364" spans="2:10" s="7" customFormat="1" x14ac:dyDescent="0.2">
      <c r="B364" s="4" t="s">
        <v>690</v>
      </c>
      <c r="C364" s="5" t="s">
        <v>691</v>
      </c>
      <c r="D364" s="6" t="s">
        <v>32</v>
      </c>
      <c r="E364" s="6" t="s">
        <v>33</v>
      </c>
      <c r="F364" s="53">
        <v>63</v>
      </c>
      <c r="G364" s="42">
        <v>1.0495398551461416E-5</v>
      </c>
      <c r="H364" s="41">
        <v>19.25</v>
      </c>
      <c r="I364" s="41">
        <v>33</v>
      </c>
      <c r="J364" s="41"/>
    </row>
    <row r="365" spans="2:10" s="7" customFormat="1" x14ac:dyDescent="0.2">
      <c r="B365" s="4" t="s">
        <v>692</v>
      </c>
      <c r="C365" s="5" t="s">
        <v>693</v>
      </c>
      <c r="D365" s="6" t="s">
        <v>32</v>
      </c>
      <c r="E365" s="6" t="s">
        <v>33</v>
      </c>
      <c r="F365" s="53">
        <v>69</v>
      </c>
      <c r="G365" s="42">
        <v>1.0495398551461416E-5</v>
      </c>
      <c r="H365" s="41">
        <v>21</v>
      </c>
      <c r="I365" s="41">
        <v>36</v>
      </c>
      <c r="J365" s="41"/>
    </row>
    <row r="366" spans="2:10" s="7" customFormat="1" x14ac:dyDescent="0.2">
      <c r="B366" s="4" t="s">
        <v>694</v>
      </c>
      <c r="C366" s="5" t="s">
        <v>695</v>
      </c>
      <c r="D366" s="6" t="s">
        <v>32</v>
      </c>
      <c r="E366" s="6" t="s">
        <v>33</v>
      </c>
      <c r="F366" s="53">
        <v>80</v>
      </c>
      <c r="G366" s="42">
        <v>1.0495398551461416E-5</v>
      </c>
      <c r="H366" s="41">
        <v>24.5</v>
      </c>
      <c r="I366" s="41">
        <v>42</v>
      </c>
      <c r="J366" s="41"/>
    </row>
    <row r="367" spans="2:10" s="7" customFormat="1" x14ac:dyDescent="0.2">
      <c r="B367" s="4" t="s">
        <v>696</v>
      </c>
      <c r="C367" s="5" t="s">
        <v>697</v>
      </c>
      <c r="D367" s="6" t="s">
        <v>32</v>
      </c>
      <c r="E367" s="6" t="s">
        <v>33</v>
      </c>
      <c r="F367" s="53">
        <v>38</v>
      </c>
      <c r="G367" s="42">
        <v>1.0495398551461416E-5</v>
      </c>
      <c r="H367" s="41">
        <v>11.549999999999999</v>
      </c>
      <c r="I367" s="41">
        <v>19.8</v>
      </c>
      <c r="J367" s="41"/>
    </row>
    <row r="368" spans="2:10" s="7" customFormat="1" x14ac:dyDescent="0.2">
      <c r="B368" s="4" t="s">
        <v>698</v>
      </c>
      <c r="C368" s="5" t="s">
        <v>691</v>
      </c>
      <c r="D368" s="6" t="s">
        <v>32</v>
      </c>
      <c r="E368" s="6" t="s">
        <v>33</v>
      </c>
      <c r="F368" s="53">
        <v>41</v>
      </c>
      <c r="G368" s="42">
        <v>1.0495398551461416E-5</v>
      </c>
      <c r="H368" s="41">
        <v>12.6</v>
      </c>
      <c r="I368" s="41">
        <v>21.599999999999998</v>
      </c>
      <c r="J368" s="41"/>
    </row>
    <row r="369" spans="2:10" s="7" customFormat="1" x14ac:dyDescent="0.2">
      <c r="B369" s="4" t="s">
        <v>699</v>
      </c>
      <c r="C369" s="5" t="s">
        <v>693</v>
      </c>
      <c r="D369" s="6" t="s">
        <v>32</v>
      </c>
      <c r="E369" s="6" t="s">
        <v>33</v>
      </c>
      <c r="F369" s="53">
        <v>44</v>
      </c>
      <c r="G369" s="42">
        <v>1.0495398551461416E-5</v>
      </c>
      <c r="H369" s="41">
        <v>13.44</v>
      </c>
      <c r="I369" s="41">
        <v>23.04</v>
      </c>
      <c r="J369" s="41"/>
    </row>
    <row r="370" spans="2:10" s="7" customFormat="1" x14ac:dyDescent="0.2">
      <c r="B370" s="4" t="s">
        <v>700</v>
      </c>
      <c r="C370" s="5" t="s">
        <v>695</v>
      </c>
      <c r="D370" s="6" t="s">
        <v>32</v>
      </c>
      <c r="E370" s="6" t="s">
        <v>33</v>
      </c>
      <c r="F370" s="53">
        <v>47</v>
      </c>
      <c r="G370" s="42">
        <v>1.0495398551461416E-5</v>
      </c>
      <c r="H370" s="41">
        <v>14.286999999999999</v>
      </c>
      <c r="I370" s="41">
        <v>24.492000000000001</v>
      </c>
      <c r="J370" s="41"/>
    </row>
    <row r="371" spans="2:10" s="7" customFormat="1" ht="25.5" x14ac:dyDescent="0.2">
      <c r="B371" s="4" t="s">
        <v>701</v>
      </c>
      <c r="C371" s="5" t="s">
        <v>702</v>
      </c>
      <c r="D371" s="6" t="s">
        <v>32</v>
      </c>
      <c r="E371" s="6" t="s">
        <v>33</v>
      </c>
      <c r="F371" s="53">
        <v>41</v>
      </c>
      <c r="G371" s="42">
        <v>1.0495398551461416E-5</v>
      </c>
      <c r="H371" s="41">
        <v>12.6</v>
      </c>
      <c r="I371" s="41">
        <v>21.599999999999998</v>
      </c>
      <c r="J371" s="41"/>
    </row>
    <row r="372" spans="2:10" s="7" customFormat="1" x14ac:dyDescent="0.2">
      <c r="B372" s="4" t="s">
        <v>703</v>
      </c>
      <c r="C372" s="5" t="s">
        <v>704</v>
      </c>
      <c r="D372" s="6" t="s">
        <v>32</v>
      </c>
      <c r="E372" s="6" t="s">
        <v>33</v>
      </c>
      <c r="F372" s="53">
        <v>48</v>
      </c>
      <c r="G372" s="42">
        <v>1.0495398551461416E-5</v>
      </c>
      <c r="H372" s="41">
        <v>14.707000000000001</v>
      </c>
      <c r="I372" s="41">
        <v>25.212</v>
      </c>
      <c r="J372" s="41"/>
    </row>
    <row r="373" spans="2:10" s="7" customFormat="1" x14ac:dyDescent="0.2">
      <c r="B373" s="4" t="s">
        <v>705</v>
      </c>
      <c r="C373" s="5" t="s">
        <v>706</v>
      </c>
      <c r="D373" s="6" t="s">
        <v>32</v>
      </c>
      <c r="E373" s="6" t="s">
        <v>33</v>
      </c>
      <c r="F373" s="53">
        <v>49</v>
      </c>
      <c r="G373" s="42">
        <v>1.0495398551461416E-5</v>
      </c>
      <c r="H373" s="41">
        <v>15.126999999999999</v>
      </c>
      <c r="I373" s="41">
        <v>25.931999999999999</v>
      </c>
      <c r="J373" s="41"/>
    </row>
    <row r="374" spans="2:10" s="7" customFormat="1" x14ac:dyDescent="0.2">
      <c r="B374" s="4" t="s">
        <v>707</v>
      </c>
      <c r="C374" s="5" t="s">
        <v>708</v>
      </c>
      <c r="D374" s="6" t="s">
        <v>32</v>
      </c>
      <c r="E374" s="6" t="s">
        <v>33</v>
      </c>
      <c r="F374" s="53">
        <v>52</v>
      </c>
      <c r="G374" s="42">
        <v>1.0495398551461416E-5</v>
      </c>
      <c r="H374" s="41">
        <v>15.966999999999999</v>
      </c>
      <c r="I374" s="41">
        <v>27.371999999999996</v>
      </c>
      <c r="J374" s="41"/>
    </row>
    <row r="375" spans="2:10" s="7" customFormat="1" ht="25.5" x14ac:dyDescent="0.2">
      <c r="B375" s="4" t="s">
        <v>709</v>
      </c>
      <c r="C375" s="5" t="s">
        <v>710</v>
      </c>
      <c r="D375" s="6" t="s">
        <v>32</v>
      </c>
      <c r="E375" s="6" t="s">
        <v>33</v>
      </c>
      <c r="F375" s="53">
        <v>69</v>
      </c>
      <c r="G375" s="42">
        <v>1.0495398551461416E-5</v>
      </c>
      <c r="H375" s="41">
        <v>21</v>
      </c>
      <c r="I375" s="41">
        <v>36</v>
      </c>
      <c r="J375" s="41"/>
    </row>
    <row r="376" spans="2:10" s="7" customFormat="1" x14ac:dyDescent="0.2">
      <c r="B376" s="4" t="s">
        <v>711</v>
      </c>
      <c r="C376" s="5" t="s">
        <v>712</v>
      </c>
      <c r="D376" s="6" t="s">
        <v>32</v>
      </c>
      <c r="E376" s="6" t="s">
        <v>33</v>
      </c>
      <c r="F376" s="53">
        <v>74.5</v>
      </c>
      <c r="G376" s="42">
        <v>1.0495398551461416E-5</v>
      </c>
      <c r="H376" s="41">
        <v>22.75</v>
      </c>
      <c r="I376" s="41">
        <v>39</v>
      </c>
      <c r="J376" s="41"/>
    </row>
    <row r="377" spans="2:10" s="7" customFormat="1" x14ac:dyDescent="0.2">
      <c r="B377" s="4" t="s">
        <v>713</v>
      </c>
      <c r="C377" s="5" t="s">
        <v>714</v>
      </c>
      <c r="D377" s="6" t="s">
        <v>32</v>
      </c>
      <c r="E377" s="6" t="s">
        <v>33</v>
      </c>
      <c r="F377" s="53">
        <v>80.5</v>
      </c>
      <c r="G377" s="42">
        <v>1.0495398551461416E-5</v>
      </c>
      <c r="H377" s="41">
        <v>24.5</v>
      </c>
      <c r="I377" s="41">
        <v>42</v>
      </c>
      <c r="J377" s="41"/>
    </row>
    <row r="378" spans="2:10" s="7" customFormat="1" x14ac:dyDescent="0.2">
      <c r="B378" s="4" t="s">
        <v>715</v>
      </c>
      <c r="C378" s="5" t="s">
        <v>716</v>
      </c>
      <c r="D378" s="6" t="s">
        <v>32</v>
      </c>
      <c r="E378" s="6" t="s">
        <v>33</v>
      </c>
      <c r="F378" s="53">
        <v>86</v>
      </c>
      <c r="G378" s="42">
        <v>1.0495398551461416E-5</v>
      </c>
      <c r="H378" s="41">
        <v>26.25</v>
      </c>
      <c r="I378" s="41">
        <v>45</v>
      </c>
      <c r="J378" s="41"/>
    </row>
    <row r="379" spans="2:10" s="7" customFormat="1" x14ac:dyDescent="0.2">
      <c r="B379" s="4" t="s">
        <v>717</v>
      </c>
      <c r="C379" s="5" t="s">
        <v>718</v>
      </c>
      <c r="D379" s="6" t="s">
        <v>66</v>
      </c>
      <c r="E379" s="6" t="s">
        <v>33</v>
      </c>
      <c r="F379" s="53">
        <v>41</v>
      </c>
      <c r="G379" s="42">
        <v>1.0495398551461416E-5</v>
      </c>
      <c r="H379" s="41">
        <v>12.6</v>
      </c>
      <c r="I379" s="41">
        <v>21.599999999999998</v>
      </c>
      <c r="J379" s="41"/>
    </row>
    <row r="380" spans="2:10" s="7" customFormat="1" x14ac:dyDescent="0.2">
      <c r="B380" s="4" t="s">
        <v>719</v>
      </c>
      <c r="C380" s="5" t="s">
        <v>720</v>
      </c>
      <c r="D380" s="6" t="s">
        <v>66</v>
      </c>
      <c r="E380" s="6" t="s">
        <v>33</v>
      </c>
      <c r="F380" s="53">
        <v>96.5</v>
      </c>
      <c r="G380" s="42">
        <v>1.0495398551461416E-5</v>
      </c>
      <c r="H380" s="41">
        <v>29.414000000000001</v>
      </c>
      <c r="I380" s="41">
        <v>50.423999999999999</v>
      </c>
      <c r="J380" s="41"/>
    </row>
    <row r="381" spans="2:10" s="7" customFormat="1" x14ac:dyDescent="0.2">
      <c r="B381" s="4" t="s">
        <v>721</v>
      </c>
      <c r="C381" s="5" t="s">
        <v>722</v>
      </c>
      <c r="D381" s="6" t="s">
        <v>66</v>
      </c>
      <c r="E381" s="6" t="s">
        <v>33</v>
      </c>
      <c r="F381" s="53">
        <v>69</v>
      </c>
      <c r="G381" s="42">
        <v>1.0495398551461416E-5</v>
      </c>
      <c r="H381" s="41">
        <v>21</v>
      </c>
      <c r="I381" s="41">
        <v>36</v>
      </c>
      <c r="J381" s="41"/>
    </row>
    <row r="382" spans="2:10" s="7" customFormat="1" x14ac:dyDescent="0.2">
      <c r="B382" s="4" t="s">
        <v>723</v>
      </c>
      <c r="C382" s="5" t="s">
        <v>724</v>
      </c>
      <c r="D382" s="6" t="s">
        <v>66</v>
      </c>
      <c r="E382" s="6" t="s">
        <v>33</v>
      </c>
      <c r="F382" s="53">
        <v>69</v>
      </c>
      <c r="G382" s="42">
        <v>1.0495398551461416E-5</v>
      </c>
      <c r="H382" s="41">
        <v>21.007000000000001</v>
      </c>
      <c r="I382" s="41">
        <v>36.012</v>
      </c>
      <c r="J382" s="41"/>
    </row>
    <row r="383" spans="2:10" s="7" customFormat="1" x14ac:dyDescent="0.2">
      <c r="B383" s="4" t="s">
        <v>725</v>
      </c>
      <c r="C383" s="5" t="s">
        <v>722</v>
      </c>
      <c r="D383" s="6" t="s">
        <v>66</v>
      </c>
      <c r="E383" s="6" t="s">
        <v>33</v>
      </c>
      <c r="F383" s="53">
        <v>48</v>
      </c>
      <c r="G383" s="42">
        <v>1.0495398551461416E-5</v>
      </c>
      <c r="H383" s="41">
        <v>14.707000000000001</v>
      </c>
      <c r="I383" s="41">
        <v>25.212</v>
      </c>
      <c r="J383" s="41"/>
    </row>
    <row r="384" spans="2:10" s="7" customFormat="1" x14ac:dyDescent="0.2">
      <c r="B384" s="4" t="s">
        <v>726</v>
      </c>
      <c r="C384" s="5" t="s">
        <v>727</v>
      </c>
      <c r="D384" s="6" t="s">
        <v>66</v>
      </c>
      <c r="E384" s="6" t="s">
        <v>33</v>
      </c>
      <c r="F384" s="53">
        <v>57.5</v>
      </c>
      <c r="G384" s="42">
        <v>1.0495398551461416E-5</v>
      </c>
      <c r="H384" s="41">
        <v>17.5</v>
      </c>
      <c r="I384" s="41">
        <v>30</v>
      </c>
      <c r="J384" s="41"/>
    </row>
    <row r="385" spans="2:10" x14ac:dyDescent="0.2">
      <c r="B385" s="8" t="s">
        <v>728</v>
      </c>
      <c r="C385" s="5" t="s">
        <v>729</v>
      </c>
      <c r="D385" s="6"/>
      <c r="E385" s="6"/>
      <c r="F385" s="50"/>
      <c r="G385" s="40" t="e">
        <f>#REF!/(COUNTA(#REF!))</f>
        <v>#REF!</v>
      </c>
      <c r="H385" s="39" t="s">
        <v>49</v>
      </c>
      <c r="I385" s="39" t="s">
        <v>49</v>
      </c>
      <c r="J385" s="39"/>
    </row>
    <row r="386" spans="2:10" ht="25.5" x14ac:dyDescent="0.2">
      <c r="B386" s="4" t="s">
        <v>730</v>
      </c>
      <c r="C386" s="5" t="s">
        <v>731</v>
      </c>
      <c r="D386" s="6" t="s">
        <v>42</v>
      </c>
      <c r="E386" s="6" t="s">
        <v>33</v>
      </c>
      <c r="F386" s="53">
        <v>24.5</v>
      </c>
      <c r="G386" s="42">
        <v>1.1076954221254365E-4</v>
      </c>
      <c r="H386" s="39">
        <v>10.5</v>
      </c>
      <c r="I386" s="39">
        <v>18</v>
      </c>
      <c r="J386" s="39"/>
    </row>
    <row r="387" spans="2:10" x14ac:dyDescent="0.2">
      <c r="B387" s="4" t="s">
        <v>732</v>
      </c>
      <c r="C387" s="5" t="s">
        <v>733</v>
      </c>
      <c r="D387" s="6" t="s">
        <v>42</v>
      </c>
      <c r="E387" s="6" t="s">
        <v>33</v>
      </c>
      <c r="F387" s="53">
        <v>55</v>
      </c>
      <c r="G387" s="42">
        <v>1.1076954221254365E-4</v>
      </c>
      <c r="H387" s="39">
        <v>17.5</v>
      </c>
      <c r="I387" s="39">
        <v>30</v>
      </c>
      <c r="J387" s="39"/>
    </row>
    <row r="388" spans="2:10" x14ac:dyDescent="0.2">
      <c r="B388" s="4" t="s">
        <v>734</v>
      </c>
      <c r="C388" s="5" t="s">
        <v>735</v>
      </c>
      <c r="D388" s="6" t="s">
        <v>42</v>
      </c>
      <c r="E388" s="6" t="s">
        <v>33</v>
      </c>
      <c r="F388" s="53">
        <v>42</v>
      </c>
      <c r="G388" s="42">
        <v>1.1076954221254365E-4</v>
      </c>
      <c r="H388" s="39">
        <v>12.95</v>
      </c>
      <c r="I388" s="39">
        <v>22.2</v>
      </c>
      <c r="J388" s="39"/>
    </row>
    <row r="389" spans="2:10" ht="25.5" x14ac:dyDescent="0.2">
      <c r="B389" s="4" t="s">
        <v>736</v>
      </c>
      <c r="C389" s="5" t="s">
        <v>737</v>
      </c>
      <c r="D389" s="6" t="s">
        <v>42</v>
      </c>
      <c r="E389" s="6" t="s">
        <v>33</v>
      </c>
      <c r="F389" s="53">
        <v>46</v>
      </c>
      <c r="G389" s="42">
        <v>1.1076954221254365E-4</v>
      </c>
      <c r="H389" s="39">
        <v>14</v>
      </c>
      <c r="I389" s="39">
        <v>24</v>
      </c>
      <c r="J389" s="39"/>
    </row>
    <row r="390" spans="2:10" x14ac:dyDescent="0.2">
      <c r="B390" s="4" t="s">
        <v>738</v>
      </c>
      <c r="C390" s="5" t="s">
        <v>739</v>
      </c>
      <c r="D390" s="6" t="s">
        <v>42</v>
      </c>
      <c r="E390" s="6" t="s">
        <v>33</v>
      </c>
      <c r="F390" s="53">
        <v>50</v>
      </c>
      <c r="G390" s="42">
        <v>1.1076954221254365E-4</v>
      </c>
      <c r="H390" s="39">
        <v>15.399999999999999</v>
      </c>
      <c r="I390" s="39">
        <v>26.4</v>
      </c>
      <c r="J390" s="39"/>
    </row>
    <row r="391" spans="2:10" ht="25.5" x14ac:dyDescent="0.2">
      <c r="B391" s="4" t="s">
        <v>740</v>
      </c>
      <c r="C391" s="5" t="s">
        <v>741</v>
      </c>
      <c r="D391" s="6" t="s">
        <v>42</v>
      </c>
      <c r="E391" s="6" t="s">
        <v>33</v>
      </c>
      <c r="F391" s="53">
        <v>80</v>
      </c>
      <c r="G391" s="42">
        <v>1.1076954221254365E-4</v>
      </c>
      <c r="H391" s="39">
        <v>19.25</v>
      </c>
      <c r="I391" s="39">
        <v>33</v>
      </c>
      <c r="J391" s="39"/>
    </row>
    <row r="392" spans="2:10" ht="25.5" x14ac:dyDescent="0.2">
      <c r="B392" s="4" t="s">
        <v>742</v>
      </c>
      <c r="C392" s="5" t="s">
        <v>743</v>
      </c>
      <c r="D392" s="6" t="s">
        <v>19</v>
      </c>
      <c r="E392" s="6" t="s">
        <v>33</v>
      </c>
      <c r="F392" s="53">
        <v>276</v>
      </c>
      <c r="G392" s="42">
        <v>1.1076954221254365E-4</v>
      </c>
      <c r="H392" s="39">
        <v>84.042000000000002</v>
      </c>
      <c r="I392" s="39">
        <v>144.072</v>
      </c>
      <c r="J392" s="39"/>
    </row>
    <row r="393" spans="2:10" ht="25.5" x14ac:dyDescent="0.2">
      <c r="B393" s="4" t="s">
        <v>744</v>
      </c>
      <c r="C393" s="5" t="s">
        <v>745</v>
      </c>
      <c r="D393" s="6" t="s">
        <v>42</v>
      </c>
      <c r="E393" s="6" t="s">
        <v>33</v>
      </c>
      <c r="F393" s="53">
        <v>33</v>
      </c>
      <c r="G393" s="42">
        <v>1.1076954221254365E-4</v>
      </c>
      <c r="H393" s="39">
        <v>10.087</v>
      </c>
      <c r="I393" s="39">
        <v>17.291999999999998</v>
      </c>
      <c r="J393" s="39"/>
    </row>
    <row r="394" spans="2:10" ht="25.5" x14ac:dyDescent="0.2">
      <c r="B394" s="4" t="s">
        <v>746</v>
      </c>
      <c r="C394" s="5" t="s">
        <v>747</v>
      </c>
      <c r="D394" s="6" t="s">
        <v>32</v>
      </c>
      <c r="E394" s="6" t="s">
        <v>33</v>
      </c>
      <c r="F394" s="53">
        <v>9</v>
      </c>
      <c r="G394" s="42">
        <v>1.1076954221254365E-4</v>
      </c>
      <c r="H394" s="39">
        <v>2.94</v>
      </c>
      <c r="I394" s="39">
        <v>5.04</v>
      </c>
      <c r="J394" s="39"/>
    </row>
    <row r="395" spans="2:10" x14ac:dyDescent="0.2">
      <c r="B395" s="4" t="s">
        <v>748</v>
      </c>
      <c r="C395" s="5" t="s">
        <v>749</v>
      </c>
      <c r="D395" s="6" t="s">
        <v>42</v>
      </c>
      <c r="E395" s="6" t="s">
        <v>33</v>
      </c>
      <c r="F395" s="53">
        <v>24.5</v>
      </c>
      <c r="G395" s="42">
        <v>1.1076954221254365E-4</v>
      </c>
      <c r="H395" s="39">
        <v>7.56</v>
      </c>
      <c r="I395" s="39">
        <v>12.96</v>
      </c>
      <c r="J395" s="39"/>
    </row>
    <row r="396" spans="2:10" ht="63.75" x14ac:dyDescent="0.2">
      <c r="B396" s="4" t="s">
        <v>750</v>
      </c>
      <c r="C396" s="5" t="s">
        <v>751</v>
      </c>
      <c r="D396" s="6" t="s">
        <v>42</v>
      </c>
      <c r="E396" s="6" t="s">
        <v>33</v>
      </c>
      <c r="F396" s="53">
        <v>34.5</v>
      </c>
      <c r="G396" s="42">
        <v>1.1076954221254365E-4</v>
      </c>
      <c r="H396" s="39">
        <v>10.5</v>
      </c>
      <c r="I396" s="39">
        <v>18</v>
      </c>
      <c r="J396" s="39"/>
    </row>
    <row r="397" spans="2:10" ht="25.5" x14ac:dyDescent="0.2">
      <c r="B397" s="4" t="s">
        <v>752</v>
      </c>
      <c r="C397" s="5" t="s">
        <v>753</v>
      </c>
      <c r="D397" s="6" t="s">
        <v>42</v>
      </c>
      <c r="E397" s="6" t="s">
        <v>33</v>
      </c>
      <c r="F397" s="53">
        <v>69</v>
      </c>
      <c r="G397" s="42">
        <v>1.1076954221254365E-4</v>
      </c>
      <c r="H397" s="39">
        <v>21.007000000000001</v>
      </c>
      <c r="I397" s="39">
        <v>36.012</v>
      </c>
      <c r="J397" s="39"/>
    </row>
    <row r="398" spans="2:10" x14ac:dyDescent="0.2">
      <c r="B398" s="4" t="s">
        <v>754</v>
      </c>
      <c r="C398" s="5" t="s">
        <v>755</v>
      </c>
      <c r="D398" s="6" t="s">
        <v>42</v>
      </c>
      <c r="E398" s="6" t="s">
        <v>33</v>
      </c>
      <c r="F398" s="53">
        <v>27.5</v>
      </c>
      <c r="G398" s="42">
        <v>1.1076954221254365E-4</v>
      </c>
      <c r="H398" s="39">
        <v>8.407</v>
      </c>
      <c r="I398" s="39">
        <v>14.411999999999999</v>
      </c>
      <c r="J398" s="39"/>
    </row>
    <row r="399" spans="2:10" x14ac:dyDescent="0.2">
      <c r="B399" s="4" t="s">
        <v>756</v>
      </c>
      <c r="C399" s="5" t="s">
        <v>757</v>
      </c>
      <c r="D399" s="6" t="s">
        <v>42</v>
      </c>
      <c r="E399" s="6" t="s">
        <v>33</v>
      </c>
      <c r="F399" s="53">
        <v>34.5</v>
      </c>
      <c r="G399" s="42">
        <v>1.1076954221254365E-4</v>
      </c>
      <c r="H399" s="39">
        <v>0</v>
      </c>
      <c r="I399" s="39">
        <v>0</v>
      </c>
      <c r="J399" s="39"/>
    </row>
    <row r="400" spans="2:10" x14ac:dyDescent="0.2">
      <c r="B400" s="4" t="s">
        <v>758</v>
      </c>
      <c r="C400" s="5" t="s">
        <v>759</v>
      </c>
      <c r="D400" s="6" t="s">
        <v>32</v>
      </c>
      <c r="E400" s="6" t="s">
        <v>33</v>
      </c>
      <c r="F400" s="53">
        <v>10.5</v>
      </c>
      <c r="G400" s="42">
        <v>1.1076954221254365E-4</v>
      </c>
      <c r="H400" s="39">
        <v>3.2689999999999997</v>
      </c>
      <c r="I400" s="39">
        <v>5.6040000000000001</v>
      </c>
      <c r="J400" s="39"/>
    </row>
    <row r="401" spans="2:10" x14ac:dyDescent="0.2">
      <c r="B401" s="4" t="s">
        <v>760</v>
      </c>
      <c r="C401" s="5" t="s">
        <v>761</v>
      </c>
      <c r="D401" s="6" t="s">
        <v>32</v>
      </c>
      <c r="E401" s="6" t="s">
        <v>33</v>
      </c>
      <c r="F401" s="53">
        <v>7.5</v>
      </c>
      <c r="G401" s="42">
        <v>1.1076954221254365E-4</v>
      </c>
      <c r="H401" s="39">
        <v>2.3099999999999996</v>
      </c>
      <c r="I401" s="39">
        <v>3.9599999999999995</v>
      </c>
      <c r="J401" s="39"/>
    </row>
    <row r="402" spans="2:10" ht="38.25" x14ac:dyDescent="0.2">
      <c r="B402" s="4" t="s">
        <v>762</v>
      </c>
      <c r="C402" s="5" t="s">
        <v>763</v>
      </c>
      <c r="D402" s="6" t="s">
        <v>42</v>
      </c>
      <c r="E402" s="6" t="s">
        <v>33</v>
      </c>
      <c r="F402" s="53">
        <v>76</v>
      </c>
      <c r="G402" s="42">
        <v>1.1076954221254365E-4</v>
      </c>
      <c r="H402" s="39">
        <v>23.099999999999998</v>
      </c>
      <c r="I402" s="39">
        <v>39.6</v>
      </c>
      <c r="J402" s="39"/>
    </row>
    <row r="403" spans="2:10" x14ac:dyDescent="0.2">
      <c r="B403" s="4" t="s">
        <v>764</v>
      </c>
      <c r="C403" s="5" t="s">
        <v>765</v>
      </c>
      <c r="D403" s="6" t="s">
        <v>19</v>
      </c>
      <c r="E403" s="6" t="s">
        <v>33</v>
      </c>
      <c r="F403" s="53">
        <v>115</v>
      </c>
      <c r="G403" s="42">
        <v>1.1076954221254365E-4</v>
      </c>
      <c r="H403" s="39">
        <v>35</v>
      </c>
      <c r="I403" s="39">
        <v>60</v>
      </c>
      <c r="J403" s="39"/>
    </row>
    <row r="404" spans="2:10" ht="25.5" x14ac:dyDescent="0.2">
      <c r="B404" s="4" t="s">
        <v>766</v>
      </c>
      <c r="C404" s="5" t="s">
        <v>767</v>
      </c>
      <c r="D404" s="6" t="s">
        <v>42</v>
      </c>
      <c r="E404" s="6" t="s">
        <v>33</v>
      </c>
      <c r="F404" s="53">
        <v>12.5</v>
      </c>
      <c r="G404" s="42">
        <v>1.1076954221254365E-4</v>
      </c>
      <c r="H404" s="39">
        <v>3.8499999999999996</v>
      </c>
      <c r="I404" s="39">
        <v>6.6</v>
      </c>
      <c r="J404" s="39"/>
    </row>
    <row r="405" spans="2:10" x14ac:dyDescent="0.2">
      <c r="B405" s="4" t="s">
        <v>768</v>
      </c>
      <c r="C405" s="5" t="s">
        <v>769</v>
      </c>
      <c r="D405" s="6" t="s">
        <v>42</v>
      </c>
      <c r="E405" s="6" t="s">
        <v>33</v>
      </c>
      <c r="F405" s="53">
        <v>17.5</v>
      </c>
      <c r="G405" s="42">
        <v>1.1076954221254365E-4</v>
      </c>
      <c r="H405" s="39">
        <v>5.39</v>
      </c>
      <c r="I405" s="39">
        <v>9.24</v>
      </c>
      <c r="J405" s="39"/>
    </row>
    <row r="406" spans="2:10" x14ac:dyDescent="0.2">
      <c r="B406" s="4" t="s">
        <v>770</v>
      </c>
      <c r="C406" s="5" t="s">
        <v>771</v>
      </c>
      <c r="D406" s="6" t="s">
        <v>42</v>
      </c>
      <c r="E406" s="6" t="s">
        <v>33</v>
      </c>
      <c r="F406" s="53">
        <v>16</v>
      </c>
      <c r="G406" s="42">
        <v>1.1076954221254365E-4</v>
      </c>
      <c r="H406" s="39">
        <v>5.0049999999999999</v>
      </c>
      <c r="I406" s="39">
        <v>8.58</v>
      </c>
      <c r="J406" s="39"/>
    </row>
    <row r="407" spans="2:10" x14ac:dyDescent="0.2">
      <c r="B407" s="4" t="s">
        <v>772</v>
      </c>
      <c r="C407" s="5" t="s">
        <v>773</v>
      </c>
      <c r="D407" s="6" t="s">
        <v>42</v>
      </c>
      <c r="E407" s="6" t="s">
        <v>33</v>
      </c>
      <c r="F407" s="53">
        <v>17.5</v>
      </c>
      <c r="G407" s="42">
        <v>1.1076954221254365E-4</v>
      </c>
      <c r="H407" s="39">
        <v>5.39</v>
      </c>
      <c r="I407" s="39">
        <v>9.24</v>
      </c>
      <c r="J407" s="39"/>
    </row>
    <row r="408" spans="2:10" x14ac:dyDescent="0.2">
      <c r="B408" s="4" t="s">
        <v>774</v>
      </c>
      <c r="C408" s="5" t="s">
        <v>775</v>
      </c>
      <c r="D408" s="6" t="s">
        <v>42</v>
      </c>
      <c r="E408" s="6" t="s">
        <v>33</v>
      </c>
      <c r="F408" s="53">
        <v>20</v>
      </c>
      <c r="G408" s="42">
        <v>1.1076954221254365E-4</v>
      </c>
      <c r="H408" s="39">
        <v>6.16</v>
      </c>
      <c r="I408" s="39">
        <v>10.56</v>
      </c>
      <c r="J408" s="39"/>
    </row>
    <row r="409" spans="2:10" ht="25.5" x14ac:dyDescent="0.2">
      <c r="B409" s="4" t="s">
        <v>776</v>
      </c>
      <c r="C409" s="5" t="s">
        <v>777</v>
      </c>
      <c r="D409" s="6" t="s">
        <v>42</v>
      </c>
      <c r="E409" s="6" t="s">
        <v>33</v>
      </c>
      <c r="F409" s="53">
        <v>12.5</v>
      </c>
      <c r="G409" s="42">
        <v>1.1076954221254365E-4</v>
      </c>
      <c r="H409" s="39">
        <v>3.8499999999999996</v>
      </c>
      <c r="I409" s="39">
        <v>6.6</v>
      </c>
      <c r="J409" s="39"/>
    </row>
    <row r="410" spans="2:10" x14ac:dyDescent="0.2">
      <c r="B410" s="4" t="s">
        <v>778</v>
      </c>
      <c r="C410" s="5" t="s">
        <v>769</v>
      </c>
      <c r="D410" s="6" t="s">
        <v>42</v>
      </c>
      <c r="E410" s="6" t="s">
        <v>33</v>
      </c>
      <c r="F410" s="53">
        <v>15</v>
      </c>
      <c r="G410" s="42">
        <v>1.1076954221254365E-4</v>
      </c>
      <c r="H410" s="39">
        <v>4.6199999999999992</v>
      </c>
      <c r="I410" s="39">
        <v>7.919999999999999</v>
      </c>
      <c r="J410" s="39"/>
    </row>
    <row r="411" spans="2:10" x14ac:dyDescent="0.2">
      <c r="B411" s="4" t="s">
        <v>779</v>
      </c>
      <c r="C411" s="5" t="s">
        <v>771</v>
      </c>
      <c r="D411" s="6" t="s">
        <v>42</v>
      </c>
      <c r="E411" s="6" t="s">
        <v>33</v>
      </c>
      <c r="F411" s="53">
        <v>15.1</v>
      </c>
      <c r="G411" s="42">
        <v>1.1076954221254365E-4</v>
      </c>
      <c r="H411" s="39">
        <v>4.6759999999999993</v>
      </c>
      <c r="I411" s="39">
        <v>8.016</v>
      </c>
      <c r="J411" s="39"/>
    </row>
    <row r="412" spans="2:10" x14ac:dyDescent="0.2">
      <c r="B412" s="4" t="s">
        <v>780</v>
      </c>
      <c r="C412" s="5" t="s">
        <v>773</v>
      </c>
      <c r="D412" s="6" t="s">
        <v>42</v>
      </c>
      <c r="E412" s="6" t="s">
        <v>33</v>
      </c>
      <c r="F412" s="53">
        <v>17</v>
      </c>
      <c r="G412" s="42">
        <v>1.1076954221254365E-4</v>
      </c>
      <c r="H412" s="39">
        <v>5.39</v>
      </c>
      <c r="I412" s="39">
        <v>9.24</v>
      </c>
      <c r="J412" s="39"/>
    </row>
    <row r="413" spans="2:10" x14ac:dyDescent="0.2">
      <c r="B413" s="4" t="s">
        <v>781</v>
      </c>
      <c r="C413" s="5" t="s">
        <v>775</v>
      </c>
      <c r="D413" s="6" t="s">
        <v>42</v>
      </c>
      <c r="E413" s="6" t="s">
        <v>33</v>
      </c>
      <c r="F413" s="53">
        <v>20</v>
      </c>
      <c r="G413" s="42">
        <v>1.1076954221254365E-4</v>
      </c>
      <c r="H413" s="39">
        <v>6.16</v>
      </c>
      <c r="I413" s="39">
        <v>10.56</v>
      </c>
      <c r="J413" s="39"/>
    </row>
    <row r="414" spans="2:10" ht="25.5" x14ac:dyDescent="0.2">
      <c r="B414" s="4" t="s">
        <v>782</v>
      </c>
      <c r="C414" s="5" t="s">
        <v>783</v>
      </c>
      <c r="D414" s="6" t="s">
        <v>42</v>
      </c>
      <c r="E414" s="6" t="s">
        <v>33</v>
      </c>
      <c r="F414" s="53">
        <v>25</v>
      </c>
      <c r="G414" s="42">
        <v>1.1076954221254365E-4</v>
      </c>
      <c r="H414" s="39">
        <v>6.2229999999999999</v>
      </c>
      <c r="I414" s="39">
        <v>10.668000000000001</v>
      </c>
      <c r="J414" s="39"/>
    </row>
    <row r="415" spans="2:10" x14ac:dyDescent="0.2">
      <c r="B415" s="4" t="s">
        <v>784</v>
      </c>
      <c r="C415" s="5" t="s">
        <v>771</v>
      </c>
      <c r="D415" s="6" t="s">
        <v>42</v>
      </c>
      <c r="E415" s="6" t="s">
        <v>33</v>
      </c>
      <c r="F415" s="53">
        <v>30</v>
      </c>
      <c r="G415" s="42">
        <v>1.1076954221254365E-4</v>
      </c>
      <c r="H415" s="39">
        <v>7.552999999999999</v>
      </c>
      <c r="I415" s="39">
        <v>12.947999999999999</v>
      </c>
      <c r="J415" s="39"/>
    </row>
    <row r="416" spans="2:10" x14ac:dyDescent="0.2">
      <c r="B416" s="4" t="s">
        <v>785</v>
      </c>
      <c r="C416" s="5" t="s">
        <v>773</v>
      </c>
      <c r="D416" s="6" t="s">
        <v>42</v>
      </c>
      <c r="E416" s="6" t="s">
        <v>33</v>
      </c>
      <c r="F416" s="53">
        <v>30</v>
      </c>
      <c r="G416" s="42">
        <v>1.1076954221254365E-4</v>
      </c>
      <c r="H416" s="39">
        <v>9.113999999999999</v>
      </c>
      <c r="I416" s="39">
        <v>15.623999999999999</v>
      </c>
      <c r="J416" s="39"/>
    </row>
    <row r="417" spans="2:10" ht="38.25" x14ac:dyDescent="0.2">
      <c r="B417" s="4" t="s">
        <v>786</v>
      </c>
      <c r="C417" s="5" t="s">
        <v>787</v>
      </c>
      <c r="D417" s="6" t="s">
        <v>42</v>
      </c>
      <c r="E417" s="6" t="s">
        <v>33</v>
      </c>
      <c r="F417" s="53">
        <v>25</v>
      </c>
      <c r="G417" s="42">
        <v>1.1076954221254365E-4</v>
      </c>
      <c r="H417" s="39">
        <v>7.6999999999999993</v>
      </c>
      <c r="I417" s="39">
        <v>13.2</v>
      </c>
      <c r="J417" s="39"/>
    </row>
    <row r="418" spans="2:10" x14ac:dyDescent="0.2">
      <c r="B418" s="4" t="s">
        <v>788</v>
      </c>
      <c r="C418" s="5" t="s">
        <v>771</v>
      </c>
      <c r="D418" s="6" t="s">
        <v>42</v>
      </c>
      <c r="E418" s="6" t="s">
        <v>33</v>
      </c>
      <c r="F418" s="53">
        <v>30</v>
      </c>
      <c r="G418" s="42">
        <v>1.1076954221254365E-4</v>
      </c>
      <c r="H418" s="39">
        <v>9.2399999999999984</v>
      </c>
      <c r="I418" s="39">
        <v>15.839999999999998</v>
      </c>
      <c r="J418" s="39"/>
    </row>
    <row r="419" spans="2:10" x14ac:dyDescent="0.2">
      <c r="B419" s="4" t="s">
        <v>789</v>
      </c>
      <c r="C419" s="5" t="s">
        <v>773</v>
      </c>
      <c r="D419" s="6" t="s">
        <v>42</v>
      </c>
      <c r="E419" s="6" t="s">
        <v>33</v>
      </c>
      <c r="F419" s="53">
        <v>38.020000000000003</v>
      </c>
      <c r="G419" s="42">
        <v>1.1076954221254365E-4</v>
      </c>
      <c r="H419" s="39">
        <v>11.549999999999999</v>
      </c>
      <c r="I419" s="39">
        <v>19.8</v>
      </c>
      <c r="J419" s="39"/>
    </row>
    <row r="420" spans="2:10" ht="25.5" x14ac:dyDescent="0.2">
      <c r="B420" s="4" t="s">
        <v>790</v>
      </c>
      <c r="C420" s="5" t="s">
        <v>791</v>
      </c>
      <c r="D420" s="6" t="s">
        <v>42</v>
      </c>
      <c r="E420" s="6" t="s">
        <v>33</v>
      </c>
      <c r="F420" s="53">
        <v>69.099999999999994</v>
      </c>
      <c r="G420" s="42">
        <v>1.1076954221254365E-4</v>
      </c>
      <c r="H420" s="39">
        <v>21</v>
      </c>
      <c r="I420" s="39">
        <v>36</v>
      </c>
      <c r="J420" s="39"/>
    </row>
    <row r="421" spans="2:10" x14ac:dyDescent="0.2">
      <c r="B421" s="4" t="s">
        <v>792</v>
      </c>
      <c r="C421" s="5" t="s">
        <v>793</v>
      </c>
      <c r="D421" s="6" t="s">
        <v>42</v>
      </c>
      <c r="E421" s="6" t="s">
        <v>33</v>
      </c>
      <c r="F421" s="53">
        <v>80.5</v>
      </c>
      <c r="G421" s="42">
        <v>1.1076954221254365E-4</v>
      </c>
      <c r="H421" s="39">
        <v>24.5</v>
      </c>
      <c r="I421" s="39">
        <v>42</v>
      </c>
      <c r="J421" s="39"/>
    </row>
    <row r="422" spans="2:10" x14ac:dyDescent="0.2">
      <c r="B422" s="4" t="s">
        <v>794</v>
      </c>
      <c r="C422" s="5" t="s">
        <v>795</v>
      </c>
      <c r="D422" s="6" t="s">
        <v>42</v>
      </c>
      <c r="E422" s="6" t="s">
        <v>33</v>
      </c>
      <c r="F422" s="53">
        <v>92</v>
      </c>
      <c r="G422" s="42">
        <v>1.1076954221254365E-4</v>
      </c>
      <c r="H422" s="39">
        <v>28</v>
      </c>
      <c r="I422" s="39">
        <v>48</v>
      </c>
      <c r="J422" s="39"/>
    </row>
    <row r="423" spans="2:10" x14ac:dyDescent="0.2">
      <c r="B423" s="4" t="s">
        <v>796</v>
      </c>
      <c r="C423" s="5" t="s">
        <v>797</v>
      </c>
      <c r="D423" s="6" t="s">
        <v>42</v>
      </c>
      <c r="E423" s="6" t="s">
        <v>33</v>
      </c>
      <c r="F423" s="53">
        <v>103.5</v>
      </c>
      <c r="G423" s="42">
        <v>1.1076954221254365E-4</v>
      </c>
      <c r="H423" s="39">
        <v>31.499999999999996</v>
      </c>
      <c r="I423" s="39">
        <v>54</v>
      </c>
      <c r="J423" s="39"/>
    </row>
    <row r="424" spans="2:10" x14ac:dyDescent="0.2">
      <c r="B424" s="4" t="s">
        <v>798</v>
      </c>
      <c r="C424" s="5" t="s">
        <v>799</v>
      </c>
      <c r="D424" s="6" t="s">
        <v>42</v>
      </c>
      <c r="E424" s="6" t="s">
        <v>33</v>
      </c>
      <c r="F424" s="53">
        <v>115</v>
      </c>
      <c r="G424" s="42">
        <v>1.1076954221254365E-4</v>
      </c>
      <c r="H424" s="39">
        <v>35</v>
      </c>
      <c r="I424" s="39">
        <v>60</v>
      </c>
      <c r="J424" s="39"/>
    </row>
    <row r="425" spans="2:10" x14ac:dyDescent="0.2">
      <c r="B425" s="4" t="s">
        <v>800</v>
      </c>
      <c r="C425" s="5" t="s">
        <v>801</v>
      </c>
      <c r="D425" s="6" t="s">
        <v>42</v>
      </c>
      <c r="E425" s="6" t="s">
        <v>33</v>
      </c>
      <c r="F425" s="53">
        <v>126.5</v>
      </c>
      <c r="G425" s="42">
        <v>1.1076954221254365E-4</v>
      </c>
      <c r="H425" s="39">
        <v>38.5</v>
      </c>
      <c r="I425" s="39">
        <v>66</v>
      </c>
      <c r="J425" s="39"/>
    </row>
    <row r="426" spans="2:10" x14ac:dyDescent="0.2">
      <c r="B426" s="4" t="s">
        <v>802</v>
      </c>
      <c r="C426" s="5" t="s">
        <v>803</v>
      </c>
      <c r="D426" s="6" t="s">
        <v>42</v>
      </c>
      <c r="E426" s="6" t="s">
        <v>33</v>
      </c>
      <c r="F426" s="53">
        <v>138</v>
      </c>
      <c r="G426" s="42">
        <v>1.1076954221254365E-4</v>
      </c>
      <c r="H426" s="39">
        <v>42</v>
      </c>
      <c r="I426" s="39">
        <v>72</v>
      </c>
      <c r="J426" s="39"/>
    </row>
    <row r="427" spans="2:10" ht="25.5" x14ac:dyDescent="0.2">
      <c r="B427" s="4" t="s">
        <v>804</v>
      </c>
      <c r="C427" s="5" t="s">
        <v>805</v>
      </c>
      <c r="D427" s="6" t="s">
        <v>42</v>
      </c>
      <c r="E427" s="6" t="s">
        <v>33</v>
      </c>
      <c r="F427" s="53">
        <v>69</v>
      </c>
      <c r="G427" s="42">
        <v>1.1076954221254365E-4</v>
      </c>
      <c r="H427" s="39">
        <v>21</v>
      </c>
      <c r="I427" s="39">
        <v>36</v>
      </c>
      <c r="J427" s="39"/>
    </row>
    <row r="428" spans="2:10" x14ac:dyDescent="0.2">
      <c r="B428" s="4" t="s">
        <v>806</v>
      </c>
      <c r="C428" s="5" t="s">
        <v>793</v>
      </c>
      <c r="D428" s="6" t="s">
        <v>42</v>
      </c>
      <c r="E428" s="6" t="s">
        <v>33</v>
      </c>
      <c r="F428" s="53">
        <v>80.5</v>
      </c>
      <c r="G428" s="42">
        <v>1.1076954221254365E-4</v>
      </c>
      <c r="H428" s="39">
        <v>24.5</v>
      </c>
      <c r="I428" s="39">
        <v>42</v>
      </c>
      <c r="J428" s="39"/>
    </row>
    <row r="429" spans="2:10" x14ac:dyDescent="0.2">
      <c r="B429" s="4" t="s">
        <v>807</v>
      </c>
      <c r="C429" s="5" t="s">
        <v>795</v>
      </c>
      <c r="D429" s="6" t="s">
        <v>42</v>
      </c>
      <c r="E429" s="6" t="s">
        <v>33</v>
      </c>
      <c r="F429" s="53">
        <v>92</v>
      </c>
      <c r="G429" s="42">
        <v>1.1076954221254365E-4</v>
      </c>
      <c r="H429" s="39">
        <v>28</v>
      </c>
      <c r="I429" s="39">
        <v>48</v>
      </c>
      <c r="J429" s="39"/>
    </row>
    <row r="430" spans="2:10" x14ac:dyDescent="0.2">
      <c r="B430" s="4" t="s">
        <v>808</v>
      </c>
      <c r="C430" s="5" t="s">
        <v>797</v>
      </c>
      <c r="D430" s="6" t="s">
        <v>42</v>
      </c>
      <c r="E430" s="6" t="s">
        <v>33</v>
      </c>
      <c r="F430" s="53">
        <v>103.5</v>
      </c>
      <c r="G430" s="42">
        <v>1.1076954221254365E-4</v>
      </c>
      <c r="H430" s="39">
        <v>31.499999999999996</v>
      </c>
      <c r="I430" s="39">
        <v>54</v>
      </c>
      <c r="J430" s="39"/>
    </row>
    <row r="431" spans="2:10" ht="25.5" x14ac:dyDescent="0.2">
      <c r="B431" s="4" t="s">
        <v>809</v>
      </c>
      <c r="C431" s="5" t="s">
        <v>810</v>
      </c>
      <c r="D431" s="6" t="s">
        <v>42</v>
      </c>
      <c r="E431" s="6" t="s">
        <v>33</v>
      </c>
      <c r="F431" s="53">
        <v>115</v>
      </c>
      <c r="G431" s="42">
        <v>1.1076954221254365E-4</v>
      </c>
      <c r="H431" s="39">
        <v>35</v>
      </c>
      <c r="I431" s="39">
        <v>60</v>
      </c>
      <c r="J431" s="39"/>
    </row>
    <row r="432" spans="2:10" ht="25.5" x14ac:dyDescent="0.2">
      <c r="B432" s="4" t="s">
        <v>811</v>
      </c>
      <c r="C432" s="5" t="s">
        <v>812</v>
      </c>
      <c r="D432" s="6" t="s">
        <v>42</v>
      </c>
      <c r="E432" s="6" t="s">
        <v>33</v>
      </c>
      <c r="F432" s="53">
        <v>7.5</v>
      </c>
      <c r="G432" s="42">
        <v>1.1076954221254365E-4</v>
      </c>
      <c r="H432" s="39">
        <v>2.3099999999999996</v>
      </c>
      <c r="I432" s="39">
        <v>3.9599999999999995</v>
      </c>
      <c r="J432" s="39"/>
    </row>
    <row r="433" spans="2:10" ht="25.5" x14ac:dyDescent="0.2">
      <c r="B433" s="4" t="s">
        <v>813</v>
      </c>
      <c r="C433" s="5" t="s">
        <v>814</v>
      </c>
      <c r="D433" s="6" t="s">
        <v>42</v>
      </c>
      <c r="E433" s="6" t="s">
        <v>33</v>
      </c>
      <c r="F433" s="53">
        <v>12.5</v>
      </c>
      <c r="G433" s="42">
        <v>1.1076954221254365E-4</v>
      </c>
      <c r="H433" s="39">
        <v>3.8499999999999996</v>
      </c>
      <c r="I433" s="39">
        <v>6.6</v>
      </c>
      <c r="J433" s="39"/>
    </row>
    <row r="434" spans="2:10" ht="51" x14ac:dyDescent="0.2">
      <c r="B434" s="4" t="s">
        <v>815</v>
      </c>
      <c r="C434" s="5" t="s">
        <v>816</v>
      </c>
      <c r="D434" s="6" t="s">
        <v>42</v>
      </c>
      <c r="E434" s="6" t="s">
        <v>33</v>
      </c>
      <c r="F434" s="53">
        <v>17.5</v>
      </c>
      <c r="G434" s="42">
        <v>1.1076954221254365E-4</v>
      </c>
      <c r="H434" s="39">
        <v>5.39</v>
      </c>
      <c r="I434" s="39">
        <v>9.24</v>
      </c>
      <c r="J434" s="39"/>
    </row>
    <row r="435" spans="2:10" ht="38.25" x14ac:dyDescent="0.2">
      <c r="B435" s="4" t="s">
        <v>817</v>
      </c>
      <c r="C435" s="5" t="s">
        <v>818</v>
      </c>
      <c r="D435" s="6" t="s">
        <v>42</v>
      </c>
      <c r="E435" s="6" t="s">
        <v>33</v>
      </c>
      <c r="F435" s="53">
        <v>7.5</v>
      </c>
      <c r="G435" s="42">
        <v>1.1076954221254365E-4</v>
      </c>
      <c r="H435" s="39">
        <v>2.3099999999999996</v>
      </c>
      <c r="I435" s="39">
        <v>3.9599999999999995</v>
      </c>
      <c r="J435" s="39"/>
    </row>
    <row r="436" spans="2:10" ht="25.5" x14ac:dyDescent="0.2">
      <c r="B436" s="4" t="s">
        <v>819</v>
      </c>
      <c r="C436" s="5" t="s">
        <v>820</v>
      </c>
      <c r="D436" s="6" t="s">
        <v>42</v>
      </c>
      <c r="E436" s="6" t="s">
        <v>33</v>
      </c>
      <c r="F436" s="53">
        <v>25</v>
      </c>
      <c r="G436" s="42">
        <v>1.1076954221254365E-4</v>
      </c>
      <c r="H436" s="39">
        <v>7.6999999999999993</v>
      </c>
      <c r="I436" s="39">
        <v>13.2</v>
      </c>
      <c r="J436" s="39"/>
    </row>
    <row r="437" spans="2:10" ht="63.75" x14ac:dyDescent="0.2">
      <c r="B437" s="4" t="s">
        <v>821</v>
      </c>
      <c r="C437" s="5" t="s">
        <v>822</v>
      </c>
      <c r="D437" s="6" t="s">
        <v>32</v>
      </c>
      <c r="E437" s="6" t="s">
        <v>33</v>
      </c>
      <c r="F437" s="53">
        <v>12.5</v>
      </c>
      <c r="G437" s="42">
        <v>1.1076954221254365E-4</v>
      </c>
      <c r="H437" s="39">
        <v>3.8499999999999996</v>
      </c>
      <c r="I437" s="39">
        <v>6.6</v>
      </c>
      <c r="J437" s="39"/>
    </row>
    <row r="438" spans="2:10" ht="25.5" x14ac:dyDescent="0.2">
      <c r="B438" s="4" t="s">
        <v>823</v>
      </c>
      <c r="C438" s="5" t="s">
        <v>824</v>
      </c>
      <c r="D438" s="6" t="s">
        <v>32</v>
      </c>
      <c r="E438" s="6" t="s">
        <v>33</v>
      </c>
      <c r="F438" s="53">
        <v>3.7</v>
      </c>
      <c r="G438" s="42">
        <v>1.1076954221254365E-4</v>
      </c>
      <c r="H438" s="39">
        <v>1.1549999999999998</v>
      </c>
      <c r="I438" s="39">
        <v>1.9799999999999998</v>
      </c>
      <c r="J438" s="39"/>
    </row>
    <row r="439" spans="2:10" s="7" customFormat="1" x14ac:dyDescent="0.2">
      <c r="B439" s="8" t="s">
        <v>825</v>
      </c>
      <c r="C439" s="5" t="s">
        <v>826</v>
      </c>
      <c r="D439" s="6"/>
      <c r="E439" s="6"/>
      <c r="F439" s="50"/>
      <c r="G439" s="40" t="e">
        <f>#REF!/(COUNTA(#REF!))</f>
        <v>#REF!</v>
      </c>
      <c r="H439" s="41" t="s">
        <v>49</v>
      </c>
      <c r="I439" s="41" t="s">
        <v>49</v>
      </c>
      <c r="J439" s="41"/>
    </row>
    <row r="440" spans="2:10" s="7" customFormat="1" x14ac:dyDescent="0.2">
      <c r="B440" s="4" t="s">
        <v>827</v>
      </c>
      <c r="C440" s="5" t="s">
        <v>828</v>
      </c>
      <c r="D440" s="6"/>
      <c r="E440" s="6"/>
      <c r="F440" s="50"/>
      <c r="G440" s="42">
        <v>7.8218423580977698E-4</v>
      </c>
      <c r="H440" s="41" t="s">
        <v>49</v>
      </c>
      <c r="I440" s="41" t="s">
        <v>49</v>
      </c>
      <c r="J440" s="41"/>
    </row>
    <row r="441" spans="2:10" s="7" customFormat="1" x14ac:dyDescent="0.2">
      <c r="B441" s="4" t="s">
        <v>829</v>
      </c>
      <c r="C441" s="5" t="s">
        <v>830</v>
      </c>
      <c r="D441" s="6" t="s">
        <v>19</v>
      </c>
      <c r="E441" s="6" t="s">
        <v>33</v>
      </c>
      <c r="F441" s="53">
        <v>414.9</v>
      </c>
      <c r="G441" s="42">
        <v>7.8218423580977698E-4</v>
      </c>
      <c r="H441" s="41">
        <v>126.07</v>
      </c>
      <c r="I441" s="41">
        <v>216.11999999999998</v>
      </c>
      <c r="J441" s="41"/>
    </row>
    <row r="442" spans="2:10" s="7" customFormat="1" x14ac:dyDescent="0.2">
      <c r="B442" s="4" t="s">
        <v>831</v>
      </c>
      <c r="C442" s="5" t="s">
        <v>832</v>
      </c>
      <c r="D442" s="6" t="s">
        <v>19</v>
      </c>
      <c r="E442" s="6" t="s">
        <v>33</v>
      </c>
      <c r="F442" s="53">
        <v>276.39999999999998</v>
      </c>
      <c r="G442" s="42">
        <v>7.8218423580977698E-4</v>
      </c>
      <c r="H442" s="41">
        <v>84</v>
      </c>
      <c r="I442" s="41">
        <v>144</v>
      </c>
      <c r="J442" s="41"/>
    </row>
    <row r="443" spans="2:10" s="7" customFormat="1" x14ac:dyDescent="0.2">
      <c r="B443" s="4" t="s">
        <v>833</v>
      </c>
      <c r="C443" s="5" t="s">
        <v>834</v>
      </c>
      <c r="D443" s="6" t="s">
        <v>42</v>
      </c>
      <c r="E443" s="6" t="s">
        <v>33</v>
      </c>
      <c r="F443" s="53">
        <v>20.5</v>
      </c>
      <c r="G443" s="42">
        <v>7.8218423580977698E-4</v>
      </c>
      <c r="H443" s="41">
        <v>6.3</v>
      </c>
      <c r="I443" s="41">
        <v>10.799999999999999</v>
      </c>
      <c r="J443" s="41"/>
    </row>
    <row r="444" spans="2:10" s="7" customFormat="1" ht="25.5" x14ac:dyDescent="0.2">
      <c r="B444" s="4" t="s">
        <v>835</v>
      </c>
      <c r="C444" s="12" t="s">
        <v>836</v>
      </c>
      <c r="D444" s="6" t="s">
        <v>42</v>
      </c>
      <c r="E444" s="6" t="s">
        <v>33</v>
      </c>
      <c r="F444" s="53">
        <v>46</v>
      </c>
      <c r="G444" s="42">
        <v>7.8218423580977698E-4</v>
      </c>
      <c r="H444" s="41">
        <v>70</v>
      </c>
      <c r="I444" s="41">
        <v>120</v>
      </c>
      <c r="J444" s="41"/>
    </row>
    <row r="445" spans="2:10" s="7" customFormat="1" ht="25.5" x14ac:dyDescent="0.2">
      <c r="B445" s="4" t="s">
        <v>837</v>
      </c>
      <c r="C445" s="5" t="s">
        <v>838</v>
      </c>
      <c r="D445" s="6" t="s">
        <v>42</v>
      </c>
      <c r="E445" s="6" t="s">
        <v>33</v>
      </c>
      <c r="F445" s="53">
        <v>62</v>
      </c>
      <c r="G445" s="42">
        <v>7.8218423580977698E-4</v>
      </c>
      <c r="H445" s="41">
        <v>0</v>
      </c>
      <c r="I445" s="41">
        <v>0</v>
      </c>
      <c r="J445" s="41"/>
    </row>
    <row r="446" spans="2:10" s="7" customFormat="1" x14ac:dyDescent="0.2">
      <c r="B446" s="4" t="s">
        <v>839</v>
      </c>
      <c r="C446" s="5" t="s">
        <v>840</v>
      </c>
      <c r="D446" s="6" t="s">
        <v>42</v>
      </c>
      <c r="E446" s="6" t="s">
        <v>33</v>
      </c>
      <c r="F446" s="53">
        <v>76</v>
      </c>
      <c r="G446" s="42">
        <v>7.8218423580977698E-4</v>
      </c>
      <c r="H446" s="41">
        <v>24.5</v>
      </c>
      <c r="I446" s="41">
        <v>42</v>
      </c>
      <c r="J446" s="41"/>
    </row>
    <row r="447" spans="2:10" s="7" customFormat="1" ht="25.5" x14ac:dyDescent="0.2">
      <c r="B447" s="4" t="s">
        <v>841</v>
      </c>
      <c r="C447" s="5" t="s">
        <v>842</v>
      </c>
      <c r="D447" s="6" t="s">
        <v>42</v>
      </c>
      <c r="E447" s="6" t="s">
        <v>33</v>
      </c>
      <c r="F447" s="53">
        <v>62</v>
      </c>
      <c r="G447" s="42">
        <v>7.8218423580977698E-4</v>
      </c>
      <c r="H447" s="41">
        <v>24.5</v>
      </c>
      <c r="I447" s="41">
        <v>42</v>
      </c>
      <c r="J447" s="41"/>
    </row>
    <row r="448" spans="2:10" s="7" customFormat="1" x14ac:dyDescent="0.2">
      <c r="B448" s="4" t="s">
        <v>843</v>
      </c>
      <c r="C448" s="5" t="s">
        <v>840</v>
      </c>
      <c r="D448" s="6" t="s">
        <v>42</v>
      </c>
      <c r="E448" s="6" t="s">
        <v>33</v>
      </c>
      <c r="F448" s="53">
        <v>69</v>
      </c>
      <c r="G448" s="42">
        <v>7.8218423580977698E-4</v>
      </c>
      <c r="H448" s="41">
        <v>23.099999999999998</v>
      </c>
      <c r="I448" s="41">
        <v>39.6</v>
      </c>
      <c r="J448" s="41"/>
    </row>
    <row r="449" spans="2:10" s="7" customFormat="1" x14ac:dyDescent="0.2">
      <c r="B449" s="4" t="s">
        <v>844</v>
      </c>
      <c r="C449" s="5" t="s">
        <v>845</v>
      </c>
      <c r="D449" s="6" t="s">
        <v>42</v>
      </c>
      <c r="E449" s="6" t="s">
        <v>33</v>
      </c>
      <c r="F449" s="53">
        <v>76</v>
      </c>
      <c r="G449" s="42">
        <v>7.8218423580977698E-4</v>
      </c>
      <c r="H449" s="41">
        <v>10.5</v>
      </c>
      <c r="I449" s="41">
        <v>18</v>
      </c>
      <c r="J449" s="41"/>
    </row>
    <row r="450" spans="2:10" s="7" customFormat="1" ht="25.5" x14ac:dyDescent="0.2">
      <c r="B450" s="4" t="s">
        <v>846</v>
      </c>
      <c r="C450" s="5" t="s">
        <v>847</v>
      </c>
      <c r="D450" s="6" t="s">
        <v>42</v>
      </c>
      <c r="E450" s="6" t="s">
        <v>33</v>
      </c>
      <c r="F450" s="53">
        <v>34.5</v>
      </c>
      <c r="G450" s="42">
        <v>7.8218423580977698E-4</v>
      </c>
      <c r="H450" s="41">
        <v>24.226999999999997</v>
      </c>
      <c r="I450" s="41">
        <v>41.531999999999996</v>
      </c>
      <c r="J450" s="41"/>
    </row>
    <row r="451" spans="2:10" s="7" customFormat="1" ht="58.5" customHeight="1" x14ac:dyDescent="0.2">
      <c r="B451" s="4" t="s">
        <v>848</v>
      </c>
      <c r="C451" s="5" t="s">
        <v>849</v>
      </c>
      <c r="D451" s="6" t="s">
        <v>32</v>
      </c>
      <c r="E451" s="6" t="s">
        <v>33</v>
      </c>
      <c r="F451" s="53">
        <v>115</v>
      </c>
      <c r="G451" s="42">
        <v>7.8218423580977698E-4</v>
      </c>
      <c r="H451" s="41">
        <v>35</v>
      </c>
      <c r="I451" s="41">
        <v>60</v>
      </c>
      <c r="J451" s="41"/>
    </row>
    <row r="452" spans="2:10" s="7" customFormat="1" ht="67.5" customHeight="1" x14ac:dyDescent="0.2">
      <c r="B452" s="4" t="s">
        <v>850</v>
      </c>
      <c r="C452" s="5" t="s">
        <v>851</v>
      </c>
      <c r="D452" s="6" t="s">
        <v>32</v>
      </c>
      <c r="E452" s="6" t="s">
        <v>33</v>
      </c>
      <c r="F452" s="53">
        <v>126.5</v>
      </c>
      <c r="G452" s="42">
        <v>7.8218423580977698E-4</v>
      </c>
      <c r="H452" s="41">
        <v>38.5</v>
      </c>
      <c r="I452" s="41">
        <v>66</v>
      </c>
      <c r="J452" s="41"/>
    </row>
    <row r="453" spans="2:10" s="7" customFormat="1" ht="51.75" customHeight="1" x14ac:dyDescent="0.2">
      <c r="B453" s="4" t="s">
        <v>852</v>
      </c>
      <c r="C453" s="5" t="s">
        <v>853</v>
      </c>
      <c r="D453" s="6" t="s">
        <v>32</v>
      </c>
      <c r="E453" s="6" t="s">
        <v>33</v>
      </c>
      <c r="F453" s="53">
        <v>80</v>
      </c>
      <c r="G453" s="42">
        <v>7.8218423580977698E-4</v>
      </c>
      <c r="H453" s="41">
        <v>24.303999999999998</v>
      </c>
      <c r="I453" s="41">
        <v>41.663999999999994</v>
      </c>
      <c r="J453" s="41"/>
    </row>
    <row r="454" spans="2:10" s="7" customFormat="1" x14ac:dyDescent="0.2">
      <c r="B454" s="4" t="s">
        <v>854</v>
      </c>
      <c r="C454" s="5" t="s">
        <v>855</v>
      </c>
      <c r="D454" s="6" t="s">
        <v>42</v>
      </c>
      <c r="E454" s="6" t="s">
        <v>33</v>
      </c>
      <c r="F454" s="53">
        <v>96</v>
      </c>
      <c r="G454" s="42">
        <v>7.8218423580977698E-4</v>
      </c>
      <c r="H454" s="41">
        <v>21.776999999999997</v>
      </c>
      <c r="I454" s="41">
        <v>37.332000000000001</v>
      </c>
      <c r="J454" s="41"/>
    </row>
    <row r="455" spans="2:10" s="7" customFormat="1" x14ac:dyDescent="0.2">
      <c r="B455" s="4" t="s">
        <v>856</v>
      </c>
      <c r="C455" s="5" t="s">
        <v>857</v>
      </c>
      <c r="D455" s="6" t="s">
        <v>42</v>
      </c>
      <c r="E455" s="6" t="s">
        <v>33</v>
      </c>
      <c r="F455" s="53">
        <v>96</v>
      </c>
      <c r="G455" s="42">
        <v>7.8218423580977698E-4</v>
      </c>
      <c r="H455" s="41">
        <v>34.558999999999997</v>
      </c>
      <c r="I455" s="41">
        <v>59.243999999999993</v>
      </c>
      <c r="J455" s="41"/>
    </row>
    <row r="456" spans="2:10" s="7" customFormat="1" x14ac:dyDescent="0.2">
      <c r="B456" s="4" t="s">
        <v>858</v>
      </c>
      <c r="C456" s="5" t="s">
        <v>859</v>
      </c>
      <c r="D456" s="6" t="s">
        <v>42</v>
      </c>
      <c r="E456" s="6" t="s">
        <v>33</v>
      </c>
      <c r="F456" s="53">
        <v>150</v>
      </c>
      <c r="G456" s="42">
        <v>7.8218423580977698E-4</v>
      </c>
      <c r="H456" s="41">
        <v>46.220999999999997</v>
      </c>
      <c r="I456" s="41">
        <v>79.236000000000004</v>
      </c>
      <c r="J456" s="41"/>
    </row>
    <row r="457" spans="2:10" s="7" customFormat="1" x14ac:dyDescent="0.2">
      <c r="B457" s="4" t="s">
        <v>860</v>
      </c>
      <c r="C457" s="5" t="s">
        <v>861</v>
      </c>
      <c r="D457" s="6" t="s">
        <v>42</v>
      </c>
      <c r="E457" s="6" t="s">
        <v>33</v>
      </c>
      <c r="F457" s="53">
        <v>43</v>
      </c>
      <c r="G457" s="42">
        <v>7.8218423580977698E-4</v>
      </c>
      <c r="H457" s="41">
        <v>13.334999999999999</v>
      </c>
      <c r="I457" s="41">
        <v>22.86</v>
      </c>
      <c r="J457" s="41"/>
    </row>
    <row r="458" spans="2:10" s="7" customFormat="1" ht="25.5" x14ac:dyDescent="0.2">
      <c r="B458" s="4" t="s">
        <v>862</v>
      </c>
      <c r="C458" s="5" t="s">
        <v>863</v>
      </c>
      <c r="D458" s="6" t="s">
        <v>42</v>
      </c>
      <c r="E458" s="6" t="s">
        <v>33</v>
      </c>
      <c r="F458" s="53">
        <v>45</v>
      </c>
      <c r="G458" s="42">
        <v>7.8218423580977698E-4</v>
      </c>
      <c r="H458" s="41">
        <v>19.558</v>
      </c>
      <c r="I458" s="41">
        <v>33.527999999999999</v>
      </c>
      <c r="J458" s="41"/>
    </row>
    <row r="459" spans="2:10" s="7" customFormat="1" x14ac:dyDescent="0.2">
      <c r="B459" s="4" t="s">
        <v>864</v>
      </c>
      <c r="C459" s="5" t="s">
        <v>865</v>
      </c>
      <c r="D459" s="6" t="s">
        <v>42</v>
      </c>
      <c r="E459" s="6" t="s">
        <v>33</v>
      </c>
      <c r="F459" s="53">
        <v>120</v>
      </c>
      <c r="G459" s="42">
        <v>7.8218423580977698E-4</v>
      </c>
      <c r="H459" s="41">
        <v>22.337</v>
      </c>
      <c r="I459" s="41">
        <v>38.292000000000002</v>
      </c>
      <c r="J459" s="41"/>
    </row>
    <row r="460" spans="2:10" s="7" customFormat="1" x14ac:dyDescent="0.2">
      <c r="B460" s="4" t="s">
        <v>866</v>
      </c>
      <c r="C460" s="5" t="s">
        <v>867</v>
      </c>
      <c r="D460" s="6" t="s">
        <v>42</v>
      </c>
      <c r="E460" s="6" t="s">
        <v>33</v>
      </c>
      <c r="F460" s="53">
        <v>150</v>
      </c>
      <c r="G460" s="42">
        <v>7.8218423580977698E-4</v>
      </c>
      <c r="H460" s="41">
        <v>22.337</v>
      </c>
      <c r="I460" s="41">
        <v>38.292000000000002</v>
      </c>
      <c r="J460" s="41"/>
    </row>
    <row r="461" spans="2:10" s="7" customFormat="1" x14ac:dyDescent="0.2">
      <c r="B461" s="4" t="s">
        <v>868</v>
      </c>
      <c r="C461" s="5" t="s">
        <v>869</v>
      </c>
      <c r="D461" s="6" t="s">
        <v>42</v>
      </c>
      <c r="E461" s="6" t="s">
        <v>33</v>
      </c>
      <c r="F461" s="53">
        <v>175</v>
      </c>
      <c r="G461" s="42">
        <v>7.8218423580977698E-4</v>
      </c>
      <c r="H461" s="41">
        <v>46.220999999999997</v>
      </c>
      <c r="I461" s="41">
        <v>79.236000000000004</v>
      </c>
      <c r="J461" s="41"/>
    </row>
    <row r="462" spans="2:10" s="7" customFormat="1" ht="35.25" customHeight="1" x14ac:dyDescent="0.2">
      <c r="B462" s="4" t="s">
        <v>870</v>
      </c>
      <c r="C462" s="5" t="s">
        <v>871</v>
      </c>
      <c r="D462" s="6" t="s">
        <v>42</v>
      </c>
      <c r="E462" s="6" t="s">
        <v>33</v>
      </c>
      <c r="F462" s="53">
        <v>150</v>
      </c>
      <c r="G462" s="42">
        <v>7.8218423580977698E-4</v>
      </c>
      <c r="H462" s="41">
        <v>52.5</v>
      </c>
      <c r="I462" s="41">
        <v>90</v>
      </c>
      <c r="J462" s="41"/>
    </row>
    <row r="463" spans="2:10" s="7" customFormat="1" x14ac:dyDescent="0.2">
      <c r="B463" s="4" t="s">
        <v>872</v>
      </c>
      <c r="C463" s="5" t="s">
        <v>867</v>
      </c>
      <c r="D463" s="6" t="s">
        <v>42</v>
      </c>
      <c r="E463" s="6" t="s">
        <v>33</v>
      </c>
      <c r="F463" s="53">
        <v>170</v>
      </c>
      <c r="G463" s="42">
        <v>7.8218423580977698E-4</v>
      </c>
      <c r="H463" s="41">
        <v>52.5</v>
      </c>
      <c r="I463" s="41">
        <v>90</v>
      </c>
      <c r="J463" s="41"/>
    </row>
    <row r="464" spans="2:10" s="7" customFormat="1" x14ac:dyDescent="0.2">
      <c r="B464" s="4" t="s">
        <v>873</v>
      </c>
      <c r="C464" s="9" t="s">
        <v>869</v>
      </c>
      <c r="D464" s="6" t="s">
        <v>42</v>
      </c>
      <c r="E464" s="6" t="s">
        <v>33</v>
      </c>
      <c r="F464" s="53">
        <v>175</v>
      </c>
      <c r="G464" s="42">
        <v>7.8218423580977698E-4</v>
      </c>
      <c r="H464" s="41">
        <v>13.299999999999999</v>
      </c>
      <c r="I464" s="41">
        <v>22.8</v>
      </c>
      <c r="J464" s="41"/>
    </row>
    <row r="465" spans="2:10" s="7" customFormat="1" ht="49.5" customHeight="1" x14ac:dyDescent="0.2">
      <c r="B465" s="4" t="s">
        <v>874</v>
      </c>
      <c r="C465" s="5" t="s">
        <v>875</v>
      </c>
      <c r="D465" s="6" t="s">
        <v>42</v>
      </c>
      <c r="E465" s="6" t="s">
        <v>33</v>
      </c>
      <c r="F465" s="53">
        <v>43.5</v>
      </c>
      <c r="G465" s="42">
        <v>7.8218423580977698E-4</v>
      </c>
      <c r="H465" s="41">
        <v>14.994</v>
      </c>
      <c r="I465" s="41">
        <v>25.704000000000001</v>
      </c>
      <c r="J465" s="41"/>
    </row>
    <row r="466" spans="2:10" s="7" customFormat="1" x14ac:dyDescent="0.2">
      <c r="B466" s="4" t="s">
        <v>876</v>
      </c>
      <c r="C466" s="5" t="s">
        <v>877</v>
      </c>
      <c r="D466" s="6" t="s">
        <v>42</v>
      </c>
      <c r="E466" s="6" t="s">
        <v>33</v>
      </c>
      <c r="F466" s="53">
        <v>49</v>
      </c>
      <c r="G466" s="42">
        <v>7.8218423580977698E-4</v>
      </c>
      <c r="H466" s="41">
        <v>17.555999999999997</v>
      </c>
      <c r="I466" s="41">
        <v>30.095999999999997</v>
      </c>
      <c r="J466" s="41"/>
    </row>
    <row r="467" spans="2:10" s="7" customFormat="1" x14ac:dyDescent="0.2">
      <c r="B467" s="4" t="s">
        <v>878</v>
      </c>
      <c r="C467" s="9" t="s">
        <v>879</v>
      </c>
      <c r="D467" s="6" t="s">
        <v>42</v>
      </c>
      <c r="E467" s="6" t="s">
        <v>33</v>
      </c>
      <c r="F467" s="53">
        <v>57</v>
      </c>
      <c r="G467" s="42">
        <v>7.8218423580977698E-4</v>
      </c>
      <c r="H467" s="41">
        <v>7.56</v>
      </c>
      <c r="I467" s="41">
        <v>12.96</v>
      </c>
      <c r="J467" s="41"/>
    </row>
    <row r="468" spans="2:10" s="7" customFormat="1" ht="38.25" x14ac:dyDescent="0.2">
      <c r="B468" s="4" t="s">
        <v>880</v>
      </c>
      <c r="C468" s="5" t="s">
        <v>881</v>
      </c>
      <c r="D468" s="6" t="s">
        <v>42</v>
      </c>
      <c r="E468" s="6" t="s">
        <v>33</v>
      </c>
      <c r="F468" s="53">
        <v>24.5</v>
      </c>
      <c r="G468" s="42">
        <v>7.8218423580977698E-4</v>
      </c>
      <c r="H468" s="41">
        <v>13.334999999999999</v>
      </c>
      <c r="I468" s="41">
        <v>22.86</v>
      </c>
      <c r="J468" s="41"/>
    </row>
    <row r="469" spans="2:10" s="7" customFormat="1" x14ac:dyDescent="0.2">
      <c r="B469" s="4" t="s">
        <v>882</v>
      </c>
      <c r="C469" s="5" t="s">
        <v>877</v>
      </c>
      <c r="D469" s="6" t="s">
        <v>42</v>
      </c>
      <c r="E469" s="6" t="s">
        <v>33</v>
      </c>
      <c r="F469" s="53">
        <v>47.5</v>
      </c>
      <c r="G469" s="42">
        <v>7.8218423580977698E-4</v>
      </c>
      <c r="H469" s="41">
        <v>15.952999999999998</v>
      </c>
      <c r="I469" s="41">
        <v>27.347999999999999</v>
      </c>
      <c r="J469" s="41"/>
    </row>
    <row r="470" spans="2:10" s="7" customFormat="1" x14ac:dyDescent="0.2">
      <c r="B470" s="4" t="s">
        <v>883</v>
      </c>
      <c r="C470" s="5" t="s">
        <v>879</v>
      </c>
      <c r="D470" s="6" t="s">
        <v>42</v>
      </c>
      <c r="E470" s="6" t="s">
        <v>33</v>
      </c>
      <c r="F470" s="53">
        <v>52.5</v>
      </c>
      <c r="G470" s="42">
        <v>7.8218423580977698E-4</v>
      </c>
      <c r="H470" s="41">
        <v>13.888</v>
      </c>
      <c r="I470" s="41">
        <v>23.808</v>
      </c>
      <c r="J470" s="41"/>
    </row>
    <row r="471" spans="2:10" s="7" customFormat="1" ht="25.5" x14ac:dyDescent="0.2">
      <c r="B471" s="4" t="s">
        <v>884</v>
      </c>
      <c r="C471" s="5" t="s">
        <v>885</v>
      </c>
      <c r="D471" s="6" t="s">
        <v>42</v>
      </c>
      <c r="E471" s="6" t="s">
        <v>33</v>
      </c>
      <c r="F471" s="53">
        <v>49.5</v>
      </c>
      <c r="G471" s="42">
        <v>7.8218423580977698E-4</v>
      </c>
      <c r="H471" s="41">
        <v>15.966999999999999</v>
      </c>
      <c r="I471" s="41">
        <v>27.371999999999996</v>
      </c>
      <c r="J471" s="41"/>
    </row>
    <row r="472" spans="2:10" s="7" customFormat="1" x14ac:dyDescent="0.2">
      <c r="B472" s="4" t="s">
        <v>886</v>
      </c>
      <c r="C472" s="5" t="s">
        <v>887</v>
      </c>
      <c r="D472" s="6" t="s">
        <v>42</v>
      </c>
      <c r="E472" s="6" t="s">
        <v>33</v>
      </c>
      <c r="F472" s="53">
        <v>52.5</v>
      </c>
      <c r="G472" s="42">
        <v>7.8218423580977698E-4</v>
      </c>
      <c r="H472" s="41">
        <v>15.000999999999999</v>
      </c>
      <c r="I472" s="41">
        <v>25.715999999999998</v>
      </c>
      <c r="J472" s="41"/>
    </row>
    <row r="473" spans="2:10" s="7" customFormat="1" x14ac:dyDescent="0.2">
      <c r="B473" s="4" t="s">
        <v>888</v>
      </c>
      <c r="C473" s="5" t="s">
        <v>889</v>
      </c>
      <c r="D473" s="6" t="s">
        <v>42</v>
      </c>
      <c r="E473" s="6" t="s">
        <v>33</v>
      </c>
      <c r="F473" s="53">
        <v>55</v>
      </c>
      <c r="G473" s="42">
        <v>7.8218423580977698E-4</v>
      </c>
      <c r="H473" s="41">
        <v>15.000999999999999</v>
      </c>
      <c r="I473" s="41">
        <v>25.715999999999998</v>
      </c>
      <c r="J473" s="41"/>
    </row>
    <row r="474" spans="2:10" s="7" customFormat="1" ht="25.5" x14ac:dyDescent="0.2">
      <c r="B474" s="4" t="s">
        <v>890</v>
      </c>
      <c r="C474" s="5" t="s">
        <v>891</v>
      </c>
      <c r="D474" s="6" t="s">
        <v>42</v>
      </c>
      <c r="E474" s="6" t="s">
        <v>33</v>
      </c>
      <c r="F474" s="53">
        <v>62</v>
      </c>
      <c r="G474" s="42">
        <v>7.8218423580977698E-4</v>
      </c>
      <c r="H474" s="41">
        <v>20.173999999999999</v>
      </c>
      <c r="I474" s="41">
        <v>34.583999999999996</v>
      </c>
      <c r="J474" s="41"/>
    </row>
    <row r="475" spans="2:10" s="7" customFormat="1" ht="25.5" x14ac:dyDescent="0.2">
      <c r="B475" s="4" t="s">
        <v>892</v>
      </c>
      <c r="C475" s="5" t="s">
        <v>893</v>
      </c>
      <c r="D475" s="6" t="s">
        <v>42</v>
      </c>
      <c r="E475" s="6" t="s">
        <v>33</v>
      </c>
      <c r="F475" s="53">
        <v>66</v>
      </c>
      <c r="G475" s="42">
        <v>7.8218423580977698E-4</v>
      </c>
      <c r="H475" s="41">
        <v>20.173999999999999</v>
      </c>
      <c r="I475" s="41">
        <v>34.583999999999996</v>
      </c>
      <c r="J475" s="41"/>
    </row>
    <row r="476" spans="2:10" s="7" customFormat="1" ht="25.5" x14ac:dyDescent="0.2">
      <c r="B476" s="4" t="s">
        <v>894</v>
      </c>
      <c r="C476" s="5" t="s">
        <v>895</v>
      </c>
      <c r="D476" s="6" t="s">
        <v>42</v>
      </c>
      <c r="E476" s="6" t="s">
        <v>33</v>
      </c>
      <c r="F476" s="53">
        <v>66</v>
      </c>
      <c r="G476" s="42">
        <v>7.8218423580977698E-4</v>
      </c>
      <c r="H476" s="41">
        <v>12.6</v>
      </c>
      <c r="I476" s="41">
        <v>21.599999999999998</v>
      </c>
      <c r="J476" s="41"/>
    </row>
    <row r="477" spans="2:10" s="7" customFormat="1" ht="38.25" x14ac:dyDescent="0.2">
      <c r="B477" s="4" t="s">
        <v>896</v>
      </c>
      <c r="C477" s="5" t="s">
        <v>897</v>
      </c>
      <c r="D477" s="6" t="s">
        <v>42</v>
      </c>
      <c r="E477" s="6" t="s">
        <v>33</v>
      </c>
      <c r="F477" s="53">
        <v>41</v>
      </c>
      <c r="G477" s="42">
        <v>7.8218423580977698E-4</v>
      </c>
      <c r="H477" s="41">
        <v>24.5</v>
      </c>
      <c r="I477" s="41">
        <v>42</v>
      </c>
      <c r="J477" s="41"/>
    </row>
    <row r="478" spans="2:10" s="7" customFormat="1" ht="38.25" x14ac:dyDescent="0.2">
      <c r="B478" s="4" t="s">
        <v>898</v>
      </c>
      <c r="C478" s="9" t="s">
        <v>899</v>
      </c>
      <c r="D478" s="6" t="s">
        <v>32</v>
      </c>
      <c r="E478" s="6" t="s">
        <v>33</v>
      </c>
      <c r="F478" s="53">
        <v>96.5</v>
      </c>
      <c r="G478" s="42">
        <v>7.8218423580977698E-4</v>
      </c>
      <c r="H478" s="41">
        <v>17.71</v>
      </c>
      <c r="I478" s="41">
        <v>30.36</v>
      </c>
      <c r="J478" s="41"/>
    </row>
    <row r="479" spans="2:10" s="7" customFormat="1" ht="51" x14ac:dyDescent="0.2">
      <c r="B479" s="4" t="s">
        <v>900</v>
      </c>
      <c r="C479" s="5" t="s">
        <v>901</v>
      </c>
      <c r="D479" s="6" t="s">
        <v>42</v>
      </c>
      <c r="E479" s="6" t="s">
        <v>33</v>
      </c>
      <c r="F479" s="53">
        <v>58</v>
      </c>
      <c r="G479" s="42">
        <v>7.8218423580977698E-4</v>
      </c>
      <c r="H479" s="41">
        <v>17.71</v>
      </c>
      <c r="I479" s="41">
        <v>30.36</v>
      </c>
      <c r="J479" s="41"/>
    </row>
    <row r="480" spans="2:10" s="7" customFormat="1" ht="38.25" x14ac:dyDescent="0.2">
      <c r="B480" s="4" t="s">
        <v>902</v>
      </c>
      <c r="C480" s="5" t="s">
        <v>903</v>
      </c>
      <c r="D480" s="6" t="s">
        <v>42</v>
      </c>
      <c r="E480" s="6" t="s">
        <v>33</v>
      </c>
      <c r="F480" s="53">
        <v>58</v>
      </c>
      <c r="G480" s="42">
        <v>7.8218423580977698E-4</v>
      </c>
      <c r="H480" s="41">
        <v>24.5</v>
      </c>
      <c r="I480" s="41">
        <v>42</v>
      </c>
      <c r="J480" s="41"/>
    </row>
    <row r="481" spans="2:10" s="7" customFormat="1" ht="38.25" x14ac:dyDescent="0.2">
      <c r="B481" s="4" t="s">
        <v>904</v>
      </c>
      <c r="C481" s="5" t="s">
        <v>905</v>
      </c>
      <c r="D481" s="6" t="s">
        <v>42</v>
      </c>
      <c r="E481" s="6" t="s">
        <v>33</v>
      </c>
      <c r="F481" s="53">
        <v>80</v>
      </c>
      <c r="G481" s="42">
        <v>7.8218423580977698E-4</v>
      </c>
      <c r="H481" s="41">
        <v>24.5</v>
      </c>
      <c r="I481" s="41">
        <v>42</v>
      </c>
      <c r="J481" s="41"/>
    </row>
    <row r="482" spans="2:10" s="7" customFormat="1" x14ac:dyDescent="0.2">
      <c r="B482" s="4" t="s">
        <v>906</v>
      </c>
      <c r="C482" s="5" t="s">
        <v>907</v>
      </c>
      <c r="D482" s="6"/>
      <c r="E482" s="6"/>
      <c r="F482" s="50"/>
      <c r="G482" s="42">
        <v>7.8218423580977698E-4</v>
      </c>
      <c r="H482" s="41" t="s">
        <v>49</v>
      </c>
      <c r="I482" s="41" t="s">
        <v>49</v>
      </c>
      <c r="J482" s="41"/>
    </row>
    <row r="483" spans="2:10" s="7" customFormat="1" ht="25.5" x14ac:dyDescent="0.2">
      <c r="B483" s="4" t="s">
        <v>908</v>
      </c>
      <c r="C483" s="5" t="s">
        <v>909</v>
      </c>
      <c r="D483" s="6" t="s">
        <v>42</v>
      </c>
      <c r="E483" s="6" t="s">
        <v>33</v>
      </c>
      <c r="F483" s="53">
        <v>35.5</v>
      </c>
      <c r="G483" s="42">
        <v>7.8218423580977698E-4</v>
      </c>
      <c r="H483" s="41">
        <v>11.683</v>
      </c>
      <c r="I483" s="41">
        <v>20.028000000000002</v>
      </c>
      <c r="J483" s="41"/>
    </row>
    <row r="484" spans="2:10" s="7" customFormat="1" x14ac:dyDescent="0.2">
      <c r="B484" s="4" t="s">
        <v>910</v>
      </c>
      <c r="C484" s="5" t="s">
        <v>911</v>
      </c>
      <c r="D484" s="6" t="s">
        <v>42</v>
      </c>
      <c r="E484" s="6" t="s">
        <v>33</v>
      </c>
      <c r="F484" s="53">
        <v>38</v>
      </c>
      <c r="G484" s="42">
        <v>7.8218423580977698E-4</v>
      </c>
      <c r="H484" s="41">
        <v>58.834999999999994</v>
      </c>
      <c r="I484" s="41">
        <v>100.86</v>
      </c>
      <c r="J484" s="41"/>
    </row>
    <row r="485" spans="2:10" s="7" customFormat="1" ht="25.5" x14ac:dyDescent="0.2">
      <c r="B485" s="4" t="s">
        <v>912</v>
      </c>
      <c r="C485" s="5" t="s">
        <v>913</v>
      </c>
      <c r="D485" s="6" t="s">
        <v>19</v>
      </c>
      <c r="E485" s="6" t="s">
        <v>33</v>
      </c>
      <c r="F485" s="53">
        <v>190</v>
      </c>
      <c r="G485" s="42">
        <v>7.8218423580977698E-4</v>
      </c>
      <c r="H485" s="41">
        <v>19.488</v>
      </c>
      <c r="I485" s="41">
        <v>33.408000000000001</v>
      </c>
      <c r="J485" s="41"/>
    </row>
    <row r="486" spans="2:10" s="7" customFormat="1" x14ac:dyDescent="0.2">
      <c r="B486" s="4" t="s">
        <v>914</v>
      </c>
      <c r="C486" s="5" t="s">
        <v>915</v>
      </c>
      <c r="D486" s="6" t="s">
        <v>42</v>
      </c>
      <c r="E486" s="6" t="s">
        <v>33</v>
      </c>
      <c r="F486" s="53">
        <v>69</v>
      </c>
      <c r="G486" s="42">
        <v>7.8218423580977698E-4</v>
      </c>
      <c r="H486" s="41">
        <v>21.007000000000001</v>
      </c>
      <c r="I486" s="41">
        <v>36.012</v>
      </c>
      <c r="J486" s="41"/>
    </row>
    <row r="487" spans="2:10" s="7" customFormat="1" x14ac:dyDescent="0.2">
      <c r="B487" s="4" t="s">
        <v>916</v>
      </c>
      <c r="C487" s="5" t="s">
        <v>917</v>
      </c>
      <c r="D487" s="6" t="s">
        <v>42</v>
      </c>
      <c r="E487" s="6" t="s">
        <v>33</v>
      </c>
      <c r="F487" s="53">
        <v>69</v>
      </c>
      <c r="G487" s="42">
        <v>7.8218423580977698E-4</v>
      </c>
      <c r="H487" s="41">
        <v>18.907</v>
      </c>
      <c r="I487" s="41">
        <v>32.411999999999999</v>
      </c>
      <c r="J487" s="41"/>
    </row>
    <row r="488" spans="2:10" s="7" customFormat="1" x14ac:dyDescent="0.2">
      <c r="B488" s="4" t="s">
        <v>918</v>
      </c>
      <c r="C488" s="5" t="s">
        <v>919</v>
      </c>
      <c r="D488" s="6" t="s">
        <v>42</v>
      </c>
      <c r="E488" s="6" t="s">
        <v>33</v>
      </c>
      <c r="F488" s="53">
        <v>62</v>
      </c>
      <c r="G488" s="42">
        <v>7.8218423580977698E-4</v>
      </c>
      <c r="H488" s="41">
        <v>18.907</v>
      </c>
      <c r="I488" s="41">
        <v>32.411999999999999</v>
      </c>
      <c r="J488" s="41"/>
    </row>
    <row r="489" spans="2:10" s="7" customFormat="1" x14ac:dyDescent="0.2">
      <c r="B489" s="4" t="s">
        <v>920</v>
      </c>
      <c r="C489" s="5" t="s">
        <v>921</v>
      </c>
      <c r="D489" s="6" t="s">
        <v>42</v>
      </c>
      <c r="E489" s="6" t="s">
        <v>33</v>
      </c>
      <c r="F489" s="53">
        <v>62</v>
      </c>
      <c r="G489" s="42">
        <v>7.8218423580977698E-4</v>
      </c>
      <c r="H489" s="41">
        <v>21.007000000000001</v>
      </c>
      <c r="I489" s="41">
        <v>36.012</v>
      </c>
      <c r="J489" s="41"/>
    </row>
    <row r="490" spans="2:10" s="7" customFormat="1" x14ac:dyDescent="0.2">
      <c r="B490" s="4" t="s">
        <v>922</v>
      </c>
      <c r="C490" s="5" t="s">
        <v>923</v>
      </c>
      <c r="D490" s="6" t="s">
        <v>42</v>
      </c>
      <c r="E490" s="6" t="s">
        <v>33</v>
      </c>
      <c r="F490" s="53">
        <v>69</v>
      </c>
      <c r="G490" s="42">
        <v>7.8218423580977698E-4</v>
      </c>
      <c r="H490" s="41">
        <v>19.257000000000001</v>
      </c>
      <c r="I490" s="41">
        <v>33.012</v>
      </c>
      <c r="J490" s="41"/>
    </row>
    <row r="491" spans="2:10" s="7" customFormat="1" x14ac:dyDescent="0.2">
      <c r="B491" s="4" t="s">
        <v>924</v>
      </c>
      <c r="C491" s="5" t="s">
        <v>925</v>
      </c>
      <c r="D491" s="6" t="s">
        <v>42</v>
      </c>
      <c r="E491" s="6" t="s">
        <v>33</v>
      </c>
      <c r="F491" s="53">
        <v>69</v>
      </c>
      <c r="G491" s="42">
        <v>7.8218423580977698E-4</v>
      </c>
      <c r="H491" s="41">
        <v>21.007000000000001</v>
      </c>
      <c r="I491" s="41">
        <v>36.012</v>
      </c>
      <c r="J491" s="41"/>
    </row>
    <row r="492" spans="2:10" s="7" customFormat="1" x14ac:dyDescent="0.2">
      <c r="B492" s="4" t="s">
        <v>926</v>
      </c>
      <c r="C492" s="5" t="s">
        <v>927</v>
      </c>
      <c r="D492" s="6" t="s">
        <v>42</v>
      </c>
      <c r="E492" s="6" t="s">
        <v>33</v>
      </c>
      <c r="F492" s="53">
        <v>69</v>
      </c>
      <c r="G492" s="42">
        <v>7.8218423580977698E-4</v>
      </c>
      <c r="H492" s="41">
        <v>4.8860000000000001</v>
      </c>
      <c r="I492" s="41">
        <v>8.3759999999999994</v>
      </c>
      <c r="J492" s="41"/>
    </row>
    <row r="493" spans="2:10" s="7" customFormat="1" x14ac:dyDescent="0.2">
      <c r="B493" s="4" t="s">
        <v>928</v>
      </c>
      <c r="C493" s="5" t="s">
        <v>929</v>
      </c>
      <c r="D493" s="6" t="s">
        <v>32</v>
      </c>
      <c r="E493" s="6" t="s">
        <v>33</v>
      </c>
      <c r="F493" s="53">
        <v>22</v>
      </c>
      <c r="G493" s="42">
        <v>7.8218423580977698E-4</v>
      </c>
      <c r="H493" s="41">
        <v>5.3339999999999996</v>
      </c>
      <c r="I493" s="41">
        <v>9.1440000000000001</v>
      </c>
      <c r="J493" s="41"/>
    </row>
    <row r="494" spans="2:10" s="7" customFormat="1" x14ac:dyDescent="0.2">
      <c r="B494" s="4" t="s">
        <v>930</v>
      </c>
      <c r="C494" s="5" t="s">
        <v>931</v>
      </c>
      <c r="D494" s="6" t="s">
        <v>32</v>
      </c>
      <c r="E494" s="6" t="s">
        <v>33</v>
      </c>
      <c r="F494" s="53">
        <v>22</v>
      </c>
      <c r="G494" s="42">
        <v>7.8218423580977698E-4</v>
      </c>
      <c r="H494" s="41">
        <v>5.7749999999999995</v>
      </c>
      <c r="I494" s="41">
        <v>9.9</v>
      </c>
      <c r="J494" s="41"/>
    </row>
    <row r="495" spans="2:10" s="7" customFormat="1" x14ac:dyDescent="0.2">
      <c r="B495" s="4" t="s">
        <v>932</v>
      </c>
      <c r="C495" s="5" t="s">
        <v>933</v>
      </c>
      <c r="D495" s="6" t="s">
        <v>32</v>
      </c>
      <c r="E495" s="6" t="s">
        <v>33</v>
      </c>
      <c r="F495" s="53">
        <v>22</v>
      </c>
      <c r="G495" s="42">
        <v>7.8218423580977698E-4</v>
      </c>
      <c r="H495" s="41">
        <v>4.8860000000000001</v>
      </c>
      <c r="I495" s="41">
        <v>8.3759999999999994</v>
      </c>
      <c r="J495" s="41"/>
    </row>
    <row r="496" spans="2:10" s="7" customFormat="1" x14ac:dyDescent="0.2">
      <c r="B496" s="4" t="s">
        <v>934</v>
      </c>
      <c r="C496" s="5" t="s">
        <v>935</v>
      </c>
      <c r="D496" s="6" t="s">
        <v>32</v>
      </c>
      <c r="E496" s="6" t="s">
        <v>33</v>
      </c>
      <c r="F496" s="53">
        <v>22</v>
      </c>
      <c r="G496" s="42">
        <v>7.8218423580977698E-4</v>
      </c>
      <c r="H496" s="41">
        <v>4.8860000000000001</v>
      </c>
      <c r="I496" s="41">
        <v>8.3759999999999994</v>
      </c>
      <c r="J496" s="41"/>
    </row>
    <row r="497" spans="2:10" s="7" customFormat="1" x14ac:dyDescent="0.2">
      <c r="B497" s="4" t="s">
        <v>936</v>
      </c>
      <c r="C497" s="5" t="s">
        <v>937</v>
      </c>
      <c r="D497" s="6" t="s">
        <v>32</v>
      </c>
      <c r="E497" s="6" t="s">
        <v>33</v>
      </c>
      <c r="F497" s="53">
        <v>24</v>
      </c>
      <c r="G497" s="42">
        <v>7.8218423580977698E-4</v>
      </c>
      <c r="H497" s="41">
        <v>12.6</v>
      </c>
      <c r="I497" s="41">
        <v>21.599999999999998</v>
      </c>
      <c r="J497" s="41"/>
    </row>
    <row r="498" spans="2:10" s="7" customFormat="1" x14ac:dyDescent="0.2">
      <c r="B498" s="4" t="s">
        <v>938</v>
      </c>
      <c r="C498" s="5" t="s">
        <v>939</v>
      </c>
      <c r="D498" s="6" t="s">
        <v>42</v>
      </c>
      <c r="E498" s="6" t="s">
        <v>33</v>
      </c>
      <c r="F498" s="53">
        <v>41</v>
      </c>
      <c r="G498" s="42">
        <v>7.8218423580977698E-4</v>
      </c>
      <c r="H498" s="41">
        <v>29.414000000000001</v>
      </c>
      <c r="I498" s="41">
        <v>50.423999999999999</v>
      </c>
      <c r="J498" s="41"/>
    </row>
    <row r="499" spans="2:10" s="7" customFormat="1" ht="25.5" x14ac:dyDescent="0.2">
      <c r="B499" s="4" t="s">
        <v>940</v>
      </c>
      <c r="C499" s="5" t="s">
        <v>941</v>
      </c>
      <c r="D499" s="6" t="s">
        <v>42</v>
      </c>
      <c r="E499" s="6" t="s">
        <v>33</v>
      </c>
      <c r="F499" s="53">
        <v>96.5</v>
      </c>
      <c r="G499" s="42">
        <v>7.8218423580977698E-4</v>
      </c>
      <c r="H499" s="41">
        <v>84.042000000000002</v>
      </c>
      <c r="I499" s="41">
        <v>144.072</v>
      </c>
      <c r="J499" s="41"/>
    </row>
    <row r="500" spans="2:10" s="7" customFormat="1" ht="25.5" x14ac:dyDescent="0.2">
      <c r="B500" s="4" t="s">
        <v>942</v>
      </c>
      <c r="C500" s="5" t="s">
        <v>943</v>
      </c>
      <c r="D500" s="6" t="s">
        <v>42</v>
      </c>
      <c r="E500" s="6" t="s">
        <v>33</v>
      </c>
      <c r="F500" s="53">
        <v>276.5</v>
      </c>
      <c r="G500" s="42">
        <v>7.8218423580977698E-4</v>
      </c>
      <c r="H500" s="41">
        <v>20.866999999999997</v>
      </c>
      <c r="I500" s="41">
        <v>35.771999999999998</v>
      </c>
      <c r="J500" s="41"/>
    </row>
    <row r="501" spans="2:10" s="7" customFormat="1" ht="25.5" x14ac:dyDescent="0.2">
      <c r="B501" s="4" t="s">
        <v>944</v>
      </c>
      <c r="C501" s="9" t="s">
        <v>945</v>
      </c>
      <c r="D501" s="6" t="s">
        <v>42</v>
      </c>
      <c r="E501" s="6" t="s">
        <v>33</v>
      </c>
      <c r="F501" s="53">
        <v>68.5</v>
      </c>
      <c r="G501" s="42">
        <v>7.8218423580977698E-4</v>
      </c>
      <c r="H501" s="41">
        <v>23.232999999999997</v>
      </c>
      <c r="I501" s="41">
        <v>39.827999999999996</v>
      </c>
      <c r="J501" s="41"/>
    </row>
    <row r="502" spans="2:10" s="7" customFormat="1" ht="25.5" x14ac:dyDescent="0.2">
      <c r="B502" s="4" t="s">
        <v>946</v>
      </c>
      <c r="C502" s="5" t="s">
        <v>947</v>
      </c>
      <c r="D502" s="6" t="s">
        <v>42</v>
      </c>
      <c r="E502" s="6" t="s">
        <v>33</v>
      </c>
      <c r="F502" s="53">
        <v>76</v>
      </c>
      <c r="G502" s="42">
        <v>7.8218423580977698E-4</v>
      </c>
      <c r="H502" s="41">
        <v>25.626999999999999</v>
      </c>
      <c r="I502" s="41">
        <v>43.931999999999995</v>
      </c>
      <c r="J502" s="41"/>
    </row>
    <row r="503" spans="2:10" s="7" customFormat="1" x14ac:dyDescent="0.2">
      <c r="B503" s="4" t="s">
        <v>948</v>
      </c>
      <c r="C503" s="5" t="s">
        <v>949</v>
      </c>
      <c r="D503" s="6" t="s">
        <v>42</v>
      </c>
      <c r="E503" s="6" t="s">
        <v>33</v>
      </c>
      <c r="F503" s="53">
        <v>84</v>
      </c>
      <c r="G503" s="42">
        <v>7.8218423580977698E-4</v>
      </c>
      <c r="H503" s="41">
        <v>26.95</v>
      </c>
      <c r="I503" s="41">
        <v>46.199999999999996</v>
      </c>
      <c r="J503" s="41"/>
    </row>
    <row r="504" spans="2:10" s="7" customFormat="1" x14ac:dyDescent="0.2">
      <c r="B504" s="4" t="s">
        <v>950</v>
      </c>
      <c r="C504" s="5" t="s">
        <v>951</v>
      </c>
      <c r="D504" s="6" t="s">
        <v>42</v>
      </c>
      <c r="E504" s="6" t="s">
        <v>33</v>
      </c>
      <c r="F504" s="53">
        <v>88.5</v>
      </c>
      <c r="G504" s="42">
        <v>7.8218423580977698E-4</v>
      </c>
      <c r="H504" s="41">
        <v>15.399999999999999</v>
      </c>
      <c r="I504" s="41">
        <v>26.4</v>
      </c>
      <c r="J504" s="41"/>
    </row>
    <row r="505" spans="2:10" s="7" customFormat="1" x14ac:dyDescent="0.2">
      <c r="B505" s="4" t="s">
        <v>952</v>
      </c>
      <c r="C505" s="5" t="s">
        <v>953</v>
      </c>
      <c r="D505" s="6" t="s">
        <v>32</v>
      </c>
      <c r="E505" s="6" t="s">
        <v>33</v>
      </c>
      <c r="F505" s="53">
        <v>50</v>
      </c>
      <c r="G505" s="42">
        <v>7.8218423580977698E-4</v>
      </c>
      <c r="H505" s="41">
        <v>8.2739999999999991</v>
      </c>
      <c r="I505" s="41">
        <v>14.183999999999999</v>
      </c>
      <c r="J505" s="41"/>
    </row>
    <row r="506" spans="2:10" s="7" customFormat="1" ht="25.5" x14ac:dyDescent="0.2">
      <c r="B506" s="4" t="s">
        <v>954</v>
      </c>
      <c r="C506" s="5" t="s">
        <v>955</v>
      </c>
      <c r="D506" s="6" t="s">
        <v>32</v>
      </c>
      <c r="E506" s="6" t="s">
        <v>33</v>
      </c>
      <c r="F506" s="53">
        <v>27</v>
      </c>
      <c r="G506" s="42">
        <v>7.8218423580977698E-4</v>
      </c>
      <c r="H506" s="41">
        <v>27.306999999999999</v>
      </c>
      <c r="I506" s="41">
        <v>46.811999999999998</v>
      </c>
      <c r="J506" s="41"/>
    </row>
    <row r="507" spans="2:10" s="7" customFormat="1" ht="25.5" x14ac:dyDescent="0.2">
      <c r="B507" s="4" t="s">
        <v>956</v>
      </c>
      <c r="C507" s="5" t="s">
        <v>957</v>
      </c>
      <c r="D507" s="6" t="s">
        <v>42</v>
      </c>
      <c r="E507" s="6" t="s">
        <v>33</v>
      </c>
      <c r="F507" s="53">
        <v>89.5</v>
      </c>
      <c r="G507" s="42">
        <v>7.8218423580977698E-4</v>
      </c>
      <c r="H507" s="41">
        <v>6.2370000000000001</v>
      </c>
      <c r="I507" s="41">
        <v>10.692</v>
      </c>
      <c r="J507" s="41"/>
    </row>
    <row r="508" spans="2:10" s="7" customFormat="1" ht="25.5" x14ac:dyDescent="0.2">
      <c r="B508" s="4" t="s">
        <v>958</v>
      </c>
      <c r="C508" s="5" t="s">
        <v>959</v>
      </c>
      <c r="D508" s="6" t="s">
        <v>32</v>
      </c>
      <c r="E508" s="6" t="s">
        <v>33</v>
      </c>
      <c r="F508" s="53">
        <v>22</v>
      </c>
      <c r="G508" s="42">
        <v>7.8218423580977698E-4</v>
      </c>
      <c r="H508" s="41">
        <v>29.414000000000001</v>
      </c>
      <c r="I508" s="41">
        <v>50.423999999999999</v>
      </c>
      <c r="J508" s="41"/>
    </row>
    <row r="509" spans="2:10" s="7" customFormat="1" ht="25.5" x14ac:dyDescent="0.2">
      <c r="B509" s="4" t="s">
        <v>960</v>
      </c>
      <c r="C509" s="5" t="s">
        <v>961</v>
      </c>
      <c r="D509" s="6" t="s">
        <v>42</v>
      </c>
      <c r="E509" s="6" t="s">
        <v>33</v>
      </c>
      <c r="F509" s="53">
        <v>96.5</v>
      </c>
      <c r="G509" s="42">
        <v>7.8218423580977698E-4</v>
      </c>
      <c r="H509" s="41">
        <v>31.513999999999999</v>
      </c>
      <c r="I509" s="41">
        <v>54.024000000000001</v>
      </c>
      <c r="J509" s="41"/>
    </row>
    <row r="510" spans="2:10" s="7" customFormat="1" ht="25.5" x14ac:dyDescent="0.2">
      <c r="B510" s="4" t="s">
        <v>962</v>
      </c>
      <c r="C510" s="5" t="s">
        <v>963</v>
      </c>
      <c r="D510" s="6" t="s">
        <v>42</v>
      </c>
      <c r="E510" s="6" t="s">
        <v>33</v>
      </c>
      <c r="F510" s="53">
        <v>103</v>
      </c>
      <c r="G510" s="42">
        <v>7.8218423580977698E-4</v>
      </c>
      <c r="H510" s="41">
        <v>2.7789999999999999</v>
      </c>
      <c r="I510" s="41">
        <v>4.7640000000000002</v>
      </c>
      <c r="J510" s="41"/>
    </row>
    <row r="511" spans="2:10" s="7" customFormat="1" x14ac:dyDescent="0.2">
      <c r="B511" s="4" t="s">
        <v>964</v>
      </c>
      <c r="C511" s="5" t="s">
        <v>965</v>
      </c>
      <c r="D511" s="6" t="s">
        <v>42</v>
      </c>
      <c r="E511" s="6" t="s">
        <v>33</v>
      </c>
      <c r="F511" s="53">
        <v>14.5</v>
      </c>
      <c r="G511" s="42">
        <v>7.8218423580977698E-4</v>
      </c>
      <c r="H511" s="41">
        <v>2.73</v>
      </c>
      <c r="I511" s="41">
        <v>4.68</v>
      </c>
      <c r="J511" s="41"/>
    </row>
    <row r="512" spans="2:10" s="7" customFormat="1" ht="25.5" x14ac:dyDescent="0.2">
      <c r="B512" s="4" t="s">
        <v>966</v>
      </c>
      <c r="C512" s="5" t="s">
        <v>967</v>
      </c>
      <c r="D512" s="6" t="s">
        <v>42</v>
      </c>
      <c r="E512" s="6" t="s">
        <v>33</v>
      </c>
      <c r="F512" s="53">
        <v>9</v>
      </c>
      <c r="G512" s="42">
        <v>7.8218423580977698E-4</v>
      </c>
      <c r="H512" s="41">
        <v>67.234999999999999</v>
      </c>
      <c r="I512" s="41">
        <v>115.25999999999999</v>
      </c>
      <c r="J512" s="41"/>
    </row>
    <row r="513" spans="2:10" s="7" customFormat="1" ht="38.25" x14ac:dyDescent="0.2">
      <c r="B513" s="4" t="s">
        <v>968</v>
      </c>
      <c r="C513" s="5" t="s">
        <v>969</v>
      </c>
      <c r="D513" s="6" t="s">
        <v>42</v>
      </c>
      <c r="E513" s="6" t="s">
        <v>33</v>
      </c>
      <c r="F513" s="53">
        <v>221</v>
      </c>
      <c r="G513" s="42">
        <v>7.8218423580977698E-4</v>
      </c>
      <c r="H513" s="41">
        <v>80.5</v>
      </c>
      <c r="I513" s="41">
        <v>138</v>
      </c>
      <c r="J513" s="41"/>
    </row>
    <row r="514" spans="2:10" s="7" customFormat="1" x14ac:dyDescent="0.2">
      <c r="B514" s="4" t="s">
        <v>970</v>
      </c>
      <c r="C514" s="5" t="s">
        <v>971</v>
      </c>
      <c r="D514" s="6" t="s">
        <v>42</v>
      </c>
      <c r="E514" s="6" t="s">
        <v>33</v>
      </c>
      <c r="F514" s="53">
        <v>264.95999999999998</v>
      </c>
      <c r="G514" s="42">
        <v>7.8218423580977698E-4</v>
      </c>
      <c r="H514" s="41">
        <v>80.5</v>
      </c>
      <c r="I514" s="41">
        <v>138</v>
      </c>
      <c r="J514" s="41"/>
    </row>
    <row r="515" spans="2:10" s="7" customFormat="1" x14ac:dyDescent="0.2">
      <c r="B515" s="4" t="s">
        <v>972</v>
      </c>
      <c r="C515" s="5" t="s">
        <v>973</v>
      </c>
      <c r="D515" s="6" t="s">
        <v>42</v>
      </c>
      <c r="E515" s="6" t="s">
        <v>33</v>
      </c>
      <c r="F515" s="53">
        <v>230.4</v>
      </c>
      <c r="G515" s="42">
        <v>7.8218423580977698E-4</v>
      </c>
      <c r="H515" s="41">
        <v>61.599999999999994</v>
      </c>
      <c r="I515" s="41">
        <v>105.6</v>
      </c>
      <c r="J515" s="41"/>
    </row>
    <row r="516" spans="2:10" s="7" customFormat="1" ht="25.5" x14ac:dyDescent="0.2">
      <c r="B516" s="4" t="s">
        <v>974</v>
      </c>
      <c r="C516" s="5" t="s">
        <v>975</v>
      </c>
      <c r="D516" s="6" t="s">
        <v>42</v>
      </c>
      <c r="E516" s="6" t="s">
        <v>33</v>
      </c>
      <c r="F516" s="53">
        <v>202.7</v>
      </c>
      <c r="G516" s="42">
        <v>7.8218423580977698E-4</v>
      </c>
      <c r="H516" s="41">
        <v>13.475</v>
      </c>
      <c r="I516" s="41">
        <v>23.099999999999998</v>
      </c>
      <c r="J516" s="41"/>
    </row>
    <row r="517" spans="2:10" s="7" customFormat="1" ht="25.5" x14ac:dyDescent="0.2">
      <c r="B517" s="4" t="s">
        <v>976</v>
      </c>
      <c r="C517" s="5" t="s">
        <v>977</v>
      </c>
      <c r="D517" s="6" t="s">
        <v>66</v>
      </c>
      <c r="E517" s="6" t="s">
        <v>33</v>
      </c>
      <c r="F517" s="53">
        <v>44.3</v>
      </c>
      <c r="G517" s="42">
        <v>7.8218423580977698E-4</v>
      </c>
      <c r="H517" s="41">
        <v>17.5</v>
      </c>
      <c r="I517" s="41">
        <v>30</v>
      </c>
      <c r="J517" s="41"/>
    </row>
    <row r="518" spans="2:10" s="14" customFormat="1" ht="38.25" x14ac:dyDescent="0.2">
      <c r="B518" s="11" t="s">
        <v>978</v>
      </c>
      <c r="C518" s="11" t="s">
        <v>979</v>
      </c>
      <c r="D518" s="13"/>
      <c r="E518" s="13"/>
      <c r="F518" s="51"/>
      <c r="G518" s="40" t="e">
        <f>#REF!/(COUNTA(#REF!))</f>
        <v>#REF!</v>
      </c>
      <c r="H518" s="44" t="s">
        <v>49</v>
      </c>
      <c r="I518" s="44" t="s">
        <v>49</v>
      </c>
      <c r="J518" s="44"/>
    </row>
    <row r="519" spans="2:10" x14ac:dyDescent="0.2">
      <c r="B519" s="4" t="s">
        <v>980</v>
      </c>
      <c r="C519" s="5" t="s">
        <v>500</v>
      </c>
      <c r="D519" s="6"/>
      <c r="E519" s="6"/>
      <c r="F519" s="50"/>
      <c r="G519" s="42">
        <v>3.5499403193898528E-4</v>
      </c>
      <c r="H519" s="39" t="s">
        <v>49</v>
      </c>
      <c r="I519" s="39" t="s">
        <v>49</v>
      </c>
      <c r="J519" s="39"/>
    </row>
    <row r="520" spans="2:10" ht="38.25" x14ac:dyDescent="0.2">
      <c r="B520" s="4" t="s">
        <v>981</v>
      </c>
      <c r="C520" s="9" t="s">
        <v>982</v>
      </c>
      <c r="D520" s="6" t="s">
        <v>42</v>
      </c>
      <c r="E520" s="6" t="s">
        <v>33</v>
      </c>
      <c r="F520" s="53">
        <v>34.5</v>
      </c>
      <c r="G520" s="42">
        <v>3.5499403193898528E-4</v>
      </c>
      <c r="H520" s="39">
        <v>9.7439999999999998</v>
      </c>
      <c r="I520" s="39">
        <v>16.704000000000001</v>
      </c>
      <c r="J520" s="39"/>
    </row>
    <row r="521" spans="2:10" ht="38.25" x14ac:dyDescent="0.2">
      <c r="B521" s="4" t="s">
        <v>983</v>
      </c>
      <c r="C521" s="9" t="s">
        <v>984</v>
      </c>
      <c r="D521" s="6" t="s">
        <v>42</v>
      </c>
      <c r="E521" s="6" t="s">
        <v>33</v>
      </c>
      <c r="F521" s="53">
        <v>38.5</v>
      </c>
      <c r="G521" s="42">
        <v>3.5499403193898528E-4</v>
      </c>
      <c r="H521" s="39">
        <v>11.76</v>
      </c>
      <c r="I521" s="39">
        <v>20.16</v>
      </c>
      <c r="J521" s="39"/>
    </row>
    <row r="522" spans="2:10" ht="51" x14ac:dyDescent="0.2">
      <c r="B522" s="4" t="s">
        <v>985</v>
      </c>
      <c r="C522" s="9" t="s">
        <v>986</v>
      </c>
      <c r="D522" s="6" t="s">
        <v>42</v>
      </c>
      <c r="E522" s="6" t="s">
        <v>33</v>
      </c>
      <c r="F522" s="53">
        <v>40</v>
      </c>
      <c r="G522" s="42">
        <v>3.5499403193898528E-4</v>
      </c>
      <c r="H522" s="39">
        <v>12.186999999999999</v>
      </c>
      <c r="I522" s="39">
        <v>20.891999999999999</v>
      </c>
      <c r="J522" s="39"/>
    </row>
    <row r="523" spans="2:10" x14ac:dyDescent="0.2">
      <c r="B523" s="4" t="s">
        <v>987</v>
      </c>
      <c r="C523" s="5" t="s">
        <v>988</v>
      </c>
      <c r="D523" s="6" t="s">
        <v>42</v>
      </c>
      <c r="E523" s="6" t="s">
        <v>33</v>
      </c>
      <c r="F523" s="53">
        <v>42.5</v>
      </c>
      <c r="G523" s="42">
        <v>3.5499403193898528E-4</v>
      </c>
      <c r="H523" s="39">
        <v>12.957000000000001</v>
      </c>
      <c r="I523" s="39">
        <v>22.212</v>
      </c>
      <c r="J523" s="39"/>
    </row>
    <row r="524" spans="2:10" ht="25.5" x14ac:dyDescent="0.2">
      <c r="B524" s="4" t="s">
        <v>989</v>
      </c>
      <c r="C524" s="9" t="s">
        <v>990</v>
      </c>
      <c r="D524" s="6" t="s">
        <v>42</v>
      </c>
      <c r="E524" s="6" t="s">
        <v>33</v>
      </c>
      <c r="F524" s="53">
        <v>63</v>
      </c>
      <c r="G524" s="42">
        <v>3.5499403193898528E-4</v>
      </c>
      <c r="H524" s="39">
        <v>19.25</v>
      </c>
      <c r="I524" s="39">
        <v>33</v>
      </c>
      <c r="J524" s="39"/>
    </row>
    <row r="525" spans="2:10" ht="25.5" x14ac:dyDescent="0.2">
      <c r="B525" s="4" t="s">
        <v>991</v>
      </c>
      <c r="C525" s="9" t="s">
        <v>992</v>
      </c>
      <c r="D525" s="6" t="s">
        <v>42</v>
      </c>
      <c r="E525" s="6" t="s">
        <v>33</v>
      </c>
      <c r="F525" s="53">
        <v>50.5</v>
      </c>
      <c r="G525" s="42">
        <v>3.5499403193898528E-4</v>
      </c>
      <c r="H525" s="39">
        <v>15.399999999999999</v>
      </c>
      <c r="I525" s="39">
        <v>26.4</v>
      </c>
      <c r="J525" s="39"/>
    </row>
    <row r="526" spans="2:10" x14ac:dyDescent="0.2">
      <c r="B526" s="4" t="s">
        <v>993</v>
      </c>
      <c r="C526" s="5" t="s">
        <v>994</v>
      </c>
      <c r="D526" s="6" t="s">
        <v>42</v>
      </c>
      <c r="E526" s="6" t="s">
        <v>33</v>
      </c>
      <c r="F526" s="53">
        <v>53</v>
      </c>
      <c r="G526" s="42">
        <v>3.5499403193898528E-4</v>
      </c>
      <c r="H526" s="39">
        <v>16.170000000000002</v>
      </c>
      <c r="I526" s="39">
        <v>27.720000000000002</v>
      </c>
      <c r="J526" s="39"/>
    </row>
    <row r="527" spans="2:10" x14ac:dyDescent="0.2">
      <c r="B527" s="4" t="s">
        <v>995</v>
      </c>
      <c r="C527" s="5" t="s">
        <v>996</v>
      </c>
      <c r="D527" s="6" t="s">
        <v>42</v>
      </c>
      <c r="E527" s="6" t="s">
        <v>33</v>
      </c>
      <c r="F527" s="53">
        <v>55</v>
      </c>
      <c r="G527" s="42">
        <v>3.5499403193898528E-4</v>
      </c>
      <c r="H527" s="39">
        <v>16.939999999999998</v>
      </c>
      <c r="I527" s="39">
        <v>29.04</v>
      </c>
      <c r="J527" s="39"/>
    </row>
    <row r="528" spans="2:10" ht="51" x14ac:dyDescent="0.2">
      <c r="B528" s="4" t="s">
        <v>997</v>
      </c>
      <c r="C528" s="15" t="s">
        <v>998</v>
      </c>
      <c r="D528" s="6" t="s">
        <v>42</v>
      </c>
      <c r="E528" s="6" t="s">
        <v>33</v>
      </c>
      <c r="F528" s="53">
        <v>63</v>
      </c>
      <c r="G528" s="42">
        <v>3.5499403193898528E-4</v>
      </c>
      <c r="H528" s="39">
        <v>19.25</v>
      </c>
      <c r="I528" s="39">
        <v>33</v>
      </c>
      <c r="J528" s="39"/>
    </row>
    <row r="529" spans="2:10" ht="51" x14ac:dyDescent="0.2">
      <c r="B529" s="4" t="s">
        <v>999</v>
      </c>
      <c r="C529" s="9" t="s">
        <v>1000</v>
      </c>
      <c r="D529" s="6" t="s">
        <v>42</v>
      </c>
      <c r="E529" s="6" t="s">
        <v>33</v>
      </c>
      <c r="F529" s="53">
        <v>63</v>
      </c>
      <c r="G529" s="42">
        <v>3.5499403193898528E-4</v>
      </c>
      <c r="H529" s="39">
        <v>19.25</v>
      </c>
      <c r="I529" s="39">
        <v>33</v>
      </c>
      <c r="J529" s="39"/>
    </row>
    <row r="530" spans="2:10" x14ac:dyDescent="0.2">
      <c r="B530" s="4" t="s">
        <v>1001</v>
      </c>
      <c r="C530" s="9" t="s">
        <v>1002</v>
      </c>
      <c r="D530" s="6" t="s">
        <v>42</v>
      </c>
      <c r="E530" s="6" t="s">
        <v>33</v>
      </c>
      <c r="F530" s="53">
        <v>41</v>
      </c>
      <c r="G530" s="42">
        <v>3.5499403193898528E-4</v>
      </c>
      <c r="H530" s="39">
        <v>11.69</v>
      </c>
      <c r="I530" s="39">
        <v>20.04</v>
      </c>
      <c r="J530" s="39"/>
    </row>
    <row r="531" spans="2:10" ht="25.5" x14ac:dyDescent="0.2">
      <c r="B531" s="4" t="s">
        <v>1003</v>
      </c>
      <c r="C531" s="9" t="s">
        <v>1004</v>
      </c>
      <c r="D531" s="6" t="s">
        <v>42</v>
      </c>
      <c r="E531" s="6" t="s">
        <v>33</v>
      </c>
      <c r="F531" s="53">
        <v>48</v>
      </c>
      <c r="G531" s="42">
        <v>3.5499403193898528E-4</v>
      </c>
      <c r="H531" s="39">
        <v>14.707000000000001</v>
      </c>
      <c r="I531" s="39">
        <v>25.212</v>
      </c>
      <c r="J531" s="39"/>
    </row>
    <row r="532" spans="2:10" x14ac:dyDescent="0.2">
      <c r="B532" s="4" t="s">
        <v>1005</v>
      </c>
      <c r="C532" s="5" t="s">
        <v>1006</v>
      </c>
      <c r="D532" s="6" t="s">
        <v>42</v>
      </c>
      <c r="E532" s="6" t="s">
        <v>33</v>
      </c>
      <c r="F532" s="53">
        <v>48</v>
      </c>
      <c r="G532" s="42">
        <v>3.5499403193898528E-4</v>
      </c>
      <c r="H532" s="39">
        <v>14.707000000000001</v>
      </c>
      <c r="I532" s="39">
        <v>25.212</v>
      </c>
      <c r="J532" s="39"/>
    </row>
    <row r="533" spans="2:10" x14ac:dyDescent="0.2">
      <c r="B533" s="4" t="s">
        <v>1007</v>
      </c>
      <c r="C533" s="5" t="s">
        <v>1008</v>
      </c>
      <c r="D533" s="6" t="s">
        <v>42</v>
      </c>
      <c r="E533" s="6" t="s">
        <v>33</v>
      </c>
      <c r="F533" s="53">
        <v>48</v>
      </c>
      <c r="G533" s="42">
        <v>3.5499403193898528E-4</v>
      </c>
      <c r="H533" s="39">
        <v>14.707000000000001</v>
      </c>
      <c r="I533" s="39">
        <v>25.212</v>
      </c>
      <c r="J533" s="39"/>
    </row>
    <row r="534" spans="2:10" ht="25.5" x14ac:dyDescent="0.2">
      <c r="B534" s="4" t="s">
        <v>1009</v>
      </c>
      <c r="C534" s="9" t="s">
        <v>1010</v>
      </c>
      <c r="D534" s="6" t="s">
        <v>42</v>
      </c>
      <c r="E534" s="6" t="s">
        <v>33</v>
      </c>
      <c r="F534" s="53">
        <v>48</v>
      </c>
      <c r="G534" s="42">
        <v>3.5499403193898528E-4</v>
      </c>
      <c r="H534" s="39">
        <v>14.707000000000001</v>
      </c>
      <c r="I534" s="39">
        <v>25.212</v>
      </c>
      <c r="J534" s="39"/>
    </row>
    <row r="535" spans="2:10" x14ac:dyDescent="0.2">
      <c r="B535" s="4" t="s">
        <v>1011</v>
      </c>
      <c r="C535" s="5" t="s">
        <v>1012</v>
      </c>
      <c r="D535" s="6" t="s">
        <v>42</v>
      </c>
      <c r="E535" s="6" t="s">
        <v>33</v>
      </c>
      <c r="F535" s="53">
        <v>48</v>
      </c>
      <c r="G535" s="42">
        <v>3.5499403193898528E-4</v>
      </c>
      <c r="H535" s="39">
        <v>14.707000000000001</v>
      </c>
      <c r="I535" s="39">
        <v>25.212</v>
      </c>
      <c r="J535" s="39"/>
    </row>
    <row r="536" spans="2:10" x14ac:dyDescent="0.2">
      <c r="B536" s="4" t="s">
        <v>1013</v>
      </c>
      <c r="C536" s="5" t="s">
        <v>1014</v>
      </c>
      <c r="D536" s="6" t="s">
        <v>42</v>
      </c>
      <c r="E536" s="6" t="s">
        <v>33</v>
      </c>
      <c r="F536" s="53">
        <v>48</v>
      </c>
      <c r="G536" s="42">
        <v>3.5499403193898528E-4</v>
      </c>
      <c r="H536" s="39">
        <v>14.707000000000001</v>
      </c>
      <c r="I536" s="39">
        <v>25.212</v>
      </c>
      <c r="J536" s="39"/>
    </row>
    <row r="537" spans="2:10" ht="51" x14ac:dyDescent="0.2">
      <c r="B537" s="4" t="s">
        <v>1015</v>
      </c>
      <c r="C537" s="9" t="s">
        <v>1016</v>
      </c>
      <c r="D537" s="6" t="s">
        <v>42</v>
      </c>
      <c r="E537" s="6" t="s">
        <v>33</v>
      </c>
      <c r="F537" s="53">
        <v>88.2</v>
      </c>
      <c r="G537" s="42">
        <v>3.5499403193898528E-4</v>
      </c>
      <c r="H537" s="39">
        <v>26.95</v>
      </c>
      <c r="I537" s="39">
        <v>46.199999999999996</v>
      </c>
      <c r="J537" s="39"/>
    </row>
    <row r="538" spans="2:10" x14ac:dyDescent="0.2">
      <c r="B538" s="4" t="s">
        <v>1017</v>
      </c>
      <c r="C538" s="5" t="s">
        <v>1018</v>
      </c>
      <c r="D538" s="6" t="s">
        <v>42</v>
      </c>
      <c r="E538" s="6" t="s">
        <v>33</v>
      </c>
      <c r="F538" s="53">
        <v>88.2</v>
      </c>
      <c r="G538" s="42">
        <v>3.5499403193898528E-4</v>
      </c>
      <c r="H538" s="39">
        <v>26.95</v>
      </c>
      <c r="I538" s="39">
        <v>46.199999999999996</v>
      </c>
      <c r="J538" s="39"/>
    </row>
    <row r="539" spans="2:10" x14ac:dyDescent="0.2">
      <c r="B539" s="4" t="s">
        <v>1019</v>
      </c>
      <c r="C539" s="5" t="s">
        <v>1020</v>
      </c>
      <c r="D539" s="6" t="s">
        <v>42</v>
      </c>
      <c r="E539" s="6" t="s">
        <v>33</v>
      </c>
      <c r="F539" s="53">
        <v>88.2</v>
      </c>
      <c r="G539" s="42">
        <v>3.5499403193898528E-4</v>
      </c>
      <c r="H539" s="39">
        <v>26.95</v>
      </c>
      <c r="I539" s="39">
        <v>46.199999999999996</v>
      </c>
      <c r="J539" s="39"/>
    </row>
    <row r="540" spans="2:10" x14ac:dyDescent="0.2">
      <c r="B540" s="4" t="s">
        <v>1021</v>
      </c>
      <c r="C540" s="5" t="s">
        <v>1022</v>
      </c>
      <c r="D540" s="6" t="s">
        <v>42</v>
      </c>
      <c r="E540" s="6" t="s">
        <v>33</v>
      </c>
      <c r="F540" s="53">
        <v>88.2</v>
      </c>
      <c r="G540" s="42">
        <v>3.5499403193898528E-4</v>
      </c>
      <c r="H540" s="39">
        <v>26.95</v>
      </c>
      <c r="I540" s="39">
        <v>46.199999999999996</v>
      </c>
      <c r="J540" s="39"/>
    </row>
    <row r="541" spans="2:10" x14ac:dyDescent="0.2">
      <c r="B541" s="4" t="s">
        <v>1023</v>
      </c>
      <c r="C541" s="5" t="s">
        <v>1024</v>
      </c>
      <c r="D541" s="6" t="s">
        <v>42</v>
      </c>
      <c r="E541" s="6" t="s">
        <v>33</v>
      </c>
      <c r="F541" s="53">
        <v>88.2</v>
      </c>
      <c r="G541" s="42">
        <v>3.5499403193898528E-4</v>
      </c>
      <c r="H541" s="39">
        <v>26.95</v>
      </c>
      <c r="I541" s="39">
        <v>46.199999999999996</v>
      </c>
      <c r="J541" s="39"/>
    </row>
    <row r="542" spans="2:10" x14ac:dyDescent="0.2">
      <c r="B542" s="4" t="s">
        <v>1025</v>
      </c>
      <c r="C542" s="5" t="s">
        <v>1026</v>
      </c>
      <c r="D542" s="6" t="s">
        <v>42</v>
      </c>
      <c r="E542" s="6" t="s">
        <v>33</v>
      </c>
      <c r="F542" s="53">
        <v>88.2</v>
      </c>
      <c r="G542" s="42">
        <v>3.5499403193898528E-4</v>
      </c>
      <c r="H542" s="39">
        <v>26.95</v>
      </c>
      <c r="I542" s="39">
        <v>46.199999999999996</v>
      </c>
      <c r="J542" s="39"/>
    </row>
    <row r="543" spans="2:10" x14ac:dyDescent="0.2">
      <c r="B543" s="4" t="s">
        <v>1027</v>
      </c>
      <c r="C543" s="5" t="s">
        <v>1028</v>
      </c>
      <c r="D543" s="6" t="s">
        <v>42</v>
      </c>
      <c r="E543" s="6" t="s">
        <v>33</v>
      </c>
      <c r="F543" s="53">
        <v>88.2</v>
      </c>
      <c r="G543" s="42">
        <v>3.5499403193898528E-4</v>
      </c>
      <c r="H543" s="39">
        <v>26.95</v>
      </c>
      <c r="I543" s="39">
        <v>46.199999999999996</v>
      </c>
      <c r="J543" s="39"/>
    </row>
    <row r="544" spans="2:10" x14ac:dyDescent="0.2">
      <c r="B544" s="4" t="s">
        <v>1029</v>
      </c>
      <c r="C544" s="9" t="s">
        <v>1030</v>
      </c>
      <c r="D544" s="6" t="s">
        <v>42</v>
      </c>
      <c r="E544" s="6" t="s">
        <v>33</v>
      </c>
      <c r="F544" s="53">
        <v>25</v>
      </c>
      <c r="G544" s="42">
        <v>3.5499403193898528E-4</v>
      </c>
      <c r="H544" s="39">
        <v>7.6999999999999993</v>
      </c>
      <c r="I544" s="39">
        <v>13.2</v>
      </c>
      <c r="J544" s="39"/>
    </row>
    <row r="545" spans="2:10" ht="25.5" x14ac:dyDescent="0.2">
      <c r="B545" s="4" t="s">
        <v>1031</v>
      </c>
      <c r="C545" s="9" t="s">
        <v>1032</v>
      </c>
      <c r="D545" s="6" t="s">
        <v>66</v>
      </c>
      <c r="E545" s="6" t="s">
        <v>33</v>
      </c>
      <c r="F545" s="53">
        <v>446</v>
      </c>
      <c r="G545" s="42">
        <v>3.5499403193898528E-4</v>
      </c>
      <c r="H545" s="39">
        <v>113.456</v>
      </c>
      <c r="I545" s="39">
        <v>194.49600000000001</v>
      </c>
      <c r="J545" s="39"/>
    </row>
    <row r="546" spans="2:10" ht="38.25" x14ac:dyDescent="0.2">
      <c r="B546" s="4" t="s">
        <v>1033</v>
      </c>
      <c r="C546" s="9" t="s">
        <v>1034</v>
      </c>
      <c r="D546" s="6" t="s">
        <v>42</v>
      </c>
      <c r="E546" s="6" t="s">
        <v>33</v>
      </c>
      <c r="F546" s="53">
        <v>152</v>
      </c>
      <c r="G546" s="42">
        <v>3.5499403193898528E-4</v>
      </c>
      <c r="H546" s="39">
        <v>46.220999999999997</v>
      </c>
      <c r="I546" s="39">
        <v>79.236000000000004</v>
      </c>
      <c r="J546" s="39"/>
    </row>
    <row r="547" spans="2:10" x14ac:dyDescent="0.2">
      <c r="B547" s="4" t="s">
        <v>1035</v>
      </c>
      <c r="C547" s="9" t="s">
        <v>1036</v>
      </c>
      <c r="D547" s="6" t="s">
        <v>42</v>
      </c>
      <c r="E547" s="6" t="s">
        <v>33</v>
      </c>
      <c r="F547" s="53">
        <v>161</v>
      </c>
      <c r="G547" s="42">
        <v>3.5499403193898528E-4</v>
      </c>
      <c r="H547" s="39">
        <v>49</v>
      </c>
      <c r="I547" s="39">
        <v>84</v>
      </c>
      <c r="J547" s="39"/>
    </row>
    <row r="548" spans="2:10" ht="38.25" x14ac:dyDescent="0.2">
      <c r="B548" s="4" t="s">
        <v>1037</v>
      </c>
      <c r="C548" s="9" t="s">
        <v>1038</v>
      </c>
      <c r="D548" s="6" t="s">
        <v>42</v>
      </c>
      <c r="E548" s="6" t="s">
        <v>33</v>
      </c>
      <c r="F548" s="53">
        <v>124</v>
      </c>
      <c r="G548" s="42">
        <v>3.5499403193898528E-4</v>
      </c>
      <c r="H548" s="39">
        <v>37.820999999999998</v>
      </c>
      <c r="I548" s="39">
        <v>64.835999999999999</v>
      </c>
      <c r="J548" s="39"/>
    </row>
    <row r="549" spans="2:10" x14ac:dyDescent="0.2">
      <c r="B549" s="4" t="s">
        <v>1039</v>
      </c>
      <c r="C549" s="9" t="s">
        <v>1036</v>
      </c>
      <c r="D549" s="6" t="s">
        <v>42</v>
      </c>
      <c r="E549" s="6" t="s">
        <v>33</v>
      </c>
      <c r="F549" s="53">
        <v>138</v>
      </c>
      <c r="G549" s="42">
        <v>3.5499403193898528E-4</v>
      </c>
      <c r="H549" s="39">
        <v>42</v>
      </c>
      <c r="I549" s="39">
        <v>72</v>
      </c>
      <c r="J549" s="39"/>
    </row>
    <row r="550" spans="2:10" ht="38.25" x14ac:dyDescent="0.2">
      <c r="B550" s="4" t="s">
        <v>1040</v>
      </c>
      <c r="C550" s="9" t="s">
        <v>1041</v>
      </c>
      <c r="D550" s="6" t="s">
        <v>42</v>
      </c>
      <c r="E550" s="6" t="s">
        <v>33</v>
      </c>
      <c r="F550" s="53">
        <v>110</v>
      </c>
      <c r="G550" s="42">
        <v>3.5499403193898528E-4</v>
      </c>
      <c r="H550" s="39">
        <v>33.613999999999997</v>
      </c>
      <c r="I550" s="39">
        <v>57.624000000000002</v>
      </c>
      <c r="J550" s="39"/>
    </row>
    <row r="551" spans="2:10" x14ac:dyDescent="0.2">
      <c r="B551" s="4" t="s">
        <v>1042</v>
      </c>
      <c r="C551" s="9" t="s">
        <v>1036</v>
      </c>
      <c r="D551" s="6" t="s">
        <v>42</v>
      </c>
      <c r="E551" s="6" t="s">
        <v>33</v>
      </c>
      <c r="F551" s="53">
        <v>115</v>
      </c>
      <c r="G551" s="42">
        <v>3.5499403193898528E-4</v>
      </c>
      <c r="H551" s="39">
        <v>36.4</v>
      </c>
      <c r="I551" s="39">
        <v>62.4</v>
      </c>
      <c r="J551" s="39"/>
    </row>
    <row r="552" spans="2:10" ht="38.25" x14ac:dyDescent="0.2">
      <c r="B552" s="4" t="s">
        <v>1043</v>
      </c>
      <c r="C552" s="9" t="s">
        <v>1044</v>
      </c>
      <c r="D552" s="6" t="s">
        <v>42</v>
      </c>
      <c r="E552" s="6" t="s">
        <v>33</v>
      </c>
      <c r="F552" s="53">
        <v>105</v>
      </c>
      <c r="G552" s="42">
        <v>3.5499403193898528E-4</v>
      </c>
      <c r="H552" s="39">
        <v>31.933999999999997</v>
      </c>
      <c r="I552" s="39">
        <v>54.743999999999993</v>
      </c>
      <c r="J552" s="39"/>
    </row>
    <row r="553" spans="2:10" ht="38.25" x14ac:dyDescent="0.2">
      <c r="B553" s="4" t="s">
        <v>1045</v>
      </c>
      <c r="C553" s="9" t="s">
        <v>1046</v>
      </c>
      <c r="D553" s="6" t="s">
        <v>42</v>
      </c>
      <c r="E553" s="6" t="s">
        <v>33</v>
      </c>
      <c r="F553" s="53">
        <v>95</v>
      </c>
      <c r="G553" s="42">
        <v>3.5499403193898528E-4</v>
      </c>
      <c r="H553" s="39">
        <v>30.247</v>
      </c>
      <c r="I553" s="39">
        <v>51.851999999999997</v>
      </c>
      <c r="J553" s="39"/>
    </row>
    <row r="554" spans="2:10" ht="25.5" x14ac:dyDescent="0.2">
      <c r="B554" s="4" t="s">
        <v>1047</v>
      </c>
      <c r="C554" s="9" t="s">
        <v>1048</v>
      </c>
      <c r="D554" s="6" t="s">
        <v>42</v>
      </c>
      <c r="E554" s="6" t="s">
        <v>33</v>
      </c>
      <c r="F554" s="53">
        <v>110</v>
      </c>
      <c r="G554" s="42">
        <v>3.5499403193898528E-4</v>
      </c>
      <c r="H554" s="39">
        <v>34.44</v>
      </c>
      <c r="I554" s="39">
        <v>59.04</v>
      </c>
      <c r="J554" s="39"/>
    </row>
    <row r="555" spans="2:10" ht="25.5" x14ac:dyDescent="0.2">
      <c r="B555" s="4" t="s">
        <v>1049</v>
      </c>
      <c r="C555" s="9" t="s">
        <v>1050</v>
      </c>
      <c r="D555" s="6" t="s">
        <v>42</v>
      </c>
      <c r="E555" s="6" t="s">
        <v>33</v>
      </c>
      <c r="F555" s="53">
        <v>90</v>
      </c>
      <c r="G555" s="42">
        <v>3.5499403193898528E-4</v>
      </c>
      <c r="H555" s="39">
        <v>27.530999999999999</v>
      </c>
      <c r="I555" s="39">
        <v>47.195999999999998</v>
      </c>
      <c r="J555" s="39"/>
    </row>
    <row r="556" spans="2:10" x14ac:dyDescent="0.2">
      <c r="B556" s="4" t="s">
        <v>1051</v>
      </c>
      <c r="C556" s="5" t="s">
        <v>1052</v>
      </c>
      <c r="D556" s="6" t="s">
        <v>42</v>
      </c>
      <c r="E556" s="6" t="s">
        <v>33</v>
      </c>
      <c r="F556" s="53">
        <v>70</v>
      </c>
      <c r="G556" s="42">
        <v>3.5499403193898528E-4</v>
      </c>
      <c r="H556" s="39">
        <v>21.265999999999998</v>
      </c>
      <c r="I556" s="39">
        <v>36.455999999999996</v>
      </c>
      <c r="J556" s="39"/>
    </row>
    <row r="557" spans="2:10" ht="25.5" x14ac:dyDescent="0.2">
      <c r="B557" s="4" t="s">
        <v>1053</v>
      </c>
      <c r="C557" s="9" t="s">
        <v>1054</v>
      </c>
      <c r="D557" s="6" t="s">
        <v>42</v>
      </c>
      <c r="E557" s="6" t="s">
        <v>33</v>
      </c>
      <c r="F557" s="53">
        <v>96.82</v>
      </c>
      <c r="G557" s="42">
        <v>3.5499403193898528E-4</v>
      </c>
      <c r="H557" s="39">
        <v>29.414000000000001</v>
      </c>
      <c r="I557" s="39">
        <v>50.423999999999999</v>
      </c>
      <c r="J557" s="39"/>
    </row>
    <row r="558" spans="2:10" ht="38.25" x14ac:dyDescent="0.2">
      <c r="B558" s="4" t="s">
        <v>1055</v>
      </c>
      <c r="C558" s="5" t="s">
        <v>1056</v>
      </c>
      <c r="D558" s="6" t="s">
        <v>42</v>
      </c>
      <c r="E558" s="6" t="s">
        <v>33</v>
      </c>
      <c r="F558" s="53">
        <v>250</v>
      </c>
      <c r="G558" s="42">
        <v>3.5499403193898528E-4</v>
      </c>
      <c r="H558" s="39">
        <v>91</v>
      </c>
      <c r="I558" s="39">
        <v>156</v>
      </c>
      <c r="J558" s="39"/>
    </row>
    <row r="559" spans="2:10" x14ac:dyDescent="0.2">
      <c r="B559" s="4" t="s">
        <v>1057</v>
      </c>
      <c r="C559" s="9" t="s">
        <v>1058</v>
      </c>
      <c r="D559" s="6" t="s">
        <v>42</v>
      </c>
      <c r="E559" s="6" t="s">
        <v>33</v>
      </c>
      <c r="F559" s="53">
        <v>223</v>
      </c>
      <c r="G559" s="42">
        <v>3.5499403193898528E-4</v>
      </c>
      <c r="H559" s="39">
        <v>67.871999999999986</v>
      </c>
      <c r="I559" s="39">
        <v>116.35199999999999</v>
      </c>
      <c r="J559" s="39"/>
    </row>
    <row r="560" spans="2:10" ht="38.25" x14ac:dyDescent="0.2">
      <c r="B560" s="4" t="s">
        <v>1059</v>
      </c>
      <c r="C560" s="5" t="s">
        <v>1060</v>
      </c>
      <c r="D560" s="6" t="s">
        <v>42</v>
      </c>
      <c r="E560" s="6" t="s">
        <v>33</v>
      </c>
      <c r="F560" s="53">
        <v>340</v>
      </c>
      <c r="G560" s="42">
        <v>3.5499403193898528E-4</v>
      </c>
      <c r="H560" s="39">
        <v>103.38999999999999</v>
      </c>
      <c r="I560" s="39">
        <v>177.23999999999998</v>
      </c>
      <c r="J560" s="39"/>
    </row>
    <row r="561" spans="2:10" x14ac:dyDescent="0.2">
      <c r="B561" s="4" t="s">
        <v>1061</v>
      </c>
      <c r="C561" s="9" t="s">
        <v>1058</v>
      </c>
      <c r="D561" s="6" t="s">
        <v>42</v>
      </c>
      <c r="E561" s="6" t="s">
        <v>33</v>
      </c>
      <c r="F561" s="53">
        <v>253</v>
      </c>
      <c r="G561" s="42">
        <v>3.5499403193898528E-4</v>
      </c>
      <c r="H561" s="39">
        <v>77</v>
      </c>
      <c r="I561" s="39">
        <v>132</v>
      </c>
      <c r="J561" s="39"/>
    </row>
    <row r="562" spans="2:10" ht="25.5" x14ac:dyDescent="0.2">
      <c r="B562" s="4" t="s">
        <v>1062</v>
      </c>
      <c r="C562" s="9" t="s">
        <v>1063</v>
      </c>
      <c r="D562" s="6" t="s">
        <v>42</v>
      </c>
      <c r="E562" s="6" t="s">
        <v>33</v>
      </c>
      <c r="F562" s="53">
        <v>120</v>
      </c>
      <c r="G562" s="42">
        <v>3.5499403193898528E-4</v>
      </c>
      <c r="H562" s="39">
        <v>36.476999999999997</v>
      </c>
      <c r="I562" s="39">
        <v>62.531999999999996</v>
      </c>
      <c r="J562" s="39"/>
    </row>
    <row r="563" spans="2:10" ht="25.5" x14ac:dyDescent="0.2">
      <c r="B563" s="4" t="s">
        <v>1064</v>
      </c>
      <c r="C563" s="5" t="s">
        <v>1065</v>
      </c>
      <c r="D563" s="6" t="s">
        <v>42</v>
      </c>
      <c r="E563" s="6" t="s">
        <v>33</v>
      </c>
      <c r="F563" s="53">
        <v>190</v>
      </c>
      <c r="G563" s="42">
        <v>3.5499403193898528E-4</v>
      </c>
      <c r="H563" s="39">
        <v>58.001999999999995</v>
      </c>
      <c r="I563" s="39">
        <v>99.432000000000002</v>
      </c>
      <c r="J563" s="39"/>
    </row>
    <row r="564" spans="2:10" x14ac:dyDescent="0.2">
      <c r="B564" s="4" t="s">
        <v>1066</v>
      </c>
      <c r="C564" s="9" t="s">
        <v>1067</v>
      </c>
      <c r="D564" s="6" t="s">
        <v>42</v>
      </c>
      <c r="E564" s="6" t="s">
        <v>33</v>
      </c>
      <c r="F564" s="53">
        <v>76</v>
      </c>
      <c r="G564" s="42">
        <v>3.5499403193898528E-4</v>
      </c>
      <c r="H564" s="39">
        <v>21.048999999999999</v>
      </c>
      <c r="I564" s="39">
        <v>36.083999999999996</v>
      </c>
      <c r="J564" s="39"/>
    </row>
    <row r="565" spans="2:10" x14ac:dyDescent="0.2">
      <c r="B565" s="4" t="s">
        <v>1068</v>
      </c>
      <c r="C565" s="9" t="s">
        <v>1069</v>
      </c>
      <c r="D565" s="6" t="s">
        <v>42</v>
      </c>
      <c r="E565" s="6" t="s">
        <v>33</v>
      </c>
      <c r="F565" s="53">
        <v>76</v>
      </c>
      <c r="G565" s="42">
        <v>3.5499403193898528E-4</v>
      </c>
      <c r="H565" s="39">
        <v>21.048999999999999</v>
      </c>
      <c r="I565" s="39">
        <v>36.083999999999996</v>
      </c>
      <c r="J565" s="39"/>
    </row>
    <row r="566" spans="2:10" ht="25.5" x14ac:dyDescent="0.2">
      <c r="B566" s="4" t="s">
        <v>1070</v>
      </c>
      <c r="C566" s="5" t="s">
        <v>1071</v>
      </c>
      <c r="D566" s="6" t="s">
        <v>42</v>
      </c>
      <c r="E566" s="6" t="s">
        <v>33</v>
      </c>
      <c r="F566" s="53">
        <v>83</v>
      </c>
      <c r="G566" s="42">
        <v>3.5499403193898528E-4</v>
      </c>
      <c r="H566" s="39">
        <v>23.386999999999997</v>
      </c>
      <c r="I566" s="39">
        <v>40.091999999999992</v>
      </c>
      <c r="J566" s="39"/>
    </row>
    <row r="567" spans="2:10" x14ac:dyDescent="0.2">
      <c r="B567" s="4" t="s">
        <v>1072</v>
      </c>
      <c r="C567" s="9" t="s">
        <v>1073</v>
      </c>
      <c r="D567" s="6" t="s">
        <v>42</v>
      </c>
      <c r="E567" s="6" t="s">
        <v>33</v>
      </c>
      <c r="F567" s="53">
        <v>250</v>
      </c>
      <c r="G567" s="42">
        <v>3.5499403193898528E-4</v>
      </c>
      <c r="H567" s="39">
        <v>77</v>
      </c>
      <c r="I567" s="39">
        <v>132</v>
      </c>
      <c r="J567" s="39"/>
    </row>
    <row r="568" spans="2:10" ht="25.5" x14ac:dyDescent="0.2">
      <c r="B568" s="4" t="s">
        <v>1074</v>
      </c>
      <c r="C568" s="9" t="s">
        <v>1075</v>
      </c>
      <c r="D568" s="6" t="s">
        <v>42</v>
      </c>
      <c r="E568" s="6" t="s">
        <v>33</v>
      </c>
      <c r="F568" s="53">
        <v>20</v>
      </c>
      <c r="G568" s="42">
        <v>3.5499403193898528E-4</v>
      </c>
      <c r="H568" s="39">
        <v>6.16</v>
      </c>
      <c r="I568" s="39">
        <v>10.56</v>
      </c>
      <c r="J568" s="39"/>
    </row>
    <row r="569" spans="2:10" x14ac:dyDescent="0.2">
      <c r="B569" s="4" t="s">
        <v>1076</v>
      </c>
      <c r="C569" s="5" t="s">
        <v>1077</v>
      </c>
      <c r="D569" s="6" t="s">
        <v>42</v>
      </c>
      <c r="E569" s="6" t="s">
        <v>33</v>
      </c>
      <c r="F569" s="53">
        <v>22.5</v>
      </c>
      <c r="G569" s="42">
        <v>3.5499403193898528E-4</v>
      </c>
      <c r="H569" s="39">
        <v>6.93</v>
      </c>
      <c r="I569" s="39">
        <v>11.88</v>
      </c>
      <c r="J569" s="39"/>
    </row>
    <row r="570" spans="2:10" x14ac:dyDescent="0.2">
      <c r="B570" s="4" t="s">
        <v>1078</v>
      </c>
      <c r="C570" s="5" t="s">
        <v>1079</v>
      </c>
      <c r="D570" s="6" t="s">
        <v>42</v>
      </c>
      <c r="E570" s="6" t="s">
        <v>33</v>
      </c>
      <c r="F570" s="53">
        <v>30</v>
      </c>
      <c r="G570" s="42">
        <v>3.5499403193898528E-4</v>
      </c>
      <c r="H570" s="39">
        <v>9.2399999999999984</v>
      </c>
      <c r="I570" s="39">
        <v>15.839999999999998</v>
      </c>
      <c r="J570" s="39"/>
    </row>
    <row r="571" spans="2:10" x14ac:dyDescent="0.2">
      <c r="B571" s="4" t="s">
        <v>1080</v>
      </c>
      <c r="C571" s="5" t="s">
        <v>1081</v>
      </c>
      <c r="D571" s="6" t="s">
        <v>42</v>
      </c>
      <c r="E571" s="6" t="s">
        <v>33</v>
      </c>
      <c r="F571" s="53">
        <v>32</v>
      </c>
      <c r="G571" s="42">
        <v>3.5499403193898528E-4</v>
      </c>
      <c r="H571" s="39">
        <v>10.01</v>
      </c>
      <c r="I571" s="39">
        <v>17.16</v>
      </c>
      <c r="J571" s="39"/>
    </row>
    <row r="572" spans="2:10" x14ac:dyDescent="0.2">
      <c r="B572" s="4" t="s">
        <v>1082</v>
      </c>
      <c r="C572" s="5" t="s">
        <v>1083</v>
      </c>
      <c r="D572" s="6" t="s">
        <v>42</v>
      </c>
      <c r="E572" s="6" t="s">
        <v>33</v>
      </c>
      <c r="F572" s="53">
        <v>38</v>
      </c>
      <c r="G572" s="42">
        <v>3.5499403193898528E-4</v>
      </c>
      <c r="H572" s="39">
        <v>11.549999999999999</v>
      </c>
      <c r="I572" s="39">
        <v>19.8</v>
      </c>
      <c r="J572" s="39"/>
    </row>
    <row r="573" spans="2:10" ht="25.5" x14ac:dyDescent="0.2">
      <c r="B573" s="4" t="s">
        <v>1084</v>
      </c>
      <c r="C573" s="9" t="s">
        <v>1085</v>
      </c>
      <c r="D573" s="6" t="s">
        <v>42</v>
      </c>
      <c r="E573" s="6" t="s">
        <v>33</v>
      </c>
      <c r="F573" s="53">
        <v>20.27</v>
      </c>
      <c r="G573" s="42">
        <v>3.5499403193898528E-4</v>
      </c>
      <c r="H573" s="39">
        <v>6.16</v>
      </c>
      <c r="I573" s="39">
        <v>10.56</v>
      </c>
      <c r="J573" s="39"/>
    </row>
    <row r="574" spans="2:10" x14ac:dyDescent="0.2">
      <c r="B574" s="4" t="s">
        <v>1086</v>
      </c>
      <c r="C574" s="5" t="s">
        <v>1077</v>
      </c>
      <c r="D574" s="6" t="s">
        <v>42</v>
      </c>
      <c r="E574" s="6" t="s">
        <v>33</v>
      </c>
      <c r="F574" s="53">
        <v>25.34</v>
      </c>
      <c r="G574" s="42">
        <v>3.5499403193898528E-4</v>
      </c>
      <c r="H574" s="39">
        <v>7.6999999999999993</v>
      </c>
      <c r="I574" s="39">
        <v>13.2</v>
      </c>
      <c r="J574" s="39"/>
    </row>
    <row r="575" spans="2:10" x14ac:dyDescent="0.2">
      <c r="B575" s="4" t="s">
        <v>1087</v>
      </c>
      <c r="C575" s="5" t="s">
        <v>1079</v>
      </c>
      <c r="D575" s="6" t="s">
        <v>42</v>
      </c>
      <c r="E575" s="6" t="s">
        <v>33</v>
      </c>
      <c r="F575" s="53">
        <v>30.4</v>
      </c>
      <c r="G575" s="42">
        <v>3.5499403193898528E-4</v>
      </c>
      <c r="H575" s="39">
        <v>9.2399999999999984</v>
      </c>
      <c r="I575" s="39">
        <v>15.839999999999998</v>
      </c>
      <c r="J575" s="39"/>
    </row>
    <row r="576" spans="2:10" x14ac:dyDescent="0.2">
      <c r="B576" s="4" t="s">
        <v>1088</v>
      </c>
      <c r="C576" s="5" t="s">
        <v>1081</v>
      </c>
      <c r="D576" s="6" t="s">
        <v>42</v>
      </c>
      <c r="E576" s="6" t="s">
        <v>33</v>
      </c>
      <c r="F576" s="53">
        <v>32.9</v>
      </c>
      <c r="G576" s="42">
        <v>3.5499403193898528E-4</v>
      </c>
      <c r="H576" s="39">
        <v>10.01</v>
      </c>
      <c r="I576" s="39">
        <v>17.16</v>
      </c>
      <c r="J576" s="39"/>
    </row>
    <row r="577" spans="2:10" x14ac:dyDescent="0.2">
      <c r="B577" s="4" t="s">
        <v>1089</v>
      </c>
      <c r="C577" s="5" t="s">
        <v>1083</v>
      </c>
      <c r="D577" s="6" t="s">
        <v>42</v>
      </c>
      <c r="E577" s="6" t="s">
        <v>33</v>
      </c>
      <c r="F577" s="53">
        <v>40</v>
      </c>
      <c r="G577" s="42">
        <v>3.5499403193898528E-4</v>
      </c>
      <c r="H577" s="39">
        <v>12.32</v>
      </c>
      <c r="I577" s="39">
        <v>21.12</v>
      </c>
      <c r="J577" s="39"/>
    </row>
    <row r="578" spans="2:10" ht="25.5" x14ac:dyDescent="0.2">
      <c r="B578" s="4" t="s">
        <v>1090</v>
      </c>
      <c r="C578" s="9" t="s">
        <v>1091</v>
      </c>
      <c r="D578" s="6" t="s">
        <v>42</v>
      </c>
      <c r="E578" s="6" t="s">
        <v>33</v>
      </c>
      <c r="F578" s="53">
        <v>83</v>
      </c>
      <c r="G578" s="42">
        <v>3.5499403193898528E-4</v>
      </c>
      <c r="H578" s="39">
        <v>23.071999999999999</v>
      </c>
      <c r="I578" s="39">
        <v>39.552</v>
      </c>
      <c r="J578" s="39"/>
    </row>
    <row r="579" spans="2:10" x14ac:dyDescent="0.2">
      <c r="B579" s="4" t="s">
        <v>1092</v>
      </c>
      <c r="C579" s="5" t="s">
        <v>1093</v>
      </c>
      <c r="D579" s="6" t="s">
        <v>42</v>
      </c>
      <c r="E579" s="6" t="s">
        <v>33</v>
      </c>
      <c r="F579" s="53">
        <v>88.5</v>
      </c>
      <c r="G579" s="42">
        <v>3.5499403193898528E-4</v>
      </c>
      <c r="H579" s="39">
        <v>25.003999999999998</v>
      </c>
      <c r="I579" s="39">
        <v>42.863999999999997</v>
      </c>
      <c r="J579" s="39"/>
    </row>
    <row r="580" spans="2:10" x14ac:dyDescent="0.2">
      <c r="B580" s="4" t="s">
        <v>1094</v>
      </c>
      <c r="C580" s="5" t="s">
        <v>1095</v>
      </c>
      <c r="D580" s="6" t="s">
        <v>42</v>
      </c>
      <c r="E580" s="6" t="s">
        <v>33</v>
      </c>
      <c r="F580" s="53">
        <v>93.5</v>
      </c>
      <c r="G580" s="42">
        <v>3.5499403193898528E-4</v>
      </c>
      <c r="H580" s="39">
        <v>28.49</v>
      </c>
      <c r="I580" s="39">
        <v>48.84</v>
      </c>
      <c r="J580" s="39"/>
    </row>
    <row r="581" spans="2:10" x14ac:dyDescent="0.2">
      <c r="B581" s="4" t="s">
        <v>1096</v>
      </c>
      <c r="C581" s="5" t="s">
        <v>1097</v>
      </c>
      <c r="D581" s="6" t="s">
        <v>42</v>
      </c>
      <c r="E581" s="6" t="s">
        <v>33</v>
      </c>
      <c r="F581" s="53">
        <v>101</v>
      </c>
      <c r="G581" s="42">
        <v>3.5499403193898528E-4</v>
      </c>
      <c r="H581" s="39">
        <v>30.799999999999997</v>
      </c>
      <c r="I581" s="39">
        <v>52.8</v>
      </c>
      <c r="J581" s="39"/>
    </row>
    <row r="582" spans="2:10" x14ac:dyDescent="0.2">
      <c r="B582" s="4" t="s">
        <v>1098</v>
      </c>
      <c r="C582" s="5" t="s">
        <v>1099</v>
      </c>
      <c r="D582" s="6" t="s">
        <v>42</v>
      </c>
      <c r="E582" s="6" t="s">
        <v>33</v>
      </c>
      <c r="F582" s="53">
        <v>101</v>
      </c>
      <c r="G582" s="42">
        <v>3.5499403193898528E-4</v>
      </c>
      <c r="H582" s="39">
        <v>30.799999999999997</v>
      </c>
      <c r="I582" s="39">
        <v>52.8</v>
      </c>
      <c r="J582" s="39"/>
    </row>
    <row r="583" spans="2:10" ht="25.5" x14ac:dyDescent="0.2">
      <c r="B583" s="4" t="s">
        <v>1100</v>
      </c>
      <c r="C583" s="9" t="s">
        <v>1101</v>
      </c>
      <c r="D583" s="6" t="s">
        <v>42</v>
      </c>
      <c r="E583" s="6" t="s">
        <v>33</v>
      </c>
      <c r="F583" s="53">
        <v>40.5</v>
      </c>
      <c r="G583" s="42">
        <v>3.5499403193898528E-4</v>
      </c>
      <c r="H583" s="39">
        <v>12.32</v>
      </c>
      <c r="I583" s="39">
        <v>21.12</v>
      </c>
      <c r="J583" s="39"/>
    </row>
    <row r="584" spans="2:10" x14ac:dyDescent="0.2">
      <c r="B584" s="4" t="s">
        <v>1102</v>
      </c>
      <c r="C584" s="5" t="s">
        <v>1103</v>
      </c>
      <c r="D584" s="6" t="s">
        <v>42</v>
      </c>
      <c r="E584" s="6" t="s">
        <v>33</v>
      </c>
      <c r="F584" s="53">
        <v>40.5</v>
      </c>
      <c r="G584" s="42">
        <v>3.5499403193898528E-4</v>
      </c>
      <c r="H584" s="39">
        <v>12.32</v>
      </c>
      <c r="I584" s="39">
        <v>21.12</v>
      </c>
      <c r="J584" s="39"/>
    </row>
    <row r="585" spans="2:10" x14ac:dyDescent="0.2">
      <c r="B585" s="4" t="s">
        <v>1104</v>
      </c>
      <c r="C585" s="5" t="s">
        <v>1105</v>
      </c>
      <c r="D585" s="6" t="s">
        <v>42</v>
      </c>
      <c r="E585" s="6" t="s">
        <v>33</v>
      </c>
      <c r="F585" s="53">
        <v>40.5</v>
      </c>
      <c r="G585" s="42">
        <v>3.5499403193898528E-4</v>
      </c>
      <c r="H585" s="39">
        <v>12.32</v>
      </c>
      <c r="I585" s="39">
        <v>21.12</v>
      </c>
      <c r="J585" s="39"/>
    </row>
    <row r="586" spans="2:10" x14ac:dyDescent="0.2">
      <c r="B586" s="4" t="s">
        <v>1106</v>
      </c>
      <c r="C586" s="5" t="s">
        <v>1077</v>
      </c>
      <c r="D586" s="6" t="s">
        <v>42</v>
      </c>
      <c r="E586" s="6" t="s">
        <v>33</v>
      </c>
      <c r="F586" s="53">
        <v>40.5</v>
      </c>
      <c r="G586" s="42">
        <v>3.5499403193898528E-4</v>
      </c>
      <c r="H586" s="39">
        <v>12.32</v>
      </c>
      <c r="I586" s="39">
        <v>21.12</v>
      </c>
      <c r="J586" s="39"/>
    </row>
    <row r="587" spans="2:10" x14ac:dyDescent="0.2">
      <c r="B587" s="4" t="s">
        <v>1107</v>
      </c>
      <c r="C587" s="5" t="s">
        <v>1079</v>
      </c>
      <c r="D587" s="6" t="s">
        <v>42</v>
      </c>
      <c r="E587" s="6" t="s">
        <v>33</v>
      </c>
      <c r="F587" s="53">
        <v>43.5</v>
      </c>
      <c r="G587" s="42">
        <v>3.5499403193898528E-4</v>
      </c>
      <c r="H587" s="39">
        <v>12.32</v>
      </c>
      <c r="I587" s="39">
        <v>21.12</v>
      </c>
      <c r="J587" s="39"/>
    </row>
    <row r="588" spans="2:10" x14ac:dyDescent="0.2">
      <c r="B588" s="4" t="s">
        <v>1108</v>
      </c>
      <c r="C588" s="5" t="s">
        <v>1081</v>
      </c>
      <c r="D588" s="6" t="s">
        <v>42</v>
      </c>
      <c r="E588" s="6" t="s">
        <v>33</v>
      </c>
      <c r="F588" s="53">
        <v>52</v>
      </c>
      <c r="G588" s="42">
        <v>3.5499403193898528E-4</v>
      </c>
      <c r="H588" s="39">
        <v>12.32</v>
      </c>
      <c r="I588" s="39">
        <v>21.12</v>
      </c>
      <c r="J588" s="39"/>
    </row>
    <row r="589" spans="2:10" x14ac:dyDescent="0.2">
      <c r="B589" s="4" t="s">
        <v>1109</v>
      </c>
      <c r="C589" s="5" t="s">
        <v>1110</v>
      </c>
      <c r="D589" s="6" t="s">
        <v>42</v>
      </c>
      <c r="E589" s="6" t="s">
        <v>33</v>
      </c>
      <c r="F589" s="53">
        <v>57.5</v>
      </c>
      <c r="G589" s="42">
        <v>3.5499403193898528E-4</v>
      </c>
      <c r="H589" s="39">
        <v>12.32</v>
      </c>
      <c r="I589" s="39">
        <v>21.12</v>
      </c>
      <c r="J589" s="39"/>
    </row>
    <row r="590" spans="2:10" ht="63.75" x14ac:dyDescent="0.2">
      <c r="B590" s="4" t="s">
        <v>1111</v>
      </c>
      <c r="C590" s="9" t="s">
        <v>1112</v>
      </c>
      <c r="D590" s="6" t="s">
        <v>42</v>
      </c>
      <c r="E590" s="6" t="s">
        <v>33</v>
      </c>
      <c r="F590" s="53">
        <v>63</v>
      </c>
      <c r="G590" s="42">
        <v>3.5499403193898528E-4</v>
      </c>
      <c r="H590" s="39">
        <v>19.25</v>
      </c>
      <c r="I590" s="39">
        <v>33</v>
      </c>
      <c r="J590" s="39"/>
    </row>
    <row r="591" spans="2:10" x14ac:dyDescent="0.2">
      <c r="B591" s="4" t="s">
        <v>1113</v>
      </c>
      <c r="C591" s="5" t="s">
        <v>1114</v>
      </c>
      <c r="D591" s="6" t="s">
        <v>42</v>
      </c>
      <c r="E591" s="6" t="s">
        <v>33</v>
      </c>
      <c r="F591" s="53">
        <v>68</v>
      </c>
      <c r="G591" s="42">
        <v>3.5499403193898528E-4</v>
      </c>
      <c r="H591" s="39">
        <v>20.79</v>
      </c>
      <c r="I591" s="39">
        <v>35.64</v>
      </c>
      <c r="J591" s="39"/>
    </row>
    <row r="592" spans="2:10" x14ac:dyDescent="0.2">
      <c r="B592" s="4" t="s">
        <v>1115</v>
      </c>
      <c r="C592" s="5" t="s">
        <v>1116</v>
      </c>
      <c r="D592" s="6" t="s">
        <v>42</v>
      </c>
      <c r="E592" s="6" t="s">
        <v>33</v>
      </c>
      <c r="F592" s="53">
        <v>72.5</v>
      </c>
      <c r="G592" s="42">
        <v>3.5499403193898528E-4</v>
      </c>
      <c r="H592" s="39">
        <v>22.33</v>
      </c>
      <c r="I592" s="39">
        <v>38.279999999999994</v>
      </c>
      <c r="J592" s="39"/>
    </row>
    <row r="593" spans="2:10" x14ac:dyDescent="0.2">
      <c r="B593" s="4" t="s">
        <v>1117</v>
      </c>
      <c r="C593" s="5" t="s">
        <v>1118</v>
      </c>
      <c r="D593" s="6" t="s">
        <v>42</v>
      </c>
      <c r="E593" s="6" t="s">
        <v>33</v>
      </c>
      <c r="F593" s="53">
        <v>78.5</v>
      </c>
      <c r="G593" s="42">
        <v>3.5499403193898528E-4</v>
      </c>
      <c r="H593" s="39">
        <v>23.87</v>
      </c>
      <c r="I593" s="39">
        <v>40.92</v>
      </c>
      <c r="J593" s="39"/>
    </row>
    <row r="594" spans="2:10" x14ac:dyDescent="0.2">
      <c r="B594" s="4" t="s">
        <v>1119</v>
      </c>
      <c r="C594" s="5" t="s">
        <v>1120</v>
      </c>
      <c r="D594" s="6" t="s">
        <v>42</v>
      </c>
      <c r="E594" s="6" t="s">
        <v>33</v>
      </c>
      <c r="F594" s="53">
        <v>88</v>
      </c>
      <c r="G594" s="42">
        <v>3.5499403193898528E-4</v>
      </c>
      <c r="H594" s="39">
        <v>26.95</v>
      </c>
      <c r="I594" s="39">
        <v>46.199999999999996</v>
      </c>
      <c r="J594" s="39"/>
    </row>
    <row r="595" spans="2:10" ht="63.75" x14ac:dyDescent="0.2">
      <c r="B595" s="4" t="s">
        <v>1121</v>
      </c>
      <c r="C595" s="9" t="s">
        <v>1122</v>
      </c>
      <c r="D595" s="6" t="s">
        <v>42</v>
      </c>
      <c r="E595" s="6" t="s">
        <v>33</v>
      </c>
      <c r="F595" s="53">
        <v>63</v>
      </c>
      <c r="G595" s="42">
        <v>3.5499403193898528E-4</v>
      </c>
      <c r="H595" s="39">
        <v>19.25</v>
      </c>
      <c r="I595" s="39">
        <v>33</v>
      </c>
      <c r="J595" s="39"/>
    </row>
    <row r="596" spans="2:10" x14ac:dyDescent="0.2">
      <c r="B596" s="4" t="s">
        <v>1123</v>
      </c>
      <c r="C596" s="5" t="s">
        <v>1114</v>
      </c>
      <c r="D596" s="6" t="s">
        <v>42</v>
      </c>
      <c r="E596" s="6" t="s">
        <v>33</v>
      </c>
      <c r="F596" s="53">
        <v>68</v>
      </c>
      <c r="G596" s="42">
        <v>3.5499403193898528E-4</v>
      </c>
      <c r="H596" s="39">
        <v>20.79</v>
      </c>
      <c r="I596" s="39">
        <v>35.64</v>
      </c>
      <c r="J596" s="39"/>
    </row>
    <row r="597" spans="2:10" x14ac:dyDescent="0.2">
      <c r="B597" s="4" t="s">
        <v>1124</v>
      </c>
      <c r="C597" s="5" t="s">
        <v>1116</v>
      </c>
      <c r="D597" s="6" t="s">
        <v>42</v>
      </c>
      <c r="E597" s="6" t="s">
        <v>33</v>
      </c>
      <c r="F597" s="53">
        <v>73</v>
      </c>
      <c r="G597" s="42">
        <v>3.5499403193898528E-4</v>
      </c>
      <c r="H597" s="39">
        <v>22.33</v>
      </c>
      <c r="I597" s="39">
        <v>38.279999999999994</v>
      </c>
      <c r="J597" s="39"/>
    </row>
    <row r="598" spans="2:10" x14ac:dyDescent="0.2">
      <c r="B598" s="4" t="s">
        <v>1125</v>
      </c>
      <c r="C598" s="5" t="s">
        <v>1118</v>
      </c>
      <c r="D598" s="6" t="s">
        <v>42</v>
      </c>
      <c r="E598" s="6" t="s">
        <v>33</v>
      </c>
      <c r="F598" s="53">
        <v>78</v>
      </c>
      <c r="G598" s="42">
        <v>3.5499403193898528E-4</v>
      </c>
      <c r="H598" s="39">
        <v>23.87</v>
      </c>
      <c r="I598" s="39">
        <v>40.92</v>
      </c>
      <c r="J598" s="39"/>
    </row>
    <row r="599" spans="2:10" x14ac:dyDescent="0.2">
      <c r="B599" s="4" t="s">
        <v>1126</v>
      </c>
      <c r="C599" s="5" t="s">
        <v>1120</v>
      </c>
      <c r="D599" s="6" t="s">
        <v>42</v>
      </c>
      <c r="E599" s="6" t="s">
        <v>33</v>
      </c>
      <c r="F599" s="53">
        <v>88</v>
      </c>
      <c r="G599" s="42">
        <v>3.5499403193898528E-4</v>
      </c>
      <c r="H599" s="39">
        <v>26.95</v>
      </c>
      <c r="I599" s="39">
        <v>46.199999999999996</v>
      </c>
      <c r="J599" s="39"/>
    </row>
    <row r="600" spans="2:10" ht="63.75" x14ac:dyDescent="0.2">
      <c r="B600" s="4" t="s">
        <v>1127</v>
      </c>
      <c r="C600" s="5" t="s">
        <v>1128</v>
      </c>
      <c r="D600" s="6" t="s">
        <v>42</v>
      </c>
      <c r="E600" s="6" t="s">
        <v>33</v>
      </c>
      <c r="F600" s="53">
        <v>63.3</v>
      </c>
      <c r="G600" s="42">
        <v>3.5499403193898528E-4</v>
      </c>
      <c r="H600" s="39">
        <v>19.25</v>
      </c>
      <c r="I600" s="39">
        <v>33</v>
      </c>
      <c r="J600" s="39"/>
    </row>
    <row r="601" spans="2:10" x14ac:dyDescent="0.2">
      <c r="B601" s="4" t="s">
        <v>1129</v>
      </c>
      <c r="C601" s="5" t="s">
        <v>1114</v>
      </c>
      <c r="D601" s="6" t="s">
        <v>42</v>
      </c>
      <c r="E601" s="6" t="s">
        <v>33</v>
      </c>
      <c r="F601" s="53">
        <v>68.400000000000006</v>
      </c>
      <c r="G601" s="42">
        <v>3.5499403193898528E-4</v>
      </c>
      <c r="H601" s="39">
        <v>20.79</v>
      </c>
      <c r="I601" s="39">
        <v>35.64</v>
      </c>
      <c r="J601" s="39"/>
    </row>
    <row r="602" spans="2:10" x14ac:dyDescent="0.2">
      <c r="B602" s="4" t="s">
        <v>1130</v>
      </c>
      <c r="C602" s="5" t="s">
        <v>1116</v>
      </c>
      <c r="D602" s="6" t="s">
        <v>42</v>
      </c>
      <c r="E602" s="6" t="s">
        <v>33</v>
      </c>
      <c r="F602" s="53">
        <v>73.5</v>
      </c>
      <c r="G602" s="42">
        <v>3.5499403193898528E-4</v>
      </c>
      <c r="H602" s="39">
        <v>22.33</v>
      </c>
      <c r="I602" s="39">
        <v>38.279999999999994</v>
      </c>
      <c r="J602" s="39"/>
    </row>
    <row r="603" spans="2:10" x14ac:dyDescent="0.2">
      <c r="B603" s="4" t="s">
        <v>1131</v>
      </c>
      <c r="C603" s="5" t="s">
        <v>1118</v>
      </c>
      <c r="D603" s="6" t="s">
        <v>42</v>
      </c>
      <c r="E603" s="6" t="s">
        <v>33</v>
      </c>
      <c r="F603" s="53">
        <v>78.56</v>
      </c>
      <c r="G603" s="42">
        <v>3.5499403193898528E-4</v>
      </c>
      <c r="H603" s="39">
        <v>23.87</v>
      </c>
      <c r="I603" s="39">
        <v>40.92</v>
      </c>
      <c r="J603" s="39"/>
    </row>
    <row r="604" spans="2:10" x14ac:dyDescent="0.2">
      <c r="B604" s="4" t="s">
        <v>1132</v>
      </c>
      <c r="C604" s="5" t="s">
        <v>1120</v>
      </c>
      <c r="D604" s="6" t="s">
        <v>42</v>
      </c>
      <c r="E604" s="6" t="s">
        <v>33</v>
      </c>
      <c r="F604" s="53">
        <v>88.5</v>
      </c>
      <c r="G604" s="42">
        <v>3.5499403193898528E-4</v>
      </c>
      <c r="H604" s="39">
        <v>26.95</v>
      </c>
      <c r="I604" s="39">
        <v>46.199999999999996</v>
      </c>
      <c r="J604" s="39"/>
    </row>
    <row r="605" spans="2:10" ht="51" x14ac:dyDescent="0.2">
      <c r="B605" s="4" t="s">
        <v>1133</v>
      </c>
      <c r="C605" s="5" t="s">
        <v>1134</v>
      </c>
      <c r="D605" s="6" t="s">
        <v>42</v>
      </c>
      <c r="E605" s="6" t="s">
        <v>33</v>
      </c>
      <c r="F605" s="53">
        <v>75.900000000000006</v>
      </c>
      <c r="G605" s="42">
        <v>3.5499403193898528E-4</v>
      </c>
      <c r="H605" s="39">
        <v>23.099999999999998</v>
      </c>
      <c r="I605" s="39">
        <v>39.6</v>
      </c>
      <c r="J605" s="39"/>
    </row>
    <row r="606" spans="2:10" x14ac:dyDescent="0.2">
      <c r="B606" s="4" t="s">
        <v>1135</v>
      </c>
      <c r="C606" s="5" t="s">
        <v>1136</v>
      </c>
      <c r="D606" s="6" t="s">
        <v>42</v>
      </c>
      <c r="E606" s="6" t="s">
        <v>33</v>
      </c>
      <c r="F606" s="53">
        <v>81.099999999999994</v>
      </c>
      <c r="G606" s="42">
        <v>3.5499403193898528E-4</v>
      </c>
      <c r="H606" s="39">
        <v>24.64</v>
      </c>
      <c r="I606" s="39">
        <v>42.24</v>
      </c>
      <c r="J606" s="39"/>
    </row>
    <row r="607" spans="2:10" x14ac:dyDescent="0.2">
      <c r="B607" s="4" t="s">
        <v>1137</v>
      </c>
      <c r="C607" s="5" t="s">
        <v>1138</v>
      </c>
      <c r="D607" s="6" t="s">
        <v>42</v>
      </c>
      <c r="E607" s="6" t="s">
        <v>33</v>
      </c>
      <c r="F607" s="53">
        <v>86.18</v>
      </c>
      <c r="G607" s="42">
        <v>3.5499403193898528E-4</v>
      </c>
      <c r="H607" s="39">
        <v>26.179999999999996</v>
      </c>
      <c r="I607" s="39">
        <v>44.879999999999995</v>
      </c>
      <c r="J607" s="39"/>
    </row>
    <row r="608" spans="2:10" x14ac:dyDescent="0.2">
      <c r="B608" s="4" t="s">
        <v>1139</v>
      </c>
      <c r="C608" s="5" t="s">
        <v>164</v>
      </c>
      <c r="D608" s="6"/>
      <c r="E608" s="6"/>
      <c r="F608" s="50"/>
      <c r="G608" s="42">
        <v>3.5499403193898528E-4</v>
      </c>
      <c r="H608" s="39" t="s">
        <v>49</v>
      </c>
      <c r="I608" s="39" t="s">
        <v>49</v>
      </c>
      <c r="J608" s="39"/>
    </row>
    <row r="609" spans="2:10" ht="38.25" x14ac:dyDescent="0.2">
      <c r="B609" s="4" t="s">
        <v>1140</v>
      </c>
      <c r="C609" s="5" t="s">
        <v>1141</v>
      </c>
      <c r="D609" s="6" t="s">
        <v>42</v>
      </c>
      <c r="E609" s="6" t="s">
        <v>33</v>
      </c>
      <c r="F609" s="53">
        <v>36.65</v>
      </c>
      <c r="G609" s="42">
        <v>3.5499403193898528E-4</v>
      </c>
      <c r="H609" s="39">
        <v>11.129999999999999</v>
      </c>
      <c r="I609" s="39">
        <v>19.079999999999998</v>
      </c>
      <c r="J609" s="39"/>
    </row>
    <row r="610" spans="2:10" ht="38.25" x14ac:dyDescent="0.2">
      <c r="B610" s="4" t="s">
        <v>1142</v>
      </c>
      <c r="C610" s="9" t="s">
        <v>1143</v>
      </c>
      <c r="D610" s="6" t="s">
        <v>42</v>
      </c>
      <c r="E610" s="6" t="s">
        <v>33</v>
      </c>
      <c r="F610" s="53">
        <v>41.4</v>
      </c>
      <c r="G610" s="42">
        <v>3.5499403193898528E-4</v>
      </c>
      <c r="H610" s="39">
        <v>12.6</v>
      </c>
      <c r="I610" s="39">
        <v>21.599999999999998</v>
      </c>
      <c r="J610" s="39"/>
    </row>
    <row r="611" spans="2:10" x14ac:dyDescent="0.2">
      <c r="B611" s="4" t="s">
        <v>1144</v>
      </c>
      <c r="C611" s="5" t="s">
        <v>1145</v>
      </c>
      <c r="D611" s="6" t="s">
        <v>42</v>
      </c>
      <c r="E611" s="6" t="s">
        <v>33</v>
      </c>
      <c r="F611" s="53">
        <v>41.4</v>
      </c>
      <c r="G611" s="42">
        <v>3.5499403193898528E-4</v>
      </c>
      <c r="H611" s="39">
        <v>12.6</v>
      </c>
      <c r="I611" s="39">
        <v>21.599999999999998</v>
      </c>
      <c r="J611" s="39"/>
    </row>
    <row r="612" spans="2:10" x14ac:dyDescent="0.2">
      <c r="B612" s="4" t="s">
        <v>1146</v>
      </c>
      <c r="C612" s="9" t="s">
        <v>1147</v>
      </c>
      <c r="D612" s="6" t="s">
        <v>42</v>
      </c>
      <c r="E612" s="6" t="s">
        <v>33</v>
      </c>
      <c r="F612" s="53">
        <v>96.8</v>
      </c>
      <c r="G612" s="42">
        <v>3.5499403193898528E-4</v>
      </c>
      <c r="H612" s="39">
        <v>29.414000000000001</v>
      </c>
      <c r="I612" s="39">
        <v>50.423999999999999</v>
      </c>
      <c r="J612" s="39"/>
    </row>
    <row r="613" spans="2:10" x14ac:dyDescent="0.2">
      <c r="B613" s="4" t="s">
        <v>1148</v>
      </c>
      <c r="C613" s="9" t="s">
        <v>1149</v>
      </c>
      <c r="D613" s="6" t="s">
        <v>42</v>
      </c>
      <c r="E613" s="6" t="s">
        <v>33</v>
      </c>
      <c r="F613" s="53">
        <v>96.8</v>
      </c>
      <c r="G613" s="42">
        <v>3.5499403193898528E-4</v>
      </c>
      <c r="H613" s="39">
        <v>29.414000000000001</v>
      </c>
      <c r="I613" s="39">
        <v>50.423999999999999</v>
      </c>
      <c r="J613" s="39"/>
    </row>
    <row r="614" spans="2:10" x14ac:dyDescent="0.2">
      <c r="B614" s="4" t="s">
        <v>1150</v>
      </c>
      <c r="C614" s="9" t="s">
        <v>1151</v>
      </c>
      <c r="D614" s="6" t="s">
        <v>42</v>
      </c>
      <c r="E614" s="6" t="s">
        <v>33</v>
      </c>
      <c r="F614" s="53">
        <v>126.5</v>
      </c>
      <c r="G614" s="42">
        <v>3.5499403193898528E-4</v>
      </c>
      <c r="H614" s="39">
        <v>38.5</v>
      </c>
      <c r="I614" s="39">
        <v>66</v>
      </c>
      <c r="J614" s="39"/>
    </row>
    <row r="615" spans="2:10" x14ac:dyDescent="0.2">
      <c r="B615" s="4" t="s">
        <v>1152</v>
      </c>
      <c r="C615" s="9" t="s">
        <v>1153</v>
      </c>
      <c r="D615" s="6" t="s">
        <v>42</v>
      </c>
      <c r="E615" s="6" t="s">
        <v>33</v>
      </c>
      <c r="F615" s="53">
        <v>96.5</v>
      </c>
      <c r="G615" s="42">
        <v>3.5499403193898528E-4</v>
      </c>
      <c r="H615" s="39">
        <v>27.285999999999998</v>
      </c>
      <c r="I615" s="39">
        <v>46.775999999999996</v>
      </c>
      <c r="J615" s="39"/>
    </row>
    <row r="616" spans="2:10" x14ac:dyDescent="0.2">
      <c r="B616" s="4" t="s">
        <v>1154</v>
      </c>
      <c r="C616" s="9" t="s">
        <v>1155</v>
      </c>
      <c r="D616" s="6" t="s">
        <v>42</v>
      </c>
      <c r="E616" s="6" t="s">
        <v>33</v>
      </c>
      <c r="F616" s="53">
        <v>96.5</v>
      </c>
      <c r="G616" s="42">
        <v>3.5499403193898528E-4</v>
      </c>
      <c r="H616" s="39">
        <v>27.285999999999998</v>
      </c>
      <c r="I616" s="39">
        <v>46.775999999999996</v>
      </c>
      <c r="J616" s="39"/>
    </row>
    <row r="617" spans="2:10" ht="25.5" x14ac:dyDescent="0.2">
      <c r="B617" s="4" t="s">
        <v>1156</v>
      </c>
      <c r="C617" s="5" t="s">
        <v>1157</v>
      </c>
      <c r="D617" s="6" t="s">
        <v>42</v>
      </c>
      <c r="E617" s="6" t="s">
        <v>33</v>
      </c>
      <c r="F617" s="53">
        <v>110.5</v>
      </c>
      <c r="G617" s="42">
        <v>3.5499403193898528E-4</v>
      </c>
      <c r="H617" s="39">
        <v>33.613999999999997</v>
      </c>
      <c r="I617" s="39">
        <v>57.624000000000002</v>
      </c>
      <c r="J617" s="39"/>
    </row>
    <row r="618" spans="2:10" x14ac:dyDescent="0.2">
      <c r="B618" s="4" t="s">
        <v>1158</v>
      </c>
      <c r="C618" s="5" t="s">
        <v>1159</v>
      </c>
      <c r="D618" s="6" t="s">
        <v>42</v>
      </c>
      <c r="E618" s="6" t="s">
        <v>33</v>
      </c>
      <c r="F618" s="53">
        <v>110.5</v>
      </c>
      <c r="G618" s="42">
        <v>3.5499403193898528E-4</v>
      </c>
      <c r="H618" s="39">
        <v>33.613999999999997</v>
      </c>
      <c r="I618" s="39">
        <v>57.624000000000002</v>
      </c>
      <c r="J618" s="39"/>
    </row>
    <row r="619" spans="2:10" x14ac:dyDescent="0.2">
      <c r="B619" s="4" t="s">
        <v>1160</v>
      </c>
      <c r="C619" s="5" t="s">
        <v>1161</v>
      </c>
      <c r="D619" s="6" t="s">
        <v>42</v>
      </c>
      <c r="E619" s="6" t="s">
        <v>33</v>
      </c>
      <c r="F619" s="53">
        <v>110.5</v>
      </c>
      <c r="G619" s="42">
        <v>3.5499403193898528E-4</v>
      </c>
      <c r="H619" s="39">
        <v>33.613999999999997</v>
      </c>
      <c r="I619" s="39">
        <v>57.624000000000002</v>
      </c>
      <c r="J619" s="39"/>
    </row>
    <row r="620" spans="2:10" ht="25.5" x14ac:dyDescent="0.2">
      <c r="B620" s="4" t="s">
        <v>1162</v>
      </c>
      <c r="C620" s="5" t="s">
        <v>1163</v>
      </c>
      <c r="D620" s="6" t="s">
        <v>42</v>
      </c>
      <c r="E620" s="6" t="s">
        <v>33</v>
      </c>
      <c r="F620" s="53">
        <v>24.2</v>
      </c>
      <c r="G620" s="42">
        <v>3.5499403193898528E-4</v>
      </c>
      <c r="H620" s="39">
        <v>7.363999999999999</v>
      </c>
      <c r="I620" s="39">
        <v>12.623999999999999</v>
      </c>
      <c r="J620" s="39"/>
    </row>
    <row r="621" spans="2:10" x14ac:dyDescent="0.2">
      <c r="B621" s="4" t="s">
        <v>1164</v>
      </c>
      <c r="C621" s="5" t="s">
        <v>1165</v>
      </c>
      <c r="D621" s="6" t="s">
        <v>42</v>
      </c>
      <c r="E621" s="6" t="s">
        <v>33</v>
      </c>
      <c r="F621" s="53">
        <v>25</v>
      </c>
      <c r="G621" s="42">
        <v>3.5499403193898528E-4</v>
      </c>
      <c r="H621" s="39">
        <v>7.7209999999999992</v>
      </c>
      <c r="I621" s="39">
        <v>13.235999999999999</v>
      </c>
      <c r="J621" s="39"/>
    </row>
    <row r="622" spans="2:10" x14ac:dyDescent="0.2">
      <c r="B622" s="4" t="s">
        <v>1166</v>
      </c>
      <c r="C622" s="5" t="s">
        <v>1167</v>
      </c>
      <c r="D622" s="6" t="s">
        <v>42</v>
      </c>
      <c r="E622" s="6" t="s">
        <v>33</v>
      </c>
      <c r="F622" s="53">
        <v>25</v>
      </c>
      <c r="G622" s="42">
        <v>3.5499403193898528E-4</v>
      </c>
      <c r="H622" s="39">
        <v>7.7209999999999992</v>
      </c>
      <c r="I622" s="39">
        <v>13.235999999999999</v>
      </c>
      <c r="J622" s="39"/>
    </row>
    <row r="623" spans="2:10" x14ac:dyDescent="0.2">
      <c r="B623" s="4" t="s">
        <v>1168</v>
      </c>
      <c r="C623" s="9" t="s">
        <v>1169</v>
      </c>
      <c r="D623" s="6" t="s">
        <v>42</v>
      </c>
      <c r="E623" s="6" t="s">
        <v>33</v>
      </c>
      <c r="F623" s="53">
        <v>37</v>
      </c>
      <c r="G623" s="42">
        <v>3.5499403193898528E-4</v>
      </c>
      <c r="H623" s="39">
        <v>11.304999999999998</v>
      </c>
      <c r="I623" s="39">
        <v>19.38</v>
      </c>
      <c r="J623" s="39"/>
    </row>
    <row r="624" spans="2:10" x14ac:dyDescent="0.2">
      <c r="B624" s="4" t="s">
        <v>1170</v>
      </c>
      <c r="C624" s="9" t="s">
        <v>1171</v>
      </c>
      <c r="D624" s="6" t="s">
        <v>42</v>
      </c>
      <c r="E624" s="6" t="s">
        <v>33</v>
      </c>
      <c r="F624" s="53">
        <v>37</v>
      </c>
      <c r="G624" s="42">
        <v>3.5499403193898528E-4</v>
      </c>
      <c r="H624" s="39">
        <v>11.304999999999998</v>
      </c>
      <c r="I624" s="39">
        <v>19.38</v>
      </c>
      <c r="J624" s="39"/>
    </row>
    <row r="625" spans="2:10" x14ac:dyDescent="0.2">
      <c r="B625" s="4" t="s">
        <v>1172</v>
      </c>
      <c r="C625" s="9" t="s">
        <v>1173</v>
      </c>
      <c r="D625" s="6" t="s">
        <v>42</v>
      </c>
      <c r="E625" s="6" t="s">
        <v>33</v>
      </c>
      <c r="F625" s="53">
        <v>41.4</v>
      </c>
      <c r="G625" s="42">
        <v>3.5499403193898528E-4</v>
      </c>
      <c r="H625" s="39">
        <v>11.108999999999998</v>
      </c>
      <c r="I625" s="39">
        <v>19.043999999999997</v>
      </c>
      <c r="J625" s="39"/>
    </row>
    <row r="626" spans="2:10" x14ac:dyDescent="0.2">
      <c r="B626" s="4" t="s">
        <v>1174</v>
      </c>
      <c r="C626" s="9" t="s">
        <v>1155</v>
      </c>
      <c r="D626" s="6" t="s">
        <v>42</v>
      </c>
      <c r="E626" s="6" t="s">
        <v>33</v>
      </c>
      <c r="F626" s="53">
        <v>41.4</v>
      </c>
      <c r="G626" s="42">
        <v>3.5499403193898528E-4</v>
      </c>
      <c r="H626" s="39">
        <v>11.108999999999998</v>
      </c>
      <c r="I626" s="39">
        <v>19.043999999999997</v>
      </c>
      <c r="J626" s="39"/>
    </row>
    <row r="627" spans="2:10" x14ac:dyDescent="0.2">
      <c r="B627" s="4" t="s">
        <v>1175</v>
      </c>
      <c r="C627" s="5" t="s">
        <v>1176</v>
      </c>
      <c r="D627" s="6" t="s">
        <v>42</v>
      </c>
      <c r="E627" s="6" t="s">
        <v>33</v>
      </c>
      <c r="F627" s="53">
        <v>41.4</v>
      </c>
      <c r="G627" s="42">
        <v>3.5499403193898528E-4</v>
      </c>
      <c r="H627" s="39">
        <v>11.108999999999998</v>
      </c>
      <c r="I627" s="39">
        <v>19.043999999999997</v>
      </c>
      <c r="J627" s="39"/>
    </row>
    <row r="628" spans="2:10" x14ac:dyDescent="0.2">
      <c r="B628" s="4" t="s">
        <v>1177</v>
      </c>
      <c r="C628" s="5" t="s">
        <v>1159</v>
      </c>
      <c r="D628" s="6" t="s">
        <v>42</v>
      </c>
      <c r="E628" s="6" t="s">
        <v>33</v>
      </c>
      <c r="F628" s="53">
        <v>41.4</v>
      </c>
      <c r="G628" s="42">
        <v>3.5499403193898528E-4</v>
      </c>
      <c r="H628" s="39">
        <v>11.108999999999998</v>
      </c>
      <c r="I628" s="39">
        <v>19.043999999999997</v>
      </c>
      <c r="J628" s="39"/>
    </row>
    <row r="629" spans="2:10" x14ac:dyDescent="0.2">
      <c r="B629" s="4" t="s">
        <v>1178</v>
      </c>
      <c r="C629" s="5" t="s">
        <v>1161</v>
      </c>
      <c r="D629" s="6" t="s">
        <v>42</v>
      </c>
      <c r="E629" s="6" t="s">
        <v>33</v>
      </c>
      <c r="F629" s="53">
        <v>41.4</v>
      </c>
      <c r="G629" s="42">
        <v>3.5499403193898528E-4</v>
      </c>
      <c r="H629" s="39">
        <v>11.108999999999998</v>
      </c>
      <c r="I629" s="39">
        <v>19.043999999999997</v>
      </c>
      <c r="J629" s="39"/>
    </row>
    <row r="630" spans="2:10" x14ac:dyDescent="0.2">
      <c r="B630" s="4" t="s">
        <v>1179</v>
      </c>
      <c r="C630" s="5" t="s">
        <v>1180</v>
      </c>
      <c r="D630" s="6" t="s">
        <v>42</v>
      </c>
      <c r="E630" s="6" t="s">
        <v>33</v>
      </c>
      <c r="F630" s="53">
        <v>48</v>
      </c>
      <c r="G630" s="42">
        <v>3.5499403193898528E-4</v>
      </c>
      <c r="H630" s="39">
        <v>14.707000000000001</v>
      </c>
      <c r="I630" s="39">
        <v>25.212</v>
      </c>
      <c r="J630" s="39"/>
    </row>
    <row r="631" spans="2:10" ht="25.5" x14ac:dyDescent="0.2">
      <c r="B631" s="4" t="s">
        <v>1181</v>
      </c>
      <c r="C631" s="5" t="s">
        <v>1182</v>
      </c>
      <c r="D631" s="6" t="s">
        <v>42</v>
      </c>
      <c r="E631" s="6" t="s">
        <v>33</v>
      </c>
      <c r="F631" s="53">
        <v>49.8</v>
      </c>
      <c r="G631" s="42">
        <v>3.5499403193898528E-4</v>
      </c>
      <c r="H631" s="39">
        <v>15.126999999999999</v>
      </c>
      <c r="I631" s="39">
        <v>25.931999999999999</v>
      </c>
      <c r="J631" s="39"/>
    </row>
    <row r="632" spans="2:10" x14ac:dyDescent="0.2">
      <c r="B632" s="4" t="s">
        <v>2676</v>
      </c>
      <c r="C632" s="5" t="s">
        <v>2677</v>
      </c>
      <c r="D632" s="6" t="s">
        <v>42</v>
      </c>
      <c r="E632" s="6" t="s">
        <v>33</v>
      </c>
      <c r="F632" s="53">
        <v>120</v>
      </c>
      <c r="G632" s="42"/>
      <c r="H632" s="39"/>
      <c r="I632" s="39"/>
      <c r="J632" s="39"/>
    </row>
    <row r="633" spans="2:10" ht="63.75" x14ac:dyDescent="0.2">
      <c r="B633" s="8" t="s">
        <v>1183</v>
      </c>
      <c r="C633" s="5" t="s">
        <v>1184</v>
      </c>
      <c r="D633" s="6"/>
      <c r="E633" s="6"/>
      <c r="F633" s="50"/>
      <c r="G633" s="40" t="e">
        <f>#REF!/(COUNTA(#REF!))</f>
        <v>#REF!</v>
      </c>
      <c r="H633" s="39" t="s">
        <v>49</v>
      </c>
      <c r="I633" s="39" t="s">
        <v>49</v>
      </c>
      <c r="J633" s="39"/>
    </row>
    <row r="634" spans="2:10" x14ac:dyDescent="0.2">
      <c r="B634" s="4" t="s">
        <v>1185</v>
      </c>
      <c r="C634" s="5" t="s">
        <v>1186</v>
      </c>
      <c r="D634" s="6"/>
      <c r="E634" s="6"/>
      <c r="F634" s="50"/>
      <c r="G634" s="42">
        <v>1.4651426576123257E-3</v>
      </c>
      <c r="H634" s="39" t="s">
        <v>49</v>
      </c>
      <c r="I634" s="39" t="s">
        <v>49</v>
      </c>
      <c r="J634" s="39"/>
    </row>
    <row r="635" spans="2:10" x14ac:dyDescent="0.2">
      <c r="B635" s="4" t="s">
        <v>1187</v>
      </c>
      <c r="C635" s="5" t="s">
        <v>1188</v>
      </c>
      <c r="D635" s="6"/>
      <c r="E635" s="6"/>
      <c r="F635" s="50"/>
      <c r="G635" s="42">
        <v>1.4651426576123257E-3</v>
      </c>
      <c r="H635" s="39" t="s">
        <v>49</v>
      </c>
      <c r="I635" s="39" t="s">
        <v>49</v>
      </c>
      <c r="J635" s="39"/>
    </row>
    <row r="636" spans="2:10" ht="25.5" x14ac:dyDescent="0.2">
      <c r="B636" s="4" t="s">
        <v>1189</v>
      </c>
      <c r="C636" s="5" t="s">
        <v>1190</v>
      </c>
      <c r="D636" s="6" t="s">
        <v>19</v>
      </c>
      <c r="E636" s="6" t="s">
        <v>33</v>
      </c>
      <c r="F636" s="53">
        <v>968.2</v>
      </c>
      <c r="G636" s="42">
        <v>1.4651426576123257E-3</v>
      </c>
      <c r="H636" s="39">
        <v>294.161</v>
      </c>
      <c r="I636" s="39">
        <v>504.27600000000001</v>
      </c>
      <c r="J636" s="39"/>
    </row>
    <row r="637" spans="2:10" ht="25.5" x14ac:dyDescent="0.2">
      <c r="B637" s="4" t="s">
        <v>1191</v>
      </c>
      <c r="C637" s="5" t="s">
        <v>1192</v>
      </c>
      <c r="D637" s="6" t="s">
        <v>42</v>
      </c>
      <c r="E637" s="6" t="s">
        <v>33</v>
      </c>
      <c r="F637" s="53">
        <v>110.5</v>
      </c>
      <c r="G637" s="42">
        <v>1.4651426576123257E-3</v>
      </c>
      <c r="H637" s="39">
        <v>33.613999999999997</v>
      </c>
      <c r="I637" s="39">
        <v>57.624000000000002</v>
      </c>
      <c r="J637" s="39"/>
    </row>
    <row r="638" spans="2:10" x14ac:dyDescent="0.2">
      <c r="B638" s="4" t="s">
        <v>1193</v>
      </c>
      <c r="C638" s="5" t="s">
        <v>1194</v>
      </c>
      <c r="D638" s="6" t="s">
        <v>42</v>
      </c>
      <c r="E638" s="6" t="s">
        <v>33</v>
      </c>
      <c r="F638" s="53">
        <v>120</v>
      </c>
      <c r="G638" s="42">
        <v>1.4651426576123257E-3</v>
      </c>
      <c r="H638" s="39">
        <v>37.820999999999998</v>
      </c>
      <c r="I638" s="39">
        <v>64.835999999999999</v>
      </c>
      <c r="J638" s="39"/>
    </row>
    <row r="639" spans="2:10" x14ac:dyDescent="0.2">
      <c r="B639" s="4" t="s">
        <v>1195</v>
      </c>
      <c r="C639" s="9" t="s">
        <v>1196</v>
      </c>
      <c r="D639" s="6" t="s">
        <v>42</v>
      </c>
      <c r="E639" s="6" t="s">
        <v>33</v>
      </c>
      <c r="F639" s="53">
        <v>96.8</v>
      </c>
      <c r="G639" s="42">
        <v>1.4651426576123257E-3</v>
      </c>
      <c r="H639" s="39">
        <v>27.285999999999998</v>
      </c>
      <c r="I639" s="39">
        <v>46.775999999999996</v>
      </c>
      <c r="J639" s="39"/>
    </row>
    <row r="640" spans="2:10" x14ac:dyDescent="0.2">
      <c r="B640" s="4" t="s">
        <v>1197</v>
      </c>
      <c r="C640" s="5" t="s">
        <v>1198</v>
      </c>
      <c r="D640" s="6" t="s">
        <v>42</v>
      </c>
      <c r="E640" s="6" t="s">
        <v>33</v>
      </c>
      <c r="F640" s="53">
        <v>96.8</v>
      </c>
      <c r="G640" s="42">
        <v>1.4651426576123257E-3</v>
      </c>
      <c r="H640" s="39">
        <v>27.285999999999998</v>
      </c>
      <c r="I640" s="39">
        <v>46.775999999999996</v>
      </c>
      <c r="J640" s="39"/>
    </row>
    <row r="641" spans="2:10" x14ac:dyDescent="0.2">
      <c r="B641" s="4" t="s">
        <v>1199</v>
      </c>
      <c r="C641" s="5" t="s">
        <v>1200</v>
      </c>
      <c r="D641" s="6" t="s">
        <v>42</v>
      </c>
      <c r="E641" s="6" t="s">
        <v>33</v>
      </c>
      <c r="F641" s="53">
        <v>124</v>
      </c>
      <c r="G641" s="42">
        <v>1.4651426576123257E-3</v>
      </c>
      <c r="H641" s="39">
        <v>37.820999999999998</v>
      </c>
      <c r="I641" s="39">
        <v>64.835999999999999</v>
      </c>
      <c r="J641" s="39"/>
    </row>
    <row r="642" spans="2:10" ht="25.5" x14ac:dyDescent="0.2">
      <c r="B642" s="4" t="s">
        <v>1201</v>
      </c>
      <c r="C642" s="5" t="s">
        <v>1202</v>
      </c>
      <c r="D642" s="6" t="s">
        <v>32</v>
      </c>
      <c r="E642" s="6" t="s">
        <v>33</v>
      </c>
      <c r="F642" s="53">
        <v>41.4</v>
      </c>
      <c r="G642" s="42">
        <v>1.4651426576123257E-3</v>
      </c>
      <c r="H642" s="39">
        <v>11.108999999999998</v>
      </c>
      <c r="I642" s="39">
        <v>19.043999999999997</v>
      </c>
      <c r="J642" s="39"/>
    </row>
    <row r="643" spans="2:10" x14ac:dyDescent="0.2">
      <c r="B643" s="4" t="s">
        <v>1203</v>
      </c>
      <c r="C643" s="5" t="s">
        <v>1204</v>
      </c>
      <c r="D643" s="6" t="s">
        <v>32</v>
      </c>
      <c r="E643" s="6" t="s">
        <v>33</v>
      </c>
      <c r="F643" s="53">
        <v>41.4</v>
      </c>
      <c r="G643" s="42">
        <v>1.4651426576123257E-3</v>
      </c>
      <c r="H643" s="39">
        <v>11.108999999999998</v>
      </c>
      <c r="I643" s="39">
        <v>19.043999999999997</v>
      </c>
      <c r="J643" s="39"/>
    </row>
    <row r="644" spans="2:10" x14ac:dyDescent="0.2">
      <c r="B644" s="4" t="s">
        <v>1205</v>
      </c>
      <c r="C644" s="5" t="s">
        <v>1206</v>
      </c>
      <c r="D644" s="6" t="s">
        <v>32</v>
      </c>
      <c r="E644" s="6" t="s">
        <v>33</v>
      </c>
      <c r="F644" s="53">
        <v>43.4</v>
      </c>
      <c r="G644" s="42">
        <v>1.4651426576123257E-3</v>
      </c>
      <c r="H644" s="39">
        <v>13.209</v>
      </c>
      <c r="I644" s="39">
        <v>22.644000000000002</v>
      </c>
      <c r="J644" s="39"/>
    </row>
    <row r="645" spans="2:10" x14ac:dyDescent="0.2">
      <c r="B645" s="4" t="s">
        <v>1207</v>
      </c>
      <c r="C645" s="5" t="s">
        <v>1208</v>
      </c>
      <c r="D645" s="6" t="s">
        <v>42</v>
      </c>
      <c r="E645" s="6" t="s">
        <v>20</v>
      </c>
      <c r="F645" s="53">
        <v>34.200000000000003</v>
      </c>
      <c r="G645" s="42">
        <v>1.4651426576123257E-3</v>
      </c>
      <c r="H645" s="39">
        <v>10.416</v>
      </c>
      <c r="I645" s="39">
        <v>17.856000000000002</v>
      </c>
      <c r="J645" s="39"/>
    </row>
    <row r="646" spans="2:10" ht="25.5" x14ac:dyDescent="0.2">
      <c r="B646" s="4" t="s">
        <v>1209</v>
      </c>
      <c r="C646" s="5" t="s">
        <v>1210</v>
      </c>
      <c r="D646" s="6" t="s">
        <v>42</v>
      </c>
      <c r="E646" s="6" t="s">
        <v>33</v>
      </c>
      <c r="F646" s="53">
        <v>126</v>
      </c>
      <c r="G646" s="42">
        <v>1.4651426576123257E-3</v>
      </c>
      <c r="H646" s="39">
        <v>38.5</v>
      </c>
      <c r="I646" s="39">
        <v>66</v>
      </c>
      <c r="J646" s="39"/>
    </row>
    <row r="647" spans="2:10" ht="25.5" x14ac:dyDescent="0.2">
      <c r="B647" s="4" t="s">
        <v>1211</v>
      </c>
      <c r="C647" s="5" t="s">
        <v>1212</v>
      </c>
      <c r="D647" s="6" t="s">
        <v>42</v>
      </c>
      <c r="E647" s="6" t="s">
        <v>33</v>
      </c>
      <c r="F647" s="53">
        <v>126</v>
      </c>
      <c r="G647" s="42">
        <v>1.4651426576123257E-3</v>
      </c>
      <c r="H647" s="39">
        <v>38.5</v>
      </c>
      <c r="I647" s="39">
        <v>66</v>
      </c>
      <c r="J647" s="39"/>
    </row>
    <row r="648" spans="2:10" x14ac:dyDescent="0.2">
      <c r="B648" s="4" t="s">
        <v>1213</v>
      </c>
      <c r="C648" s="5" t="s">
        <v>1214</v>
      </c>
      <c r="D648" s="6"/>
      <c r="E648" s="6"/>
      <c r="F648" s="50"/>
      <c r="G648" s="42">
        <v>1.4651426576123257E-3</v>
      </c>
      <c r="H648" s="39" t="s">
        <v>49</v>
      </c>
      <c r="I648" s="39" t="s">
        <v>49</v>
      </c>
      <c r="J648" s="39"/>
    </row>
    <row r="649" spans="2:10" ht="25.5" x14ac:dyDescent="0.2">
      <c r="B649" s="4" t="s">
        <v>1215</v>
      </c>
      <c r="C649" s="5" t="s">
        <v>1216</v>
      </c>
      <c r="D649" s="6" t="s">
        <v>42</v>
      </c>
      <c r="E649" s="6" t="s">
        <v>33</v>
      </c>
      <c r="F649" s="53">
        <v>141</v>
      </c>
      <c r="G649" s="42">
        <v>1.4651426576123257E-3</v>
      </c>
      <c r="H649" s="39">
        <v>42.860999999999997</v>
      </c>
      <c r="I649" s="39">
        <v>73.475999999999999</v>
      </c>
      <c r="J649" s="39"/>
    </row>
    <row r="650" spans="2:10" x14ac:dyDescent="0.2">
      <c r="B650" s="4" t="s">
        <v>1217</v>
      </c>
      <c r="C650" s="5" t="s">
        <v>1218</v>
      </c>
      <c r="D650" s="6" t="s">
        <v>42</v>
      </c>
      <c r="E650" s="6" t="s">
        <v>33</v>
      </c>
      <c r="F650" s="53">
        <v>99.5</v>
      </c>
      <c r="G650" s="42">
        <v>1.4651426576123257E-3</v>
      </c>
      <c r="H650" s="39">
        <v>30.247</v>
      </c>
      <c r="I650" s="39">
        <v>51.851999999999997</v>
      </c>
      <c r="J650" s="39"/>
    </row>
    <row r="651" spans="2:10" x14ac:dyDescent="0.2">
      <c r="B651" s="4" t="s">
        <v>1219</v>
      </c>
      <c r="C651" s="5" t="s">
        <v>1220</v>
      </c>
      <c r="D651" s="6" t="s">
        <v>32</v>
      </c>
      <c r="E651" s="6" t="s">
        <v>33</v>
      </c>
      <c r="F651" s="53">
        <v>128.30000000000001</v>
      </c>
      <c r="G651" s="42">
        <v>1.4651426576123257E-3</v>
      </c>
      <c r="H651" s="39">
        <v>38.99</v>
      </c>
      <c r="I651" s="39">
        <v>66.84</v>
      </c>
      <c r="J651" s="39"/>
    </row>
    <row r="652" spans="2:10" x14ac:dyDescent="0.2">
      <c r="B652" s="4" t="s">
        <v>1221</v>
      </c>
      <c r="C652" s="5" t="s">
        <v>1222</v>
      </c>
      <c r="D652" s="6" t="s">
        <v>32</v>
      </c>
      <c r="E652" s="6" t="s">
        <v>33</v>
      </c>
      <c r="F652" s="53">
        <v>128.30000000000001</v>
      </c>
      <c r="G652" s="42">
        <v>1.4651426576123257E-3</v>
      </c>
      <c r="H652" s="39">
        <v>38.99</v>
      </c>
      <c r="I652" s="39">
        <v>66.84</v>
      </c>
      <c r="J652" s="39"/>
    </row>
    <row r="653" spans="2:10" ht="25.5" x14ac:dyDescent="0.2">
      <c r="B653" s="4" t="s">
        <v>1223</v>
      </c>
      <c r="C653" s="5" t="s">
        <v>1224</v>
      </c>
      <c r="D653" s="6" t="s">
        <v>32</v>
      </c>
      <c r="E653" s="6" t="s">
        <v>33</v>
      </c>
      <c r="F653" s="53">
        <v>20.5</v>
      </c>
      <c r="G653" s="42">
        <v>1.4651426576123257E-3</v>
      </c>
      <c r="H653" s="39">
        <v>6.3</v>
      </c>
      <c r="I653" s="39">
        <v>10.799999999999999</v>
      </c>
      <c r="J653" s="39"/>
    </row>
    <row r="654" spans="2:10" x14ac:dyDescent="0.2">
      <c r="B654" s="4" t="s">
        <v>1225</v>
      </c>
      <c r="C654" s="5" t="s">
        <v>1226</v>
      </c>
      <c r="D654" s="6" t="s">
        <v>32</v>
      </c>
      <c r="E654" s="6" t="s">
        <v>33</v>
      </c>
      <c r="F654" s="53">
        <v>6.8</v>
      </c>
      <c r="G654" s="42">
        <v>1.4651426576123257E-3</v>
      </c>
      <c r="H654" s="39">
        <v>2.0999999999999996</v>
      </c>
      <c r="I654" s="39">
        <v>3.5999999999999996</v>
      </c>
      <c r="J654" s="39"/>
    </row>
    <row r="655" spans="2:10" x14ac:dyDescent="0.2">
      <c r="B655" s="4" t="s">
        <v>1227</v>
      </c>
      <c r="C655" s="5" t="s">
        <v>1228</v>
      </c>
      <c r="D655" s="6" t="s">
        <v>32</v>
      </c>
      <c r="E655" s="6" t="s">
        <v>33</v>
      </c>
      <c r="F655" s="53">
        <v>14.9</v>
      </c>
      <c r="G655" s="42">
        <v>1.4651426576123257E-3</v>
      </c>
      <c r="H655" s="39">
        <v>4.5289999999999999</v>
      </c>
      <c r="I655" s="39">
        <v>7.7639999999999993</v>
      </c>
      <c r="J655" s="39"/>
    </row>
    <row r="656" spans="2:10" ht="25.5" x14ac:dyDescent="0.2">
      <c r="B656" s="4" t="s">
        <v>1229</v>
      </c>
      <c r="C656" s="5" t="s">
        <v>1230</v>
      </c>
      <c r="D656" s="6" t="s">
        <v>32</v>
      </c>
      <c r="E656" s="6" t="s">
        <v>33</v>
      </c>
      <c r="F656" s="53">
        <v>23</v>
      </c>
      <c r="G656" s="42">
        <v>1.4651426576123257E-3</v>
      </c>
      <c r="H656" s="39">
        <v>7</v>
      </c>
      <c r="I656" s="39">
        <v>12</v>
      </c>
      <c r="J656" s="39"/>
    </row>
    <row r="657" spans="2:10" ht="25.5" x14ac:dyDescent="0.2">
      <c r="B657" s="4" t="s">
        <v>1231</v>
      </c>
      <c r="C657" s="5" t="s">
        <v>1232</v>
      </c>
      <c r="D657" s="6" t="s">
        <v>19</v>
      </c>
      <c r="E657" s="6" t="s">
        <v>33</v>
      </c>
      <c r="F657" s="53">
        <v>1140.4000000000001</v>
      </c>
      <c r="G657" s="42">
        <v>1.4651426576123257E-3</v>
      </c>
      <c r="H657" s="39">
        <v>346.5</v>
      </c>
      <c r="I657" s="39">
        <v>594</v>
      </c>
      <c r="J657" s="39"/>
    </row>
    <row r="658" spans="2:10" ht="25.5" x14ac:dyDescent="0.2">
      <c r="B658" s="4" t="s">
        <v>1233</v>
      </c>
      <c r="C658" s="5" t="s">
        <v>1234</v>
      </c>
      <c r="D658" s="6" t="s">
        <v>19</v>
      </c>
      <c r="E658" s="6" t="s">
        <v>33</v>
      </c>
      <c r="F658" s="53">
        <v>1393.9</v>
      </c>
      <c r="G658" s="42">
        <v>1.4651426576123257E-3</v>
      </c>
      <c r="H658" s="39">
        <v>423.5</v>
      </c>
      <c r="I658" s="39">
        <v>726</v>
      </c>
      <c r="J658" s="39"/>
    </row>
    <row r="659" spans="2:10" ht="25.5" x14ac:dyDescent="0.2">
      <c r="B659" s="4" t="s">
        <v>1235</v>
      </c>
      <c r="C659" s="9" t="s">
        <v>1236</v>
      </c>
      <c r="D659" s="6" t="s">
        <v>19</v>
      </c>
      <c r="E659" s="6" t="s">
        <v>33</v>
      </c>
      <c r="F659" s="53">
        <v>1393.9</v>
      </c>
      <c r="G659" s="42">
        <v>1.4651426576123257E-3</v>
      </c>
      <c r="H659" s="39">
        <v>423.5</v>
      </c>
      <c r="I659" s="39">
        <v>726</v>
      </c>
      <c r="J659" s="39"/>
    </row>
    <row r="660" spans="2:10" ht="25.5" x14ac:dyDescent="0.2">
      <c r="B660" s="4" t="s">
        <v>1237</v>
      </c>
      <c r="C660" s="5" t="s">
        <v>1238</v>
      </c>
      <c r="D660" s="6" t="s">
        <v>209</v>
      </c>
      <c r="E660" s="6" t="s">
        <v>33</v>
      </c>
      <c r="F660" s="53">
        <v>17.5</v>
      </c>
      <c r="G660" s="42">
        <v>1.4651426576123257E-3</v>
      </c>
      <c r="H660" s="39">
        <v>5.39</v>
      </c>
      <c r="I660" s="39">
        <v>9.24</v>
      </c>
      <c r="J660" s="39"/>
    </row>
    <row r="661" spans="2:10" ht="25.5" x14ac:dyDescent="0.2">
      <c r="B661" s="4" t="s">
        <v>1239</v>
      </c>
      <c r="C661" s="9" t="s">
        <v>1240</v>
      </c>
      <c r="D661" s="6" t="s">
        <v>19</v>
      </c>
      <c r="E661" s="6" t="s">
        <v>33</v>
      </c>
      <c r="F661" s="53">
        <v>2534</v>
      </c>
      <c r="G661" s="42">
        <v>1.4651426576123257E-3</v>
      </c>
      <c r="H661" s="39">
        <v>770</v>
      </c>
      <c r="I661" s="39">
        <v>1320</v>
      </c>
      <c r="J661" s="39"/>
    </row>
    <row r="662" spans="2:10" ht="38.25" x14ac:dyDescent="0.2">
      <c r="B662" s="4" t="s">
        <v>1241</v>
      </c>
      <c r="C662" s="9" t="s">
        <v>1242</v>
      </c>
      <c r="D662" s="6" t="s">
        <v>19</v>
      </c>
      <c r="E662" s="6" t="s">
        <v>33</v>
      </c>
      <c r="F662" s="53">
        <v>3168</v>
      </c>
      <c r="G662" s="42">
        <v>1.4651426576123257E-3</v>
      </c>
      <c r="H662" s="39">
        <v>962.49999999999989</v>
      </c>
      <c r="I662" s="39">
        <v>1650</v>
      </c>
      <c r="J662" s="39"/>
    </row>
    <row r="663" spans="2:10" ht="25.5" x14ac:dyDescent="0.2">
      <c r="B663" s="4" t="s">
        <v>1243</v>
      </c>
      <c r="C663" s="9" t="s">
        <v>1244</v>
      </c>
      <c r="D663" s="6" t="s">
        <v>19</v>
      </c>
      <c r="E663" s="6" t="s">
        <v>33</v>
      </c>
      <c r="F663" s="53">
        <v>3800</v>
      </c>
      <c r="G663" s="42">
        <v>1.4651426576123257E-3</v>
      </c>
      <c r="H663" s="39">
        <v>1155</v>
      </c>
      <c r="I663" s="39">
        <v>1980</v>
      </c>
      <c r="J663" s="39"/>
    </row>
    <row r="664" spans="2:10" x14ac:dyDescent="0.2">
      <c r="B664" s="4" t="s">
        <v>1245</v>
      </c>
      <c r="C664" s="5" t="s">
        <v>1246</v>
      </c>
      <c r="D664" s="6"/>
      <c r="E664" s="6"/>
      <c r="F664" s="50"/>
      <c r="G664" s="42">
        <v>1.4651426576123257E-3</v>
      </c>
      <c r="H664" s="39" t="s">
        <v>49</v>
      </c>
      <c r="I664" s="39" t="s">
        <v>49</v>
      </c>
      <c r="J664" s="39"/>
    </row>
    <row r="665" spans="2:10" ht="25.5" x14ac:dyDescent="0.2">
      <c r="B665" s="4" t="s">
        <v>1247</v>
      </c>
      <c r="C665" s="5" t="s">
        <v>1248</v>
      </c>
      <c r="D665" s="6" t="s">
        <v>42</v>
      </c>
      <c r="E665" s="6" t="s">
        <v>33</v>
      </c>
      <c r="F665" s="53">
        <v>484</v>
      </c>
      <c r="G665" s="42">
        <v>1.4651426576123257E-3</v>
      </c>
      <c r="H665" s="39">
        <v>147.077</v>
      </c>
      <c r="I665" s="39">
        <v>252.13200000000001</v>
      </c>
      <c r="J665" s="39"/>
    </row>
    <row r="666" spans="2:10" x14ac:dyDescent="0.2">
      <c r="B666" s="4" t="s">
        <v>1249</v>
      </c>
      <c r="C666" s="5" t="s">
        <v>1250</v>
      </c>
      <c r="D666" s="6" t="s">
        <v>42</v>
      </c>
      <c r="E666" s="6" t="s">
        <v>33</v>
      </c>
      <c r="F666" s="53">
        <v>318.5</v>
      </c>
      <c r="G666" s="42">
        <v>1.4651426576123257E-3</v>
      </c>
      <c r="H666" s="39">
        <v>96.907999999999987</v>
      </c>
      <c r="I666" s="39">
        <v>166.12799999999999</v>
      </c>
      <c r="J666" s="39"/>
    </row>
    <row r="667" spans="2:10" x14ac:dyDescent="0.2">
      <c r="B667" s="4" t="s">
        <v>1251</v>
      </c>
      <c r="C667" s="5" t="s">
        <v>1252</v>
      </c>
      <c r="D667" s="6" t="s">
        <v>42</v>
      </c>
      <c r="E667" s="6" t="s">
        <v>33</v>
      </c>
      <c r="F667" s="53">
        <v>345.7</v>
      </c>
      <c r="G667" s="42">
        <v>1.4651426576123257E-3</v>
      </c>
      <c r="H667" s="39">
        <v>105.056</v>
      </c>
      <c r="I667" s="39">
        <v>180.096</v>
      </c>
      <c r="J667" s="39"/>
    </row>
    <row r="668" spans="2:10" ht="25.5" x14ac:dyDescent="0.2">
      <c r="B668" s="4" t="s">
        <v>1253</v>
      </c>
      <c r="C668" s="9" t="s">
        <v>1254</v>
      </c>
      <c r="D668" s="6" t="s">
        <v>42</v>
      </c>
      <c r="E668" s="6" t="s">
        <v>33</v>
      </c>
      <c r="F668" s="53">
        <v>829.8</v>
      </c>
      <c r="G668" s="42">
        <v>1.4651426576123257E-3</v>
      </c>
      <c r="H668" s="39">
        <v>252.13299999999998</v>
      </c>
      <c r="I668" s="39">
        <v>432.22800000000001</v>
      </c>
      <c r="J668" s="39"/>
    </row>
    <row r="669" spans="2:10" ht="25.5" x14ac:dyDescent="0.2">
      <c r="B669" s="4" t="s">
        <v>1255</v>
      </c>
      <c r="C669" s="9" t="s">
        <v>1256</v>
      </c>
      <c r="D669" s="6" t="s">
        <v>42</v>
      </c>
      <c r="E669" s="6" t="s">
        <v>33</v>
      </c>
      <c r="F669" s="53">
        <v>345.7</v>
      </c>
      <c r="G669" s="42">
        <v>1.4651426576123257E-3</v>
      </c>
      <c r="H669" s="39">
        <v>105.056</v>
      </c>
      <c r="I669" s="39">
        <v>180.096</v>
      </c>
      <c r="J669" s="39"/>
    </row>
    <row r="670" spans="2:10" x14ac:dyDescent="0.2">
      <c r="B670" s="4" t="s">
        <v>1257</v>
      </c>
      <c r="C670" s="9" t="s">
        <v>1258</v>
      </c>
      <c r="D670" s="6" t="s">
        <v>32</v>
      </c>
      <c r="E670" s="6" t="s">
        <v>33</v>
      </c>
      <c r="F670" s="53">
        <v>212.3</v>
      </c>
      <c r="G670" s="42">
        <v>1.4651426576123257E-3</v>
      </c>
      <c r="H670" s="39">
        <v>64.504999999999995</v>
      </c>
      <c r="I670" s="39">
        <v>110.58</v>
      </c>
      <c r="J670" s="39"/>
    </row>
    <row r="671" spans="2:10" x14ac:dyDescent="0.2">
      <c r="B671" s="4" t="s">
        <v>1259</v>
      </c>
      <c r="C671" s="5" t="s">
        <v>1260</v>
      </c>
      <c r="D671" s="6" t="s">
        <v>32</v>
      </c>
      <c r="E671" s="6" t="s">
        <v>33</v>
      </c>
      <c r="F671" s="53">
        <v>55</v>
      </c>
      <c r="G671" s="42">
        <v>1.4651426576123257E-3</v>
      </c>
      <c r="H671" s="39">
        <v>16.806999999999999</v>
      </c>
      <c r="I671" s="39">
        <v>28.812000000000001</v>
      </c>
      <c r="J671" s="39"/>
    </row>
    <row r="672" spans="2:10" ht="25.5" x14ac:dyDescent="0.2">
      <c r="B672" s="4" t="s">
        <v>1261</v>
      </c>
      <c r="C672" s="9" t="s">
        <v>1262</v>
      </c>
      <c r="D672" s="6" t="s">
        <v>42</v>
      </c>
      <c r="E672" s="6" t="s">
        <v>33</v>
      </c>
      <c r="F672" s="53">
        <v>553.20000000000005</v>
      </c>
      <c r="G672" s="42">
        <v>1.4651426576123257E-3</v>
      </c>
      <c r="H672" s="39">
        <v>168.09099999999998</v>
      </c>
      <c r="I672" s="39">
        <v>288.15600000000001</v>
      </c>
      <c r="J672" s="39"/>
    </row>
    <row r="673" spans="2:10" ht="25.5" x14ac:dyDescent="0.2">
      <c r="B673" s="4" t="s">
        <v>1263</v>
      </c>
      <c r="C673" s="9" t="s">
        <v>1264</v>
      </c>
      <c r="D673" s="6" t="s">
        <v>42</v>
      </c>
      <c r="E673" s="6" t="s">
        <v>33</v>
      </c>
      <c r="F673" s="53">
        <v>691.5</v>
      </c>
      <c r="G673" s="42">
        <v>1.4651426576123257E-3</v>
      </c>
      <c r="H673" s="39">
        <v>210.11199999999999</v>
      </c>
      <c r="I673" s="39">
        <v>360.19200000000001</v>
      </c>
      <c r="J673" s="39"/>
    </row>
    <row r="674" spans="2:10" x14ac:dyDescent="0.2">
      <c r="B674" s="4" t="s">
        <v>1265</v>
      </c>
      <c r="C674" s="5" t="s">
        <v>1266</v>
      </c>
      <c r="D674" s="6" t="s">
        <v>42</v>
      </c>
      <c r="E674" s="6" t="s">
        <v>33</v>
      </c>
      <c r="F674" s="53">
        <v>387.2</v>
      </c>
      <c r="G674" s="42">
        <v>1.4651426576123257E-3</v>
      </c>
      <c r="H674" s="39">
        <v>117.663</v>
      </c>
      <c r="I674" s="39">
        <v>201.708</v>
      </c>
      <c r="J674" s="39"/>
    </row>
    <row r="675" spans="2:10" x14ac:dyDescent="0.2">
      <c r="B675" s="4" t="s">
        <v>1267</v>
      </c>
      <c r="C675" s="5" t="s">
        <v>1268</v>
      </c>
      <c r="D675" s="6" t="s">
        <v>42</v>
      </c>
      <c r="E675" s="6" t="s">
        <v>33</v>
      </c>
      <c r="F675" s="53">
        <v>345.7</v>
      </c>
      <c r="G675" s="42">
        <v>1.4651426576123257E-3</v>
      </c>
      <c r="H675" s="39">
        <v>105.056</v>
      </c>
      <c r="I675" s="39">
        <v>180.096</v>
      </c>
      <c r="J675" s="39"/>
    </row>
    <row r="676" spans="2:10" x14ac:dyDescent="0.2">
      <c r="B676" s="4" t="s">
        <v>1269</v>
      </c>
      <c r="C676" s="5" t="s">
        <v>1270</v>
      </c>
      <c r="D676" s="6" t="s">
        <v>42</v>
      </c>
      <c r="E676" s="6" t="s">
        <v>33</v>
      </c>
      <c r="F676" s="53">
        <v>345.7</v>
      </c>
      <c r="G676" s="42">
        <v>1.4651426576123257E-3</v>
      </c>
      <c r="H676" s="39">
        <v>105.056</v>
      </c>
      <c r="I676" s="39">
        <v>180.096</v>
      </c>
      <c r="J676" s="39"/>
    </row>
    <row r="677" spans="2:10" x14ac:dyDescent="0.2">
      <c r="B677" s="4" t="s">
        <v>1271</v>
      </c>
      <c r="C677" s="5" t="s">
        <v>1272</v>
      </c>
      <c r="D677" s="6"/>
      <c r="E677" s="6"/>
      <c r="F677" s="50"/>
      <c r="G677" s="42">
        <v>1.4651426576123257E-3</v>
      </c>
      <c r="H677" s="39" t="s">
        <v>49</v>
      </c>
      <c r="I677" s="39" t="s">
        <v>49</v>
      </c>
      <c r="J677" s="39"/>
    </row>
    <row r="678" spans="2:10" x14ac:dyDescent="0.2">
      <c r="B678" s="4" t="s">
        <v>1273</v>
      </c>
      <c r="C678" s="5" t="s">
        <v>1274</v>
      </c>
      <c r="D678" s="6" t="s">
        <v>42</v>
      </c>
      <c r="E678" s="6" t="s">
        <v>33</v>
      </c>
      <c r="F678" s="53">
        <v>387.2</v>
      </c>
      <c r="G678" s="42">
        <v>1.4651426576123257E-3</v>
      </c>
      <c r="H678" s="39">
        <v>117.663</v>
      </c>
      <c r="I678" s="39">
        <v>201.708</v>
      </c>
      <c r="J678" s="39"/>
    </row>
    <row r="679" spans="2:10" x14ac:dyDescent="0.2">
      <c r="B679" s="4" t="s">
        <v>1275</v>
      </c>
      <c r="C679" s="5" t="s">
        <v>1276</v>
      </c>
      <c r="D679" s="6" t="s">
        <v>42</v>
      </c>
      <c r="E679" s="6" t="s">
        <v>33</v>
      </c>
      <c r="F679" s="53">
        <v>442.5</v>
      </c>
      <c r="G679" s="42">
        <v>1.4651426576123257E-3</v>
      </c>
      <c r="H679" s="39">
        <v>134.47</v>
      </c>
      <c r="I679" s="39">
        <v>230.51999999999998</v>
      </c>
      <c r="J679" s="39"/>
    </row>
    <row r="680" spans="2:10" ht="25.5" x14ac:dyDescent="0.2">
      <c r="B680" s="4" t="s">
        <v>1277</v>
      </c>
      <c r="C680" s="5" t="s">
        <v>1278</v>
      </c>
      <c r="D680" s="6" t="s">
        <v>32</v>
      </c>
      <c r="E680" s="6" t="s">
        <v>33</v>
      </c>
      <c r="F680" s="53">
        <v>57.5</v>
      </c>
      <c r="G680" s="42">
        <v>1.4651426576123257E-3</v>
      </c>
      <c r="H680" s="39">
        <v>17.521000000000001</v>
      </c>
      <c r="I680" s="39">
        <v>30.036000000000001</v>
      </c>
      <c r="J680" s="39"/>
    </row>
    <row r="681" spans="2:10" x14ac:dyDescent="0.2">
      <c r="B681" s="4" t="s">
        <v>1279</v>
      </c>
      <c r="C681" s="5" t="s">
        <v>1280</v>
      </c>
      <c r="D681" s="6"/>
      <c r="E681" s="6"/>
      <c r="F681" s="50"/>
      <c r="G681" s="42">
        <v>1.4651426576123257E-3</v>
      </c>
      <c r="H681" s="39" t="s">
        <v>49</v>
      </c>
      <c r="I681" s="39" t="s">
        <v>49</v>
      </c>
      <c r="J681" s="39"/>
    </row>
    <row r="682" spans="2:10" x14ac:dyDescent="0.2">
      <c r="B682" s="4" t="s">
        <v>1281</v>
      </c>
      <c r="C682" s="9" t="s">
        <v>1282</v>
      </c>
      <c r="D682" s="6" t="s">
        <v>66</v>
      </c>
      <c r="E682" s="6" t="s">
        <v>33</v>
      </c>
      <c r="F682" s="53">
        <v>96.5</v>
      </c>
      <c r="G682" s="42">
        <v>1.4651426576123257E-3</v>
      </c>
      <c r="H682" s="39">
        <v>29.414000000000001</v>
      </c>
      <c r="I682" s="39">
        <v>50.423999999999999</v>
      </c>
      <c r="J682" s="39"/>
    </row>
    <row r="683" spans="2:10" x14ac:dyDescent="0.2">
      <c r="B683" s="4" t="s">
        <v>1283</v>
      </c>
      <c r="C683" s="5" t="s">
        <v>1284</v>
      </c>
      <c r="D683" s="6" t="s">
        <v>66</v>
      </c>
      <c r="E683" s="6" t="s">
        <v>33</v>
      </c>
      <c r="F683" s="53">
        <v>96.5</v>
      </c>
      <c r="G683" s="42">
        <v>1.4651426576123257E-3</v>
      </c>
      <c r="H683" s="39">
        <v>29.414000000000001</v>
      </c>
      <c r="I683" s="39">
        <v>50.423999999999999</v>
      </c>
      <c r="J683" s="39"/>
    </row>
    <row r="684" spans="2:10" x14ac:dyDescent="0.2">
      <c r="B684" s="4" t="s">
        <v>1285</v>
      </c>
      <c r="C684" s="5" t="s">
        <v>1286</v>
      </c>
      <c r="D684" s="6" t="s">
        <v>66</v>
      </c>
      <c r="E684" s="6" t="s">
        <v>33</v>
      </c>
      <c r="F684" s="53">
        <v>110.5</v>
      </c>
      <c r="G684" s="42">
        <v>1.4651426576123257E-3</v>
      </c>
      <c r="H684" s="39">
        <v>30.45</v>
      </c>
      <c r="I684" s="39">
        <v>52.199999999999996</v>
      </c>
      <c r="J684" s="39"/>
    </row>
    <row r="685" spans="2:10" x14ac:dyDescent="0.2">
      <c r="B685" s="4" t="s">
        <v>1287</v>
      </c>
      <c r="C685" s="5" t="s">
        <v>1288</v>
      </c>
      <c r="D685" s="6" t="s">
        <v>66</v>
      </c>
      <c r="E685" s="6" t="s">
        <v>33</v>
      </c>
      <c r="F685" s="53">
        <v>75.599999999999994</v>
      </c>
      <c r="G685" s="42">
        <v>1.4651426576123257E-3</v>
      </c>
      <c r="H685" s="39">
        <v>22.988</v>
      </c>
      <c r="I685" s="39">
        <v>39.408000000000001</v>
      </c>
      <c r="J685" s="39"/>
    </row>
    <row r="686" spans="2:10" x14ac:dyDescent="0.2">
      <c r="B686" s="4" t="s">
        <v>1289</v>
      </c>
      <c r="C686" s="5" t="s">
        <v>1290</v>
      </c>
      <c r="D686" s="6" t="s">
        <v>66</v>
      </c>
      <c r="E686" s="6" t="s">
        <v>33</v>
      </c>
      <c r="F686" s="53">
        <v>75</v>
      </c>
      <c r="G686" s="42">
        <v>1.4651426576123257E-3</v>
      </c>
      <c r="H686" s="39">
        <v>22.841000000000001</v>
      </c>
      <c r="I686" s="39">
        <v>39.155999999999999</v>
      </c>
      <c r="J686" s="39"/>
    </row>
    <row r="687" spans="2:10" ht="13.5" x14ac:dyDescent="0.25">
      <c r="B687" s="4" t="s">
        <v>1291</v>
      </c>
      <c r="C687" s="16" t="s">
        <v>1292</v>
      </c>
      <c r="D687" s="6" t="s">
        <v>66</v>
      </c>
      <c r="E687" s="6" t="s">
        <v>33</v>
      </c>
      <c r="F687" s="53">
        <v>103</v>
      </c>
      <c r="G687" s="42">
        <v>1.4651426576123257E-3</v>
      </c>
      <c r="H687" s="39">
        <v>31.499999999999996</v>
      </c>
      <c r="I687" s="39">
        <v>54</v>
      </c>
      <c r="J687" s="39"/>
    </row>
    <row r="688" spans="2:10" x14ac:dyDescent="0.2">
      <c r="B688" s="4" t="s">
        <v>1293</v>
      </c>
      <c r="C688" s="5" t="s">
        <v>1294</v>
      </c>
      <c r="D688" s="6" t="s">
        <v>66</v>
      </c>
      <c r="E688" s="6" t="s">
        <v>33</v>
      </c>
      <c r="F688" s="53">
        <v>55</v>
      </c>
      <c r="G688" s="42">
        <v>1.4651426576123257E-3</v>
      </c>
      <c r="H688" s="39">
        <v>15.588999999999999</v>
      </c>
      <c r="I688" s="39">
        <v>26.724</v>
      </c>
      <c r="J688" s="39"/>
    </row>
    <row r="689" spans="2:10" x14ac:dyDescent="0.2">
      <c r="B689" s="4" t="s">
        <v>1295</v>
      </c>
      <c r="C689" s="5" t="s">
        <v>1296</v>
      </c>
      <c r="D689" s="6" t="s">
        <v>66</v>
      </c>
      <c r="E689" s="6" t="s">
        <v>33</v>
      </c>
      <c r="F689" s="53">
        <v>83</v>
      </c>
      <c r="G689" s="42">
        <v>1.4651426576123257E-3</v>
      </c>
      <c r="H689" s="39">
        <v>23.386999999999997</v>
      </c>
      <c r="I689" s="39">
        <v>40.091999999999992</v>
      </c>
      <c r="J689" s="39"/>
    </row>
    <row r="690" spans="2:10" x14ac:dyDescent="0.2">
      <c r="B690" s="4" t="s">
        <v>1297</v>
      </c>
      <c r="C690" s="5" t="s">
        <v>1298</v>
      </c>
      <c r="D690" s="6" t="s">
        <v>66</v>
      </c>
      <c r="E690" s="6" t="s">
        <v>33</v>
      </c>
      <c r="F690" s="53">
        <v>96.5</v>
      </c>
      <c r="G690" s="42">
        <v>1.4651426576123257E-3</v>
      </c>
      <c r="H690" s="39">
        <v>29.414000000000001</v>
      </c>
      <c r="I690" s="39">
        <v>50.423999999999999</v>
      </c>
      <c r="J690" s="39"/>
    </row>
    <row r="691" spans="2:10" x14ac:dyDescent="0.2">
      <c r="B691" s="4" t="s">
        <v>1299</v>
      </c>
      <c r="C691" s="5" t="s">
        <v>1300</v>
      </c>
      <c r="D691" s="6" t="s">
        <v>66</v>
      </c>
      <c r="E691" s="6" t="s">
        <v>20</v>
      </c>
      <c r="F691" s="53">
        <v>62</v>
      </c>
      <c r="G691" s="42">
        <v>1.4651426576123257E-3</v>
      </c>
      <c r="H691" s="39">
        <v>16.666999999999998</v>
      </c>
      <c r="I691" s="39">
        <v>28.571999999999999</v>
      </c>
      <c r="J691" s="39"/>
    </row>
    <row r="692" spans="2:10" ht="25.5" x14ac:dyDescent="0.2">
      <c r="B692" s="4" t="s">
        <v>1301</v>
      </c>
      <c r="C692" s="9" t="s">
        <v>1302</v>
      </c>
      <c r="D692" s="6" t="s">
        <v>66</v>
      </c>
      <c r="E692" s="6" t="s">
        <v>33</v>
      </c>
      <c r="F692" s="53">
        <v>83</v>
      </c>
      <c r="G692" s="42">
        <v>1.4651426576123257E-3</v>
      </c>
      <c r="H692" s="39">
        <v>22.224999999999998</v>
      </c>
      <c r="I692" s="39">
        <v>38.1</v>
      </c>
      <c r="J692" s="39"/>
    </row>
    <row r="693" spans="2:10" x14ac:dyDescent="0.2">
      <c r="B693" s="4" t="s">
        <v>1303</v>
      </c>
      <c r="C693" s="5" t="s">
        <v>1304</v>
      </c>
      <c r="D693" s="6" t="s">
        <v>66</v>
      </c>
      <c r="E693" s="6" t="s">
        <v>33</v>
      </c>
      <c r="F693" s="53">
        <v>83</v>
      </c>
      <c r="G693" s="42">
        <v>1.4651426576123257E-3</v>
      </c>
      <c r="H693" s="39">
        <v>22.224999999999998</v>
      </c>
      <c r="I693" s="39">
        <v>38.1</v>
      </c>
      <c r="J693" s="39"/>
    </row>
    <row r="694" spans="2:10" x14ac:dyDescent="0.2">
      <c r="B694" s="4" t="s">
        <v>1305</v>
      </c>
      <c r="C694" s="5" t="s">
        <v>1306</v>
      </c>
      <c r="D694" s="6" t="s">
        <v>66</v>
      </c>
      <c r="E694" s="6" t="s">
        <v>33</v>
      </c>
      <c r="F694" s="53">
        <v>38.020000000000003</v>
      </c>
      <c r="G694" s="42">
        <v>1.4651426576123257E-3</v>
      </c>
      <c r="H694" s="39">
        <v>11.549999999999999</v>
      </c>
      <c r="I694" s="39">
        <v>19.8</v>
      </c>
      <c r="J694" s="39"/>
    </row>
    <row r="695" spans="2:10" x14ac:dyDescent="0.2">
      <c r="B695" s="4" t="s">
        <v>1307</v>
      </c>
      <c r="C695" s="5" t="s">
        <v>1308</v>
      </c>
      <c r="D695" s="6" t="s">
        <v>66</v>
      </c>
      <c r="E695" s="6" t="s">
        <v>33</v>
      </c>
      <c r="F695" s="53">
        <v>207.4</v>
      </c>
      <c r="G695" s="42">
        <v>1.4651426576123257E-3</v>
      </c>
      <c r="H695" s="39">
        <v>56.67199999999999</v>
      </c>
      <c r="I695" s="39">
        <v>97.151999999999987</v>
      </c>
      <c r="J695" s="39"/>
    </row>
    <row r="696" spans="2:10" x14ac:dyDescent="0.2">
      <c r="B696" s="4" t="s">
        <v>1309</v>
      </c>
      <c r="C696" s="9" t="s">
        <v>1310</v>
      </c>
      <c r="D696" s="6" t="s">
        <v>66</v>
      </c>
      <c r="E696" s="6" t="s">
        <v>33</v>
      </c>
      <c r="F696" s="53">
        <v>248.5</v>
      </c>
      <c r="G696" s="42">
        <v>1.4651426576123257E-3</v>
      </c>
      <c r="H696" s="39">
        <v>75.641999999999996</v>
      </c>
      <c r="I696" s="39">
        <v>129.672</v>
      </c>
      <c r="J696" s="39"/>
    </row>
    <row r="697" spans="2:10" x14ac:dyDescent="0.2">
      <c r="B697" s="4" t="s">
        <v>1311</v>
      </c>
      <c r="C697" s="9" t="s">
        <v>1312</v>
      </c>
      <c r="D697" s="6" t="s">
        <v>66</v>
      </c>
      <c r="E697" s="6" t="s">
        <v>33</v>
      </c>
      <c r="F697" s="53">
        <v>152</v>
      </c>
      <c r="G697" s="42">
        <v>1.4651426576123257E-3</v>
      </c>
      <c r="H697" s="39">
        <v>46.220999999999997</v>
      </c>
      <c r="I697" s="39">
        <v>79.236000000000004</v>
      </c>
      <c r="J697" s="39"/>
    </row>
    <row r="698" spans="2:10" x14ac:dyDescent="0.2">
      <c r="B698" s="4" t="s">
        <v>1313</v>
      </c>
      <c r="C698" s="5" t="s">
        <v>1314</v>
      </c>
      <c r="D698" s="6" t="s">
        <v>66</v>
      </c>
      <c r="E698" s="6" t="s">
        <v>33</v>
      </c>
      <c r="F698" s="53">
        <v>193.5</v>
      </c>
      <c r="G698" s="42">
        <v>1.4651426576123257E-3</v>
      </c>
      <c r="H698" s="39">
        <v>58.834999999999994</v>
      </c>
      <c r="I698" s="39">
        <v>100.86</v>
      </c>
      <c r="J698" s="39"/>
    </row>
    <row r="699" spans="2:10" x14ac:dyDescent="0.2">
      <c r="B699" s="4" t="s">
        <v>1315</v>
      </c>
      <c r="C699" s="5" t="s">
        <v>1316</v>
      </c>
      <c r="D699" s="6" t="s">
        <v>66</v>
      </c>
      <c r="E699" s="6" t="s">
        <v>33</v>
      </c>
      <c r="F699" s="53">
        <v>219</v>
      </c>
      <c r="G699" s="42">
        <v>1.4651426576123257E-3</v>
      </c>
      <c r="H699" s="39">
        <v>66.674999999999997</v>
      </c>
      <c r="I699" s="39">
        <v>114.3</v>
      </c>
      <c r="J699" s="39"/>
    </row>
    <row r="700" spans="2:10" ht="25.5" x14ac:dyDescent="0.2">
      <c r="B700" s="4" t="s">
        <v>1317</v>
      </c>
      <c r="C700" s="9" t="s">
        <v>1318</v>
      </c>
      <c r="D700" s="6" t="s">
        <v>66</v>
      </c>
      <c r="E700" s="6" t="s">
        <v>33</v>
      </c>
      <c r="F700" s="53">
        <v>165.5</v>
      </c>
      <c r="G700" s="42">
        <v>1.4651426576123257E-3</v>
      </c>
      <c r="H700" s="39">
        <v>50.420999999999999</v>
      </c>
      <c r="I700" s="39">
        <v>86.435999999999993</v>
      </c>
      <c r="J700" s="39"/>
    </row>
    <row r="701" spans="2:10" ht="25.5" x14ac:dyDescent="0.2">
      <c r="B701" s="4" t="s">
        <v>1319</v>
      </c>
      <c r="C701" s="9" t="s">
        <v>1320</v>
      </c>
      <c r="D701" s="6" t="s">
        <v>66</v>
      </c>
      <c r="E701" s="6" t="s">
        <v>33</v>
      </c>
      <c r="F701" s="53">
        <v>304</v>
      </c>
      <c r="G701" s="42">
        <v>1.4651426576123257E-3</v>
      </c>
      <c r="H701" s="39">
        <v>85.75</v>
      </c>
      <c r="I701" s="39">
        <v>147</v>
      </c>
      <c r="J701" s="39"/>
    </row>
    <row r="702" spans="2:10" ht="25.5" x14ac:dyDescent="0.2">
      <c r="B702" s="4" t="s">
        <v>1321</v>
      </c>
      <c r="C702" s="9" t="s">
        <v>1322</v>
      </c>
      <c r="D702" s="6" t="s">
        <v>66</v>
      </c>
      <c r="E702" s="6" t="s">
        <v>33</v>
      </c>
      <c r="F702" s="53">
        <v>257.5</v>
      </c>
      <c r="G702" s="42">
        <v>1.4651426576123257E-3</v>
      </c>
      <c r="H702" s="39">
        <v>78.350999999999999</v>
      </c>
      <c r="I702" s="39">
        <v>134.316</v>
      </c>
      <c r="J702" s="39"/>
    </row>
    <row r="703" spans="2:10" ht="25.5" x14ac:dyDescent="0.2">
      <c r="B703" s="4" t="s">
        <v>1323</v>
      </c>
      <c r="C703" s="9" t="s">
        <v>1324</v>
      </c>
      <c r="D703" s="6" t="s">
        <v>66</v>
      </c>
      <c r="E703" s="6" t="s">
        <v>33</v>
      </c>
      <c r="F703" s="53">
        <v>179.5</v>
      </c>
      <c r="G703" s="42">
        <v>1.4651426576123257E-3</v>
      </c>
      <c r="H703" s="39">
        <v>54.628</v>
      </c>
      <c r="I703" s="39">
        <v>93.64800000000001</v>
      </c>
      <c r="J703" s="39"/>
    </row>
    <row r="704" spans="2:10" ht="25.5" x14ac:dyDescent="0.2">
      <c r="B704" s="4" t="s">
        <v>1325</v>
      </c>
      <c r="C704" s="5" t="s">
        <v>1326</v>
      </c>
      <c r="D704" s="6" t="s">
        <v>66</v>
      </c>
      <c r="E704" s="6" t="s">
        <v>33</v>
      </c>
      <c r="F704" s="53">
        <v>110.5</v>
      </c>
      <c r="G704" s="42">
        <v>1.4651426576123257E-3</v>
      </c>
      <c r="H704" s="39">
        <v>27.782999999999998</v>
      </c>
      <c r="I704" s="39">
        <v>47.627999999999993</v>
      </c>
      <c r="J704" s="39"/>
    </row>
    <row r="705" spans="2:10" ht="38.25" x14ac:dyDescent="0.2">
      <c r="B705" s="4" t="s">
        <v>1327</v>
      </c>
      <c r="C705" s="9" t="s">
        <v>1328</v>
      </c>
      <c r="D705" s="6" t="s">
        <v>66</v>
      </c>
      <c r="E705" s="6" t="s">
        <v>33</v>
      </c>
      <c r="F705" s="53">
        <v>760</v>
      </c>
      <c r="G705" s="42">
        <v>1.4651426576123257E-3</v>
      </c>
      <c r="H705" s="39">
        <v>210</v>
      </c>
      <c r="I705" s="39">
        <v>360</v>
      </c>
      <c r="J705" s="39"/>
    </row>
    <row r="706" spans="2:10" x14ac:dyDescent="0.2">
      <c r="B706" s="4" t="s">
        <v>1329</v>
      </c>
      <c r="C706" s="9" t="s">
        <v>1330</v>
      </c>
      <c r="D706" s="6" t="s">
        <v>66</v>
      </c>
      <c r="E706" s="6" t="s">
        <v>33</v>
      </c>
      <c r="F706" s="53">
        <v>990.5</v>
      </c>
      <c r="G706" s="42">
        <v>1.4651426576123257E-3</v>
      </c>
      <c r="H706" s="39">
        <v>244.99999999999997</v>
      </c>
      <c r="I706" s="39">
        <v>420</v>
      </c>
      <c r="J706" s="39"/>
    </row>
    <row r="707" spans="2:10" x14ac:dyDescent="0.2">
      <c r="B707" s="4" t="s">
        <v>1331</v>
      </c>
      <c r="C707" s="9" t="s">
        <v>1332</v>
      </c>
      <c r="D707" s="6" t="s">
        <v>66</v>
      </c>
      <c r="E707" s="6" t="s">
        <v>33</v>
      </c>
      <c r="F707" s="53">
        <v>1382</v>
      </c>
      <c r="G707" s="42">
        <v>1.4651426576123257E-3</v>
      </c>
      <c r="H707" s="39">
        <v>609</v>
      </c>
      <c r="I707" s="39">
        <v>1044</v>
      </c>
      <c r="J707" s="39"/>
    </row>
    <row r="708" spans="2:10" x14ac:dyDescent="0.2">
      <c r="B708" s="4" t="s">
        <v>1333</v>
      </c>
      <c r="C708" s="5" t="s">
        <v>1334</v>
      </c>
      <c r="D708" s="6" t="s">
        <v>66</v>
      </c>
      <c r="E708" s="6" t="s">
        <v>33</v>
      </c>
      <c r="F708" s="53">
        <v>2300</v>
      </c>
      <c r="G708" s="42">
        <v>1.4651426576123257E-3</v>
      </c>
      <c r="H708" s="39">
        <v>700</v>
      </c>
      <c r="I708" s="39">
        <v>1200</v>
      </c>
      <c r="J708" s="39"/>
    </row>
    <row r="709" spans="2:10" x14ac:dyDescent="0.2">
      <c r="B709" s="4" t="s">
        <v>1335</v>
      </c>
      <c r="C709" s="5" t="s">
        <v>1336</v>
      </c>
      <c r="D709" s="6" t="s">
        <v>66</v>
      </c>
      <c r="E709" s="6" t="s">
        <v>33</v>
      </c>
      <c r="F709" s="53">
        <v>44.5</v>
      </c>
      <c r="G709" s="42">
        <v>1.4651426576123257E-3</v>
      </c>
      <c r="H709" s="39">
        <v>13.573</v>
      </c>
      <c r="I709" s="39">
        <v>23.268000000000001</v>
      </c>
      <c r="J709" s="39"/>
    </row>
    <row r="710" spans="2:10" x14ac:dyDescent="0.2">
      <c r="B710" s="4" t="s">
        <v>1337</v>
      </c>
      <c r="C710" s="9" t="s">
        <v>1338</v>
      </c>
      <c r="D710" s="6" t="s">
        <v>66</v>
      </c>
      <c r="E710" s="6" t="s">
        <v>33</v>
      </c>
      <c r="F710" s="53">
        <v>32.5</v>
      </c>
      <c r="G710" s="42">
        <v>1.4651426576123257E-3</v>
      </c>
      <c r="H710" s="39">
        <v>9.3519999999999985</v>
      </c>
      <c r="I710" s="39">
        <v>16.032</v>
      </c>
      <c r="J710" s="39"/>
    </row>
    <row r="711" spans="2:10" x14ac:dyDescent="0.2">
      <c r="B711" s="4" t="s">
        <v>1339</v>
      </c>
      <c r="C711" s="5" t="s">
        <v>1340</v>
      </c>
      <c r="D711" s="6" t="s">
        <v>66</v>
      </c>
      <c r="E711" s="6" t="s">
        <v>33</v>
      </c>
      <c r="F711" s="53">
        <v>47.5</v>
      </c>
      <c r="G711" s="42">
        <v>1.4651426576123257E-3</v>
      </c>
      <c r="H711" s="39">
        <v>14.566999999999998</v>
      </c>
      <c r="I711" s="39">
        <v>24.971999999999998</v>
      </c>
      <c r="J711" s="39"/>
    </row>
    <row r="712" spans="2:10" x14ac:dyDescent="0.2">
      <c r="B712" s="4" t="s">
        <v>1341</v>
      </c>
      <c r="C712" s="5" t="s">
        <v>1342</v>
      </c>
      <c r="D712" s="6" t="s">
        <v>66</v>
      </c>
      <c r="E712" s="6" t="s">
        <v>33</v>
      </c>
      <c r="F712" s="53">
        <v>75</v>
      </c>
      <c r="G712" s="42">
        <v>1.4651426576123257E-3</v>
      </c>
      <c r="H712" s="39">
        <v>22.841000000000001</v>
      </c>
      <c r="I712" s="39">
        <v>39.155999999999999</v>
      </c>
      <c r="J712" s="39"/>
    </row>
    <row r="713" spans="2:10" x14ac:dyDescent="0.2">
      <c r="B713" s="4" t="s">
        <v>1343</v>
      </c>
      <c r="C713" s="5" t="s">
        <v>1344</v>
      </c>
      <c r="D713" s="6" t="s">
        <v>66</v>
      </c>
      <c r="E713" s="6" t="s">
        <v>33</v>
      </c>
      <c r="F713" s="53">
        <v>55.45</v>
      </c>
      <c r="G713" s="42">
        <v>1.4651426576123257E-3</v>
      </c>
      <c r="H713" s="39">
        <v>16.863</v>
      </c>
      <c r="I713" s="39">
        <v>28.907999999999998</v>
      </c>
      <c r="J713" s="39"/>
    </row>
    <row r="714" spans="2:10" x14ac:dyDescent="0.2">
      <c r="B714" s="4" t="s">
        <v>1345</v>
      </c>
      <c r="C714" s="5" t="s">
        <v>1346</v>
      </c>
      <c r="D714" s="6" t="s">
        <v>66</v>
      </c>
      <c r="E714" s="6" t="s">
        <v>33</v>
      </c>
      <c r="F714" s="53">
        <v>45.9</v>
      </c>
      <c r="G714" s="42">
        <v>1.4651426576123257E-3</v>
      </c>
      <c r="H714" s="39">
        <v>13.950999999999999</v>
      </c>
      <c r="I714" s="39">
        <v>23.916</v>
      </c>
      <c r="J714" s="39"/>
    </row>
    <row r="715" spans="2:10" x14ac:dyDescent="0.2">
      <c r="B715" s="4" t="s">
        <v>1347</v>
      </c>
      <c r="C715" s="5" t="s">
        <v>1348</v>
      </c>
      <c r="D715" s="6" t="s">
        <v>66</v>
      </c>
      <c r="E715" s="6" t="s">
        <v>33</v>
      </c>
      <c r="F715" s="53">
        <v>50</v>
      </c>
      <c r="G715" s="42">
        <v>1.4651426576123257E-3</v>
      </c>
      <c r="H715" s="39">
        <v>15.295</v>
      </c>
      <c r="I715" s="39">
        <v>26.220000000000002</v>
      </c>
      <c r="J715" s="39"/>
    </row>
    <row r="716" spans="2:10" x14ac:dyDescent="0.2">
      <c r="B716" s="4" t="s">
        <v>1349</v>
      </c>
      <c r="C716" s="5" t="s">
        <v>1350</v>
      </c>
      <c r="D716" s="6" t="s">
        <v>66</v>
      </c>
      <c r="E716" s="6" t="s">
        <v>33</v>
      </c>
      <c r="F716" s="53">
        <v>43.5</v>
      </c>
      <c r="G716" s="42">
        <v>1.4651426576123257E-3</v>
      </c>
      <c r="H716" s="39">
        <v>13.229999999999999</v>
      </c>
      <c r="I716" s="39">
        <v>22.679999999999996</v>
      </c>
      <c r="J716" s="39"/>
    </row>
    <row r="717" spans="2:10" x14ac:dyDescent="0.2">
      <c r="B717" s="4" t="s">
        <v>1351</v>
      </c>
      <c r="C717" s="5" t="s">
        <v>1352</v>
      </c>
      <c r="D717" s="6" t="s">
        <v>66</v>
      </c>
      <c r="E717" s="6" t="s">
        <v>33</v>
      </c>
      <c r="F717" s="53">
        <v>45.9</v>
      </c>
      <c r="G717" s="42">
        <v>1.4651426576123257E-3</v>
      </c>
      <c r="H717" s="39">
        <v>13.950999999999999</v>
      </c>
      <c r="I717" s="39">
        <v>23.916</v>
      </c>
      <c r="J717" s="39"/>
    </row>
    <row r="718" spans="2:10" x14ac:dyDescent="0.2">
      <c r="B718" s="4" t="s">
        <v>1353</v>
      </c>
      <c r="C718" s="5" t="s">
        <v>1354</v>
      </c>
      <c r="D718" s="6" t="s">
        <v>66</v>
      </c>
      <c r="E718" s="6" t="s">
        <v>33</v>
      </c>
      <c r="F718" s="53">
        <v>47.5</v>
      </c>
      <c r="G718" s="42">
        <v>1.4651426576123257E-3</v>
      </c>
      <c r="H718" s="39">
        <v>14.454999999999998</v>
      </c>
      <c r="I718" s="39">
        <v>24.779999999999998</v>
      </c>
      <c r="J718" s="39"/>
    </row>
    <row r="719" spans="2:10" x14ac:dyDescent="0.2">
      <c r="B719" s="4" t="s">
        <v>1355</v>
      </c>
      <c r="C719" s="5" t="s">
        <v>1356</v>
      </c>
      <c r="D719" s="6" t="s">
        <v>66</v>
      </c>
      <c r="E719" s="6" t="s">
        <v>33</v>
      </c>
      <c r="F719" s="53">
        <v>58</v>
      </c>
      <c r="G719" s="42">
        <v>1.4651426576123257E-3</v>
      </c>
      <c r="H719" s="39">
        <v>17.632999999999999</v>
      </c>
      <c r="I719" s="39">
        <v>30.228000000000002</v>
      </c>
      <c r="J719" s="39"/>
    </row>
    <row r="720" spans="2:10" ht="25.5" x14ac:dyDescent="0.2">
      <c r="B720" s="4" t="s">
        <v>1357</v>
      </c>
      <c r="C720" s="9" t="s">
        <v>1358</v>
      </c>
      <c r="D720" s="6" t="s">
        <v>66</v>
      </c>
      <c r="E720" s="6" t="s">
        <v>33</v>
      </c>
      <c r="F720" s="53">
        <v>276.5</v>
      </c>
      <c r="G720" s="42">
        <v>1.4651426576123257E-3</v>
      </c>
      <c r="H720" s="39">
        <v>84.042000000000002</v>
      </c>
      <c r="I720" s="39">
        <v>144.072</v>
      </c>
      <c r="J720" s="39"/>
    </row>
    <row r="721" spans="2:10" ht="25.5" x14ac:dyDescent="0.2">
      <c r="B721" s="4" t="s">
        <v>1359</v>
      </c>
      <c r="C721" s="9" t="s">
        <v>1360</v>
      </c>
      <c r="D721" s="6" t="s">
        <v>66</v>
      </c>
      <c r="E721" s="6" t="s">
        <v>33</v>
      </c>
      <c r="F721" s="53">
        <v>69</v>
      </c>
      <c r="G721" s="42">
        <v>1.4651426576123257E-3</v>
      </c>
      <c r="H721" s="39">
        <v>19.488</v>
      </c>
      <c r="I721" s="39">
        <v>33.408000000000001</v>
      </c>
      <c r="J721" s="39"/>
    </row>
    <row r="722" spans="2:10" x14ac:dyDescent="0.2">
      <c r="B722" s="4" t="s">
        <v>1361</v>
      </c>
      <c r="C722" s="9" t="s">
        <v>1362</v>
      </c>
      <c r="D722" s="6" t="s">
        <v>66</v>
      </c>
      <c r="E722" s="6" t="s">
        <v>33</v>
      </c>
      <c r="F722" s="53">
        <v>68</v>
      </c>
      <c r="G722" s="42">
        <v>1.4651426576123257E-3</v>
      </c>
      <c r="H722" s="39">
        <v>20.783000000000001</v>
      </c>
      <c r="I722" s="39">
        <v>35.628</v>
      </c>
      <c r="J722" s="39"/>
    </row>
    <row r="723" spans="2:10" x14ac:dyDescent="0.2">
      <c r="B723" s="4" t="s">
        <v>1363</v>
      </c>
      <c r="C723" s="9" t="s">
        <v>1364</v>
      </c>
      <c r="D723" s="6" t="s">
        <v>66</v>
      </c>
      <c r="E723" s="6" t="s">
        <v>33</v>
      </c>
      <c r="F723" s="53">
        <v>28.5</v>
      </c>
      <c r="G723" s="42">
        <v>1.4651426576123257E-3</v>
      </c>
      <c r="H723" s="39">
        <v>6.3</v>
      </c>
      <c r="I723" s="39">
        <v>10.799999999999999</v>
      </c>
      <c r="J723" s="39"/>
    </row>
    <row r="724" spans="2:10" ht="42.75" customHeight="1" x14ac:dyDescent="0.2">
      <c r="B724" s="4" t="s">
        <v>1365</v>
      </c>
      <c r="C724" s="5" t="s">
        <v>1366</v>
      </c>
      <c r="D724" s="6" t="s">
        <v>66</v>
      </c>
      <c r="E724" s="6" t="s">
        <v>33</v>
      </c>
      <c r="F724" s="53">
        <v>54.8</v>
      </c>
      <c r="G724" s="42">
        <v>1.4651426576123257E-3</v>
      </c>
      <c r="H724" s="39">
        <v>16.666999999999998</v>
      </c>
      <c r="I724" s="39">
        <v>28.571999999999999</v>
      </c>
      <c r="J724" s="39"/>
    </row>
    <row r="725" spans="2:10" ht="25.5" x14ac:dyDescent="0.2">
      <c r="B725" s="4" t="s">
        <v>1367</v>
      </c>
      <c r="C725" s="9" t="s">
        <v>1368</v>
      </c>
      <c r="D725" s="6" t="s">
        <v>66</v>
      </c>
      <c r="E725" s="6" t="s">
        <v>33</v>
      </c>
      <c r="F725" s="53">
        <v>185.5</v>
      </c>
      <c r="G725" s="42">
        <v>1.4651426576123257E-3</v>
      </c>
      <c r="H725" s="39">
        <v>56.398999999999994</v>
      </c>
      <c r="I725" s="39">
        <v>96.683999999999983</v>
      </c>
      <c r="J725" s="39"/>
    </row>
    <row r="726" spans="2:10" x14ac:dyDescent="0.2">
      <c r="B726" s="4" t="s">
        <v>1369</v>
      </c>
      <c r="C726" s="9" t="s">
        <v>1370</v>
      </c>
      <c r="D726" s="6" t="s">
        <v>66</v>
      </c>
      <c r="E726" s="6" t="s">
        <v>33</v>
      </c>
      <c r="F726" s="53">
        <v>44.2</v>
      </c>
      <c r="G726" s="42">
        <v>1.4651426576123257E-3</v>
      </c>
      <c r="H726" s="39">
        <v>13.44</v>
      </c>
      <c r="I726" s="39">
        <v>23.04</v>
      </c>
      <c r="J726" s="39"/>
    </row>
    <row r="727" spans="2:10" x14ac:dyDescent="0.2">
      <c r="B727" s="4" t="s">
        <v>1371</v>
      </c>
      <c r="C727" s="9" t="s">
        <v>1372</v>
      </c>
      <c r="D727" s="6" t="s">
        <v>66</v>
      </c>
      <c r="E727" s="6" t="s">
        <v>33</v>
      </c>
      <c r="F727" s="53">
        <v>66</v>
      </c>
      <c r="G727" s="42">
        <v>1.4651426576123257E-3</v>
      </c>
      <c r="H727" s="39">
        <v>20.173999999999999</v>
      </c>
      <c r="I727" s="39">
        <v>34.583999999999996</v>
      </c>
      <c r="J727" s="39"/>
    </row>
    <row r="728" spans="2:10" ht="38.25" x14ac:dyDescent="0.2">
      <c r="B728" s="4" t="s">
        <v>1373</v>
      </c>
      <c r="C728" s="5" t="s">
        <v>1374</v>
      </c>
      <c r="D728" s="6" t="s">
        <v>66</v>
      </c>
      <c r="E728" s="6" t="s">
        <v>33</v>
      </c>
      <c r="F728" s="53">
        <v>1.3</v>
      </c>
      <c r="G728" s="42">
        <v>1.4651426576123257E-3</v>
      </c>
      <c r="H728" s="39">
        <v>0.42</v>
      </c>
      <c r="I728" s="39">
        <v>0.72</v>
      </c>
      <c r="J728" s="39"/>
    </row>
    <row r="729" spans="2:10" ht="25.5" x14ac:dyDescent="0.2">
      <c r="B729" s="4" t="s">
        <v>1375</v>
      </c>
      <c r="C729" s="9" t="s">
        <v>1376</v>
      </c>
      <c r="D729" s="6" t="s">
        <v>66</v>
      </c>
      <c r="E729" s="6" t="s">
        <v>33</v>
      </c>
      <c r="F729" s="53">
        <v>6.25</v>
      </c>
      <c r="G729" s="42">
        <v>1.4651426576123257E-3</v>
      </c>
      <c r="H729" s="39">
        <v>1.9039999999999999</v>
      </c>
      <c r="I729" s="39">
        <v>3.2640000000000002</v>
      </c>
      <c r="J729" s="39"/>
    </row>
    <row r="730" spans="2:10" ht="25.5" x14ac:dyDescent="0.2">
      <c r="B730" s="4" t="s">
        <v>1377</v>
      </c>
      <c r="C730" s="9" t="s">
        <v>1378</v>
      </c>
      <c r="D730" s="6" t="s">
        <v>66</v>
      </c>
      <c r="E730" s="6" t="s">
        <v>33</v>
      </c>
      <c r="F730" s="53">
        <v>11</v>
      </c>
      <c r="G730" s="42">
        <v>1.4651426576123257E-3</v>
      </c>
      <c r="H730" s="39">
        <v>3.36</v>
      </c>
      <c r="I730" s="39">
        <v>5.76</v>
      </c>
      <c r="J730" s="39"/>
    </row>
    <row r="731" spans="2:10" ht="25.5" x14ac:dyDescent="0.2">
      <c r="B731" s="4" t="s">
        <v>1379</v>
      </c>
      <c r="C731" s="5" t="s">
        <v>1380</v>
      </c>
      <c r="D731" s="6" t="s">
        <v>66</v>
      </c>
      <c r="E731" s="6" t="s">
        <v>33</v>
      </c>
      <c r="F731" s="53">
        <v>20.5</v>
      </c>
      <c r="G731" s="42">
        <v>1.4651426576123257E-3</v>
      </c>
      <c r="H731" s="39">
        <v>6.3</v>
      </c>
      <c r="I731" s="39">
        <v>10.799999999999999</v>
      </c>
      <c r="J731" s="39"/>
    </row>
    <row r="732" spans="2:10" ht="25.5" x14ac:dyDescent="0.2">
      <c r="B732" s="4" t="s">
        <v>1381</v>
      </c>
      <c r="C732" s="9" t="s">
        <v>1382</v>
      </c>
      <c r="D732" s="6" t="s">
        <v>66</v>
      </c>
      <c r="E732" s="6" t="s">
        <v>33</v>
      </c>
      <c r="F732" s="53">
        <v>55.3</v>
      </c>
      <c r="G732" s="42">
        <v>1.4651426576123257E-3</v>
      </c>
      <c r="H732" s="39">
        <v>16.806999999999999</v>
      </c>
      <c r="I732" s="39">
        <v>28.812000000000001</v>
      </c>
      <c r="J732" s="39"/>
    </row>
    <row r="733" spans="2:10" ht="25.5" x14ac:dyDescent="0.2">
      <c r="B733" s="4" t="s">
        <v>1383</v>
      </c>
      <c r="C733" s="5" t="s">
        <v>1384</v>
      </c>
      <c r="D733" s="6" t="s">
        <v>66</v>
      </c>
      <c r="E733" s="6" t="s">
        <v>33</v>
      </c>
      <c r="F733" s="53">
        <v>101</v>
      </c>
      <c r="G733" s="42">
        <v>1.4651426576123257E-3</v>
      </c>
      <c r="H733" s="39">
        <v>30.799999999999997</v>
      </c>
      <c r="I733" s="39">
        <v>52.8</v>
      </c>
      <c r="J733" s="39"/>
    </row>
    <row r="734" spans="2:10" ht="25.5" x14ac:dyDescent="0.2">
      <c r="B734" s="4" t="s">
        <v>1385</v>
      </c>
      <c r="C734" s="5" t="s">
        <v>1386</v>
      </c>
      <c r="D734" s="6" t="s">
        <v>66</v>
      </c>
      <c r="E734" s="6" t="s">
        <v>33</v>
      </c>
      <c r="F734" s="53">
        <v>101</v>
      </c>
      <c r="G734" s="42">
        <v>1.4651426576123257E-3</v>
      </c>
      <c r="H734" s="39">
        <v>30.799999999999997</v>
      </c>
      <c r="I734" s="39">
        <v>52.8</v>
      </c>
      <c r="J734" s="39"/>
    </row>
    <row r="735" spans="2:10" ht="25.5" x14ac:dyDescent="0.2">
      <c r="B735" s="4" t="s">
        <v>1387</v>
      </c>
      <c r="C735" s="5" t="s">
        <v>1388</v>
      </c>
      <c r="D735" s="6" t="s">
        <v>66</v>
      </c>
      <c r="E735" s="6" t="s">
        <v>33</v>
      </c>
      <c r="F735" s="53">
        <v>126.5</v>
      </c>
      <c r="G735" s="42">
        <v>1.4651426576123257E-3</v>
      </c>
      <c r="H735" s="39">
        <v>38.5</v>
      </c>
      <c r="I735" s="39">
        <v>66</v>
      </c>
      <c r="J735" s="39"/>
    </row>
    <row r="736" spans="2:10" ht="25.5" x14ac:dyDescent="0.2">
      <c r="B736" s="4" t="s">
        <v>1389</v>
      </c>
      <c r="C736" s="5" t="s">
        <v>1390</v>
      </c>
      <c r="D736" s="6" t="s">
        <v>66</v>
      </c>
      <c r="E736" s="6" t="s">
        <v>33</v>
      </c>
      <c r="F736" s="53">
        <v>253.4</v>
      </c>
      <c r="G736" s="42">
        <v>1.4651426576123257E-3</v>
      </c>
      <c r="H736" s="39">
        <v>77</v>
      </c>
      <c r="I736" s="39">
        <v>132</v>
      </c>
      <c r="J736" s="39"/>
    </row>
    <row r="737" spans="2:10" x14ac:dyDescent="0.2">
      <c r="B737" s="4" t="s">
        <v>1391</v>
      </c>
      <c r="C737" s="5" t="s">
        <v>1392</v>
      </c>
      <c r="D737" s="6" t="s">
        <v>66</v>
      </c>
      <c r="E737" s="6" t="s">
        <v>33</v>
      </c>
      <c r="F737" s="53">
        <v>38</v>
      </c>
      <c r="G737" s="42">
        <v>1.4651426576123257E-3</v>
      </c>
      <c r="H737" s="39">
        <v>11.549999999999999</v>
      </c>
      <c r="I737" s="39">
        <v>19.8</v>
      </c>
      <c r="J737" s="39"/>
    </row>
    <row r="738" spans="2:10" x14ac:dyDescent="0.2">
      <c r="B738" s="4" t="s">
        <v>1393</v>
      </c>
      <c r="C738" s="5" t="s">
        <v>1394</v>
      </c>
      <c r="D738" s="6" t="s">
        <v>66</v>
      </c>
      <c r="E738" s="6" t="s">
        <v>33</v>
      </c>
      <c r="F738" s="53">
        <v>3.15</v>
      </c>
      <c r="G738" s="42">
        <v>1.4651426576123257E-3</v>
      </c>
      <c r="H738" s="39">
        <v>0.95899999999999996</v>
      </c>
      <c r="I738" s="39">
        <v>1.6440000000000001</v>
      </c>
      <c r="J738" s="39"/>
    </row>
    <row r="739" spans="2:10" x14ac:dyDescent="0.2">
      <c r="B739" s="4" t="s">
        <v>1395</v>
      </c>
      <c r="C739" s="5" t="s">
        <v>1396</v>
      </c>
      <c r="D739" s="6" t="s">
        <v>66</v>
      </c>
      <c r="E739" s="6" t="s">
        <v>33</v>
      </c>
      <c r="F739" s="53">
        <v>38</v>
      </c>
      <c r="G739" s="42">
        <v>1.4651426576123257E-3</v>
      </c>
      <c r="H739" s="39">
        <v>11.549999999999999</v>
      </c>
      <c r="I739" s="39">
        <v>19.8</v>
      </c>
      <c r="J739" s="39"/>
    </row>
    <row r="740" spans="2:10" x14ac:dyDescent="0.2">
      <c r="B740" s="4" t="s">
        <v>1397</v>
      </c>
      <c r="C740" s="5" t="s">
        <v>1398</v>
      </c>
      <c r="D740" s="6" t="s">
        <v>66</v>
      </c>
      <c r="E740" s="6" t="s">
        <v>33</v>
      </c>
      <c r="F740" s="53">
        <v>20.2</v>
      </c>
      <c r="G740" s="42">
        <v>1.4651426576123257E-3</v>
      </c>
      <c r="H740" s="39">
        <v>6.16</v>
      </c>
      <c r="I740" s="39">
        <v>10.56</v>
      </c>
      <c r="J740" s="39"/>
    </row>
    <row r="741" spans="2:10" x14ac:dyDescent="0.2">
      <c r="B741" s="4" t="s">
        <v>1399</v>
      </c>
      <c r="C741" s="5" t="s">
        <v>1400</v>
      </c>
      <c r="D741" s="6" t="s">
        <v>66</v>
      </c>
      <c r="E741" s="6" t="s">
        <v>33</v>
      </c>
      <c r="F741" s="53">
        <v>20.2</v>
      </c>
      <c r="G741" s="42">
        <v>1.4651426576123257E-3</v>
      </c>
      <c r="H741" s="39">
        <v>6.16</v>
      </c>
      <c r="I741" s="39">
        <v>10.56</v>
      </c>
      <c r="J741" s="39"/>
    </row>
    <row r="742" spans="2:10" x14ac:dyDescent="0.2">
      <c r="B742" s="4" t="s">
        <v>1401</v>
      </c>
      <c r="C742" s="5" t="s">
        <v>1402</v>
      </c>
      <c r="D742" s="6"/>
      <c r="E742" s="6"/>
      <c r="F742" s="50"/>
      <c r="G742" s="42">
        <v>1.4651426576123257E-3</v>
      </c>
      <c r="H742" s="39" t="s">
        <v>49</v>
      </c>
      <c r="I742" s="39" t="s">
        <v>49</v>
      </c>
      <c r="J742" s="39"/>
    </row>
    <row r="743" spans="2:10" ht="25.5" x14ac:dyDescent="0.2">
      <c r="B743" s="4" t="s">
        <v>1403</v>
      </c>
      <c r="C743" s="5" t="s">
        <v>1404</v>
      </c>
      <c r="D743" s="6" t="s">
        <v>42</v>
      </c>
      <c r="E743" s="6" t="s">
        <v>33</v>
      </c>
      <c r="F743" s="53">
        <v>82.5</v>
      </c>
      <c r="G743" s="42">
        <v>1.4651426576123257E-3</v>
      </c>
      <c r="H743" s="39">
        <v>25.214000000000002</v>
      </c>
      <c r="I743" s="39">
        <v>43.224000000000004</v>
      </c>
      <c r="J743" s="39"/>
    </row>
    <row r="744" spans="2:10" x14ac:dyDescent="0.2">
      <c r="B744" s="4" t="s">
        <v>1405</v>
      </c>
      <c r="C744" s="5" t="s">
        <v>1406</v>
      </c>
      <c r="D744" s="6" t="s">
        <v>42</v>
      </c>
      <c r="E744" s="6" t="s">
        <v>33</v>
      </c>
      <c r="F744" s="53">
        <v>82.5</v>
      </c>
      <c r="G744" s="42">
        <v>1.4651426576123257E-3</v>
      </c>
      <c r="H744" s="39">
        <v>25.214000000000002</v>
      </c>
      <c r="I744" s="39">
        <v>43.224000000000004</v>
      </c>
      <c r="J744" s="39"/>
    </row>
    <row r="745" spans="2:10" x14ac:dyDescent="0.2">
      <c r="B745" s="4" t="s">
        <v>1407</v>
      </c>
      <c r="C745" s="5" t="s">
        <v>1408</v>
      </c>
      <c r="D745" s="6" t="s">
        <v>42</v>
      </c>
      <c r="E745" s="6" t="s">
        <v>33</v>
      </c>
      <c r="F745" s="53">
        <v>69</v>
      </c>
      <c r="G745" s="42">
        <v>1.4651426576123257E-3</v>
      </c>
      <c r="H745" s="39">
        <v>21.007000000000001</v>
      </c>
      <c r="I745" s="39">
        <v>36.012</v>
      </c>
      <c r="J745" s="39"/>
    </row>
    <row r="746" spans="2:10" x14ac:dyDescent="0.2">
      <c r="B746" s="4" t="s">
        <v>1409</v>
      </c>
      <c r="C746" s="5" t="s">
        <v>1410</v>
      </c>
      <c r="D746" s="6" t="s">
        <v>42</v>
      </c>
      <c r="E746" s="6" t="s">
        <v>33</v>
      </c>
      <c r="F746" s="53">
        <v>69</v>
      </c>
      <c r="G746" s="42">
        <v>1.4651426576123257E-3</v>
      </c>
      <c r="H746" s="39">
        <v>21.007000000000001</v>
      </c>
      <c r="I746" s="39">
        <v>36.012</v>
      </c>
      <c r="J746" s="39"/>
    </row>
    <row r="747" spans="2:10" ht="25.5" x14ac:dyDescent="0.2">
      <c r="B747" s="4" t="s">
        <v>1411</v>
      </c>
      <c r="C747" s="9" t="s">
        <v>1412</v>
      </c>
      <c r="D747" s="6" t="s">
        <v>42</v>
      </c>
      <c r="E747" s="6" t="s">
        <v>33</v>
      </c>
      <c r="F747" s="53">
        <v>110</v>
      </c>
      <c r="G747" s="42">
        <v>1.4651426576123257E-3</v>
      </c>
      <c r="H747" s="39">
        <v>33.613999999999997</v>
      </c>
      <c r="I747" s="39">
        <v>57.624000000000002</v>
      </c>
      <c r="J747" s="39"/>
    </row>
    <row r="748" spans="2:10" x14ac:dyDescent="0.2">
      <c r="B748" s="4" t="s">
        <v>1413</v>
      </c>
      <c r="C748" s="5" t="s">
        <v>1414</v>
      </c>
      <c r="D748" s="6" t="s">
        <v>42</v>
      </c>
      <c r="E748" s="6" t="s">
        <v>33</v>
      </c>
      <c r="F748" s="53">
        <v>110</v>
      </c>
      <c r="G748" s="42">
        <v>1.4651426576123257E-3</v>
      </c>
      <c r="H748" s="39">
        <v>33.613999999999997</v>
      </c>
      <c r="I748" s="39">
        <v>57.624000000000002</v>
      </c>
      <c r="J748" s="39"/>
    </row>
    <row r="749" spans="2:10" ht="25.5" x14ac:dyDescent="0.2">
      <c r="B749" s="4" t="s">
        <v>1415</v>
      </c>
      <c r="C749" s="9" t="s">
        <v>1416</v>
      </c>
      <c r="D749" s="6" t="s">
        <v>42</v>
      </c>
      <c r="E749" s="6" t="s">
        <v>33</v>
      </c>
      <c r="F749" s="53">
        <v>69.099999999999994</v>
      </c>
      <c r="G749" s="42">
        <v>1.4651426576123257E-3</v>
      </c>
      <c r="H749" s="39">
        <v>21.007000000000001</v>
      </c>
      <c r="I749" s="39">
        <v>36.012</v>
      </c>
      <c r="J749" s="39"/>
    </row>
    <row r="750" spans="2:10" x14ac:dyDescent="0.2">
      <c r="B750" s="4" t="s">
        <v>1417</v>
      </c>
      <c r="C750" s="5" t="s">
        <v>1418</v>
      </c>
      <c r="D750" s="6" t="s">
        <v>42</v>
      </c>
      <c r="E750" s="6" t="s">
        <v>33</v>
      </c>
      <c r="F750" s="53">
        <v>74.5</v>
      </c>
      <c r="G750" s="42">
        <v>1.4651426576123257E-3</v>
      </c>
      <c r="H750" s="39">
        <v>22.742999999999999</v>
      </c>
      <c r="I750" s="39">
        <v>38.988</v>
      </c>
      <c r="J750" s="39"/>
    </row>
    <row r="751" spans="2:10" x14ac:dyDescent="0.2">
      <c r="B751" s="4" t="s">
        <v>1419</v>
      </c>
      <c r="C751" s="5" t="s">
        <v>1420</v>
      </c>
      <c r="D751" s="6" t="s">
        <v>42</v>
      </c>
      <c r="E751" s="6" t="s">
        <v>33</v>
      </c>
      <c r="F751" s="53">
        <v>69</v>
      </c>
      <c r="G751" s="42">
        <v>1.4651426576123257E-3</v>
      </c>
      <c r="H751" s="39">
        <v>21.007000000000001</v>
      </c>
      <c r="I751" s="39">
        <v>36.012</v>
      </c>
      <c r="J751" s="39"/>
    </row>
    <row r="752" spans="2:10" x14ac:dyDescent="0.2">
      <c r="B752" s="4" t="s">
        <v>1421</v>
      </c>
      <c r="C752" s="5" t="s">
        <v>1422</v>
      </c>
      <c r="D752" s="6" t="s">
        <v>42</v>
      </c>
      <c r="E752" s="6" t="s">
        <v>33</v>
      </c>
      <c r="F752" s="53">
        <v>69</v>
      </c>
      <c r="G752" s="42">
        <v>1.4651426576123257E-3</v>
      </c>
      <c r="H752" s="39">
        <v>21.007000000000001</v>
      </c>
      <c r="I752" s="39">
        <v>36.012</v>
      </c>
      <c r="J752" s="39"/>
    </row>
    <row r="753" spans="2:10" x14ac:dyDescent="0.2">
      <c r="B753" s="4" t="s">
        <v>1423</v>
      </c>
      <c r="C753" s="5" t="s">
        <v>1424</v>
      </c>
      <c r="D753" s="6" t="s">
        <v>42</v>
      </c>
      <c r="E753" s="6" t="s">
        <v>33</v>
      </c>
      <c r="F753" s="53">
        <v>69</v>
      </c>
      <c r="G753" s="42">
        <v>1.4651426576123257E-3</v>
      </c>
      <c r="H753" s="39">
        <v>21.007000000000001</v>
      </c>
      <c r="I753" s="39">
        <v>36.012</v>
      </c>
      <c r="J753" s="39"/>
    </row>
    <row r="754" spans="2:10" ht="25.5" x14ac:dyDescent="0.2">
      <c r="B754" s="4" t="s">
        <v>1425</v>
      </c>
      <c r="C754" s="9" t="s">
        <v>1426</v>
      </c>
      <c r="D754" s="6" t="s">
        <v>42</v>
      </c>
      <c r="E754" s="6" t="s">
        <v>33</v>
      </c>
      <c r="F754" s="53">
        <v>110.5</v>
      </c>
      <c r="G754" s="42">
        <v>1.4651426576123257E-3</v>
      </c>
      <c r="H754" s="39">
        <v>33.613999999999997</v>
      </c>
      <c r="I754" s="39">
        <v>57.624000000000002</v>
      </c>
      <c r="J754" s="39"/>
    </row>
    <row r="755" spans="2:10" x14ac:dyDescent="0.2">
      <c r="B755" s="4" t="s">
        <v>1427</v>
      </c>
      <c r="C755" s="5" t="s">
        <v>1418</v>
      </c>
      <c r="D755" s="6" t="s">
        <v>42</v>
      </c>
      <c r="E755" s="6" t="s">
        <v>33</v>
      </c>
      <c r="F755" s="53">
        <v>110.5</v>
      </c>
      <c r="G755" s="42">
        <v>1.4651426576123257E-3</v>
      </c>
      <c r="H755" s="39">
        <v>33.613999999999997</v>
      </c>
      <c r="I755" s="39">
        <v>57.624000000000002</v>
      </c>
      <c r="J755" s="39"/>
    </row>
    <row r="756" spans="2:10" x14ac:dyDescent="0.2">
      <c r="B756" s="4" t="s">
        <v>1428</v>
      </c>
      <c r="C756" s="5" t="s">
        <v>1420</v>
      </c>
      <c r="D756" s="6" t="s">
        <v>42</v>
      </c>
      <c r="E756" s="6" t="s">
        <v>33</v>
      </c>
      <c r="F756" s="53">
        <v>110.5</v>
      </c>
      <c r="G756" s="42">
        <v>1.4651426576123257E-3</v>
      </c>
      <c r="H756" s="39">
        <v>33.613999999999997</v>
      </c>
      <c r="I756" s="39">
        <v>57.624000000000002</v>
      </c>
      <c r="J756" s="39"/>
    </row>
    <row r="757" spans="2:10" x14ac:dyDescent="0.2">
      <c r="B757" s="4" t="s">
        <v>1429</v>
      </c>
      <c r="C757" s="5" t="s">
        <v>1422</v>
      </c>
      <c r="D757" s="6" t="s">
        <v>42</v>
      </c>
      <c r="E757" s="6" t="s">
        <v>33</v>
      </c>
      <c r="F757" s="53">
        <v>110.5</v>
      </c>
      <c r="G757" s="42">
        <v>1.4651426576123257E-3</v>
      </c>
      <c r="H757" s="39">
        <v>33.613999999999997</v>
      </c>
      <c r="I757" s="39">
        <v>57.624000000000002</v>
      </c>
      <c r="J757" s="39"/>
    </row>
    <row r="758" spans="2:10" x14ac:dyDescent="0.2">
      <c r="B758" s="4" t="s">
        <v>1430</v>
      </c>
      <c r="C758" s="5" t="s">
        <v>1424</v>
      </c>
      <c r="D758" s="6" t="s">
        <v>42</v>
      </c>
      <c r="E758" s="6" t="s">
        <v>33</v>
      </c>
      <c r="F758" s="53">
        <v>110.5</v>
      </c>
      <c r="G758" s="42">
        <v>1.4651426576123257E-3</v>
      </c>
      <c r="H758" s="39">
        <v>33.613999999999997</v>
      </c>
      <c r="I758" s="39">
        <v>57.624000000000002</v>
      </c>
      <c r="J758" s="39"/>
    </row>
    <row r="759" spans="2:10" ht="76.5" x14ac:dyDescent="0.2">
      <c r="B759" s="4" t="s">
        <v>1431</v>
      </c>
      <c r="C759" s="9" t="s">
        <v>1432</v>
      </c>
      <c r="D759" s="6" t="s">
        <v>66</v>
      </c>
      <c r="E759" s="6" t="s">
        <v>33</v>
      </c>
      <c r="F759" s="53">
        <v>414.9</v>
      </c>
      <c r="G759" s="42">
        <v>1.4651426576123257E-3</v>
      </c>
      <c r="H759" s="39">
        <v>126.07</v>
      </c>
      <c r="I759" s="39">
        <v>216.11999999999998</v>
      </c>
      <c r="J759" s="39"/>
    </row>
    <row r="760" spans="2:10" ht="63.75" x14ac:dyDescent="0.2">
      <c r="B760" s="4" t="s">
        <v>1433</v>
      </c>
      <c r="C760" s="9" t="s">
        <v>1434</v>
      </c>
      <c r="D760" s="6" t="s">
        <v>66</v>
      </c>
      <c r="E760" s="6" t="s">
        <v>33</v>
      </c>
      <c r="F760" s="53">
        <v>414.9</v>
      </c>
      <c r="G760" s="42">
        <v>1.4651426576123257E-3</v>
      </c>
      <c r="H760" s="39">
        <v>126.07</v>
      </c>
      <c r="I760" s="39">
        <v>216.11999999999998</v>
      </c>
      <c r="J760" s="39"/>
    </row>
    <row r="761" spans="2:10" ht="38.25" x14ac:dyDescent="0.2">
      <c r="B761" s="4" t="s">
        <v>1435</v>
      </c>
      <c r="C761" s="9" t="s">
        <v>1436</v>
      </c>
      <c r="D761" s="6" t="s">
        <v>66</v>
      </c>
      <c r="E761" s="6" t="s">
        <v>33</v>
      </c>
      <c r="F761" s="53">
        <v>414.9</v>
      </c>
      <c r="G761" s="42">
        <v>1.4651426576123257E-3</v>
      </c>
      <c r="H761" s="39">
        <v>126.07</v>
      </c>
      <c r="I761" s="39">
        <v>216.11999999999998</v>
      </c>
      <c r="J761" s="39"/>
    </row>
    <row r="762" spans="2:10" ht="25.5" x14ac:dyDescent="0.2">
      <c r="B762" s="4" t="s">
        <v>1437</v>
      </c>
      <c r="C762" s="9" t="s">
        <v>1438</v>
      </c>
      <c r="D762" s="6" t="s">
        <v>66</v>
      </c>
      <c r="E762" s="6" t="s">
        <v>33</v>
      </c>
      <c r="F762" s="53">
        <v>414.9</v>
      </c>
      <c r="G762" s="42">
        <v>1.4651426576123257E-3</v>
      </c>
      <c r="H762" s="39">
        <v>126.07</v>
      </c>
      <c r="I762" s="39">
        <v>216.11999999999998</v>
      </c>
      <c r="J762" s="39"/>
    </row>
    <row r="763" spans="2:10" ht="51" x14ac:dyDescent="0.2">
      <c r="B763" s="4" t="s">
        <v>1439</v>
      </c>
      <c r="C763" s="9" t="s">
        <v>1440</v>
      </c>
      <c r="D763" s="6" t="s">
        <v>42</v>
      </c>
      <c r="E763" s="6" t="s">
        <v>33</v>
      </c>
      <c r="F763" s="53">
        <v>89.5</v>
      </c>
      <c r="G763" s="42">
        <v>1.4651426576123257E-3</v>
      </c>
      <c r="H763" s="39">
        <v>27.306999999999999</v>
      </c>
      <c r="I763" s="39">
        <v>46.811999999999998</v>
      </c>
      <c r="J763" s="39"/>
    </row>
    <row r="764" spans="2:10" ht="25.5" x14ac:dyDescent="0.2">
      <c r="B764" s="4" t="s">
        <v>1441</v>
      </c>
      <c r="C764" s="9" t="s">
        <v>1442</v>
      </c>
      <c r="D764" s="6" t="s">
        <v>42</v>
      </c>
      <c r="E764" s="6" t="s">
        <v>33</v>
      </c>
      <c r="F764" s="53">
        <v>89.5</v>
      </c>
      <c r="G764" s="42">
        <v>1.4651426576123257E-3</v>
      </c>
      <c r="H764" s="39">
        <v>27.306999999999999</v>
      </c>
      <c r="I764" s="39">
        <v>46.811999999999998</v>
      </c>
      <c r="J764" s="39"/>
    </row>
    <row r="765" spans="2:10" ht="51" x14ac:dyDescent="0.2">
      <c r="B765" s="4" t="s">
        <v>1443</v>
      </c>
      <c r="C765" s="9" t="s">
        <v>1444</v>
      </c>
      <c r="D765" s="6" t="s">
        <v>42</v>
      </c>
      <c r="E765" s="6" t="s">
        <v>33</v>
      </c>
      <c r="F765" s="53">
        <v>89.5</v>
      </c>
      <c r="G765" s="42">
        <v>1.4651426576123257E-3</v>
      </c>
      <c r="H765" s="39">
        <v>27.306999999999999</v>
      </c>
      <c r="I765" s="39">
        <v>46.811999999999998</v>
      </c>
      <c r="J765" s="39"/>
    </row>
    <row r="766" spans="2:10" ht="25.5" x14ac:dyDescent="0.2">
      <c r="B766" s="4" t="s">
        <v>1445</v>
      </c>
      <c r="C766" s="5" t="s">
        <v>1446</v>
      </c>
      <c r="D766" s="6" t="s">
        <v>42</v>
      </c>
      <c r="E766" s="6" t="s">
        <v>33</v>
      </c>
      <c r="F766" s="53">
        <v>99</v>
      </c>
      <c r="G766" s="42">
        <v>1.4651426576123257E-3</v>
      </c>
      <c r="H766" s="39">
        <v>30.085999999999995</v>
      </c>
      <c r="I766" s="39">
        <v>51.575999999999993</v>
      </c>
      <c r="J766" s="39"/>
    </row>
    <row r="767" spans="2:10" x14ac:dyDescent="0.2">
      <c r="B767" s="4" t="s">
        <v>1447</v>
      </c>
      <c r="C767" s="9" t="s">
        <v>1448</v>
      </c>
      <c r="D767" s="6" t="s">
        <v>66</v>
      </c>
      <c r="E767" s="6" t="s">
        <v>33</v>
      </c>
      <c r="F767" s="53">
        <v>71</v>
      </c>
      <c r="G767" s="42">
        <v>1.4651426576123257E-3</v>
      </c>
      <c r="H767" s="39">
        <v>21.672000000000001</v>
      </c>
      <c r="I767" s="39">
        <v>37.152000000000001</v>
      </c>
      <c r="J767" s="39"/>
    </row>
    <row r="768" spans="2:10" x14ac:dyDescent="0.2">
      <c r="B768" s="4" t="s">
        <v>1449</v>
      </c>
      <c r="C768" s="5" t="s">
        <v>1450</v>
      </c>
      <c r="D768" s="6" t="s">
        <v>42</v>
      </c>
      <c r="E768" s="6" t="s">
        <v>33</v>
      </c>
      <c r="F768" s="53">
        <v>71</v>
      </c>
      <c r="G768" s="42">
        <v>1.4651426576123257E-3</v>
      </c>
      <c r="H768" s="39">
        <v>21.672000000000001</v>
      </c>
      <c r="I768" s="39">
        <v>37.152000000000001</v>
      </c>
      <c r="J768" s="39"/>
    </row>
    <row r="769" spans="2:10" x14ac:dyDescent="0.2">
      <c r="B769" s="4" t="s">
        <v>1451</v>
      </c>
      <c r="C769" s="5" t="s">
        <v>1452</v>
      </c>
      <c r="D769" s="6"/>
      <c r="E769" s="6"/>
      <c r="F769" s="50"/>
      <c r="G769" s="42">
        <v>1.4651426576123257E-3</v>
      </c>
      <c r="H769" s="39" t="s">
        <v>49</v>
      </c>
      <c r="I769" s="39" t="s">
        <v>49</v>
      </c>
      <c r="J769" s="39"/>
    </row>
    <row r="770" spans="2:10" ht="51" x14ac:dyDescent="0.2">
      <c r="B770" s="4" t="s">
        <v>1453</v>
      </c>
      <c r="C770" s="5" t="s">
        <v>1454</v>
      </c>
      <c r="D770" s="6" t="s">
        <v>66</v>
      </c>
      <c r="E770" s="6" t="s">
        <v>33</v>
      </c>
      <c r="F770" s="53">
        <v>96.5</v>
      </c>
      <c r="G770" s="42">
        <v>1.4651426576123257E-3</v>
      </c>
      <c r="H770" s="39">
        <v>29.414000000000001</v>
      </c>
      <c r="I770" s="39">
        <v>50.423999999999999</v>
      </c>
      <c r="J770" s="39"/>
    </row>
    <row r="771" spans="2:10" x14ac:dyDescent="0.2">
      <c r="B771" s="4" t="s">
        <v>1455</v>
      </c>
      <c r="C771" s="5" t="s">
        <v>1456</v>
      </c>
      <c r="D771" s="6" t="s">
        <v>66</v>
      </c>
      <c r="E771" s="6" t="s">
        <v>33</v>
      </c>
      <c r="F771" s="53">
        <v>122</v>
      </c>
      <c r="G771" s="42">
        <v>1.4651426576123257E-3</v>
      </c>
      <c r="H771" s="39">
        <v>37.113999999999997</v>
      </c>
      <c r="I771" s="39">
        <v>63.624000000000002</v>
      </c>
      <c r="J771" s="39"/>
    </row>
    <row r="772" spans="2:10" ht="25.5" x14ac:dyDescent="0.2">
      <c r="B772" s="4" t="s">
        <v>1457</v>
      </c>
      <c r="C772" s="5" t="s">
        <v>1458</v>
      </c>
      <c r="D772" s="6" t="s">
        <v>66</v>
      </c>
      <c r="E772" s="6" t="s">
        <v>33</v>
      </c>
      <c r="F772" s="53">
        <v>414.5</v>
      </c>
      <c r="G772" s="42">
        <v>1.4651426576123257E-3</v>
      </c>
      <c r="H772" s="39">
        <v>126.07</v>
      </c>
      <c r="I772" s="39">
        <v>216.11999999999998</v>
      </c>
      <c r="J772" s="39"/>
    </row>
    <row r="773" spans="2:10" ht="25.5" x14ac:dyDescent="0.2">
      <c r="B773" s="4" t="s">
        <v>1459</v>
      </c>
      <c r="C773" s="5" t="s">
        <v>1460</v>
      </c>
      <c r="D773" s="6" t="s">
        <v>32</v>
      </c>
      <c r="E773" s="6" t="s">
        <v>33</v>
      </c>
      <c r="F773" s="53">
        <v>414.5</v>
      </c>
      <c r="G773" s="42">
        <v>1.4651426576123257E-3</v>
      </c>
      <c r="H773" s="39">
        <v>126.07</v>
      </c>
      <c r="I773" s="39">
        <v>216.11999999999998</v>
      </c>
      <c r="J773" s="39"/>
    </row>
    <row r="774" spans="2:10" ht="51" x14ac:dyDescent="0.2">
      <c r="B774" s="4" t="s">
        <v>1461</v>
      </c>
      <c r="C774" s="5" t="s">
        <v>1462</v>
      </c>
      <c r="D774" s="6" t="s">
        <v>66</v>
      </c>
      <c r="E774" s="6" t="s">
        <v>33</v>
      </c>
      <c r="F774" s="53">
        <v>48</v>
      </c>
      <c r="G774" s="42">
        <v>1.4651426576123257E-3</v>
      </c>
      <c r="H774" s="39">
        <v>14.707000000000001</v>
      </c>
      <c r="I774" s="39">
        <v>25.212</v>
      </c>
      <c r="J774" s="39"/>
    </row>
    <row r="775" spans="2:10" x14ac:dyDescent="0.2">
      <c r="B775" s="4" t="s">
        <v>1463</v>
      </c>
      <c r="C775" s="5" t="s">
        <v>1456</v>
      </c>
      <c r="D775" s="6" t="s">
        <v>66</v>
      </c>
      <c r="E775" s="6" t="s">
        <v>33</v>
      </c>
      <c r="F775" s="53">
        <v>73.5</v>
      </c>
      <c r="G775" s="42">
        <v>1.4651426576123257E-3</v>
      </c>
      <c r="H775" s="39">
        <v>22.406999999999996</v>
      </c>
      <c r="I775" s="39">
        <v>38.411999999999999</v>
      </c>
      <c r="J775" s="39"/>
    </row>
    <row r="776" spans="2:10" x14ac:dyDescent="0.2">
      <c r="B776" s="4" t="s">
        <v>1464</v>
      </c>
      <c r="C776" s="9" t="s">
        <v>1465</v>
      </c>
      <c r="D776" s="6" t="s">
        <v>42</v>
      </c>
      <c r="E776" s="6" t="s">
        <v>33</v>
      </c>
      <c r="F776" s="53">
        <v>1013.5</v>
      </c>
      <c r="G776" s="42">
        <v>1.4651426576123257E-3</v>
      </c>
      <c r="H776" s="39">
        <v>308</v>
      </c>
      <c r="I776" s="39">
        <v>528</v>
      </c>
      <c r="J776" s="39"/>
    </row>
    <row r="777" spans="2:10" ht="25.5" x14ac:dyDescent="0.2">
      <c r="B777" s="4" t="s">
        <v>1466</v>
      </c>
      <c r="C777" s="9" t="s">
        <v>1467</v>
      </c>
      <c r="D777" s="6" t="s">
        <v>66</v>
      </c>
      <c r="E777" s="6" t="s">
        <v>33</v>
      </c>
      <c r="F777" s="53">
        <v>58</v>
      </c>
      <c r="G777" s="42">
        <v>1.4651426576123257E-3</v>
      </c>
      <c r="H777" s="39">
        <v>17.619</v>
      </c>
      <c r="I777" s="39">
        <v>30.204000000000001</v>
      </c>
      <c r="J777" s="39"/>
    </row>
    <row r="778" spans="2:10" x14ac:dyDescent="0.2">
      <c r="B778" s="4" t="s">
        <v>1468</v>
      </c>
      <c r="C778" s="5" t="s">
        <v>1469</v>
      </c>
      <c r="D778" s="6" t="s">
        <v>66</v>
      </c>
      <c r="E778" s="6" t="s">
        <v>33</v>
      </c>
      <c r="F778" s="53">
        <v>96.5</v>
      </c>
      <c r="G778" s="42">
        <v>1.4651426576123257E-3</v>
      </c>
      <c r="H778" s="39">
        <v>29.414000000000001</v>
      </c>
      <c r="I778" s="39">
        <v>50.423999999999999</v>
      </c>
      <c r="J778" s="39"/>
    </row>
    <row r="779" spans="2:10" x14ac:dyDescent="0.2">
      <c r="B779" s="4" t="s">
        <v>1470</v>
      </c>
      <c r="C779" s="5" t="s">
        <v>1471</v>
      </c>
      <c r="D779" s="6" t="s">
        <v>66</v>
      </c>
      <c r="E779" s="6" t="s">
        <v>33</v>
      </c>
      <c r="F779" s="53">
        <v>110.5</v>
      </c>
      <c r="G779" s="42">
        <v>1.4651426576123257E-3</v>
      </c>
      <c r="H779" s="39">
        <v>31.177999999999997</v>
      </c>
      <c r="I779" s="39">
        <v>53.448</v>
      </c>
      <c r="J779" s="39"/>
    </row>
    <row r="780" spans="2:10" ht="25.5" x14ac:dyDescent="0.2">
      <c r="B780" s="4" t="s">
        <v>1472</v>
      </c>
      <c r="C780" s="5" t="s">
        <v>1473</v>
      </c>
      <c r="D780" s="6" t="s">
        <v>66</v>
      </c>
      <c r="E780" s="6" t="s">
        <v>33</v>
      </c>
      <c r="F780" s="53">
        <v>124</v>
      </c>
      <c r="G780" s="42">
        <v>1.4651426576123257E-3</v>
      </c>
      <c r="H780" s="39">
        <v>37.820999999999998</v>
      </c>
      <c r="I780" s="39">
        <v>64.835999999999999</v>
      </c>
      <c r="J780" s="39"/>
    </row>
    <row r="781" spans="2:10" ht="25.5" x14ac:dyDescent="0.2">
      <c r="B781" s="4" t="s">
        <v>1474</v>
      </c>
      <c r="C781" s="5" t="s">
        <v>1475</v>
      </c>
      <c r="D781" s="6" t="s">
        <v>66</v>
      </c>
      <c r="E781" s="6" t="s">
        <v>33</v>
      </c>
      <c r="F781" s="53">
        <v>55</v>
      </c>
      <c r="G781" s="42">
        <v>1.4651426576123257E-3</v>
      </c>
      <c r="H781" s="39">
        <v>16.806999999999999</v>
      </c>
      <c r="I781" s="39">
        <v>28.812000000000001</v>
      </c>
      <c r="J781" s="39"/>
    </row>
    <row r="782" spans="2:10" ht="25.5" x14ac:dyDescent="0.2">
      <c r="B782" s="4" t="s">
        <v>1476</v>
      </c>
      <c r="C782" s="5" t="s">
        <v>1477</v>
      </c>
      <c r="D782" s="6" t="s">
        <v>66</v>
      </c>
      <c r="E782" s="6" t="s">
        <v>33</v>
      </c>
      <c r="F782" s="53">
        <v>576</v>
      </c>
      <c r="G782" s="42">
        <v>1.4651426576123257E-3</v>
      </c>
      <c r="H782" s="39">
        <v>175</v>
      </c>
      <c r="I782" s="39">
        <v>300</v>
      </c>
      <c r="J782" s="39"/>
    </row>
    <row r="783" spans="2:10" ht="25.5" x14ac:dyDescent="0.2">
      <c r="B783" s="4" t="s">
        <v>1478</v>
      </c>
      <c r="C783" s="5" t="s">
        <v>1479</v>
      </c>
      <c r="D783" s="6" t="s">
        <v>66</v>
      </c>
      <c r="E783" s="6" t="s">
        <v>33</v>
      </c>
      <c r="F783" s="53">
        <v>345</v>
      </c>
      <c r="G783" s="42">
        <v>1.4651426576123257E-3</v>
      </c>
      <c r="H783" s="39">
        <v>105</v>
      </c>
      <c r="I783" s="39">
        <v>180</v>
      </c>
      <c r="J783" s="39"/>
    </row>
    <row r="784" spans="2:10" ht="38.25" x14ac:dyDescent="0.2">
      <c r="B784" s="4" t="s">
        <v>1480</v>
      </c>
      <c r="C784" s="5" t="s">
        <v>1481</v>
      </c>
      <c r="D784" s="6" t="s">
        <v>66</v>
      </c>
      <c r="E784" s="6" t="s">
        <v>33</v>
      </c>
      <c r="F784" s="53">
        <v>553.20000000000005</v>
      </c>
      <c r="G784" s="42">
        <v>1.4651426576123257E-3</v>
      </c>
      <c r="H784" s="39">
        <v>168.09099999999998</v>
      </c>
      <c r="I784" s="39">
        <v>288.15600000000001</v>
      </c>
      <c r="J784" s="39"/>
    </row>
    <row r="785" spans="2:10" ht="25.5" x14ac:dyDescent="0.2">
      <c r="B785" s="4" t="s">
        <v>1482</v>
      </c>
      <c r="C785" s="5" t="s">
        <v>1483</v>
      </c>
      <c r="D785" s="6" t="s">
        <v>66</v>
      </c>
      <c r="E785" s="6" t="s">
        <v>33</v>
      </c>
      <c r="F785" s="53">
        <v>20.5</v>
      </c>
      <c r="G785" s="42">
        <v>1.4651426576123257E-3</v>
      </c>
      <c r="H785" s="39">
        <v>6.3490000000000002</v>
      </c>
      <c r="I785" s="39">
        <v>10.884</v>
      </c>
      <c r="J785" s="39"/>
    </row>
    <row r="786" spans="2:10" ht="25.5" x14ac:dyDescent="0.2">
      <c r="B786" s="4" t="s">
        <v>1484</v>
      </c>
      <c r="C786" s="5" t="s">
        <v>1485</v>
      </c>
      <c r="D786" s="6" t="s">
        <v>66</v>
      </c>
      <c r="E786" s="6" t="s">
        <v>33</v>
      </c>
      <c r="F786" s="53">
        <v>74.5</v>
      </c>
      <c r="G786" s="42">
        <v>1.4651426576123257E-3</v>
      </c>
      <c r="H786" s="39">
        <v>12.523</v>
      </c>
      <c r="I786" s="39">
        <v>21.468</v>
      </c>
      <c r="J786" s="39"/>
    </row>
    <row r="787" spans="2:10" ht="25.5" x14ac:dyDescent="0.2">
      <c r="B787" s="4" t="s">
        <v>1486</v>
      </c>
      <c r="C787" s="9" t="s">
        <v>1487</v>
      </c>
      <c r="D787" s="6" t="s">
        <v>66</v>
      </c>
      <c r="E787" s="6" t="s">
        <v>33</v>
      </c>
      <c r="F787" s="53">
        <v>41</v>
      </c>
      <c r="G787" s="42">
        <v>1.4651426576123257E-3</v>
      </c>
      <c r="H787" s="39">
        <v>12.6</v>
      </c>
      <c r="I787" s="39">
        <v>21.599999999999998</v>
      </c>
      <c r="J787" s="39"/>
    </row>
    <row r="788" spans="2:10" ht="38.25" x14ac:dyDescent="0.2">
      <c r="B788" s="4" t="s">
        <v>1488</v>
      </c>
      <c r="C788" s="9" t="s">
        <v>1489</v>
      </c>
      <c r="D788" s="6" t="s">
        <v>42</v>
      </c>
      <c r="E788" s="6" t="s">
        <v>33</v>
      </c>
      <c r="F788" s="53">
        <v>103.5</v>
      </c>
      <c r="G788" s="42">
        <v>1.4651426576123257E-3</v>
      </c>
      <c r="H788" s="39">
        <v>35</v>
      </c>
      <c r="I788" s="39">
        <v>60</v>
      </c>
      <c r="J788" s="39"/>
    </row>
    <row r="789" spans="2:10" ht="38.25" x14ac:dyDescent="0.2">
      <c r="B789" s="4" t="s">
        <v>1490</v>
      </c>
      <c r="C789" s="9" t="s">
        <v>1491</v>
      </c>
      <c r="D789" s="6" t="s">
        <v>42</v>
      </c>
      <c r="E789" s="6" t="s">
        <v>33</v>
      </c>
      <c r="F789" s="53">
        <v>138.19999999999999</v>
      </c>
      <c r="G789" s="42">
        <v>1.4651426576123257E-3</v>
      </c>
      <c r="H789" s="39">
        <v>49</v>
      </c>
      <c r="I789" s="39">
        <v>84</v>
      </c>
      <c r="J789" s="39"/>
    </row>
    <row r="790" spans="2:10" ht="148.5" customHeight="1" x14ac:dyDescent="0.2">
      <c r="B790" s="4" t="s">
        <v>1492</v>
      </c>
      <c r="C790" s="15" t="s">
        <v>1493</v>
      </c>
      <c r="D790" s="6" t="s">
        <v>66</v>
      </c>
      <c r="E790" s="6" t="s">
        <v>33</v>
      </c>
      <c r="F790" s="53">
        <v>506.5</v>
      </c>
      <c r="G790" s="42">
        <v>1.4651426576123257E-3</v>
      </c>
      <c r="H790" s="39">
        <v>83.341999999999999</v>
      </c>
      <c r="I790" s="39">
        <v>142.87199999999999</v>
      </c>
      <c r="J790" s="39"/>
    </row>
    <row r="791" spans="2:10" ht="152.25" customHeight="1" x14ac:dyDescent="0.2">
      <c r="B791" s="4" t="s">
        <v>1494</v>
      </c>
      <c r="C791" s="12" t="s">
        <v>1495</v>
      </c>
      <c r="D791" s="6" t="s">
        <v>66</v>
      </c>
      <c r="E791" s="6" t="s">
        <v>33</v>
      </c>
      <c r="F791" s="53">
        <v>506.5</v>
      </c>
      <c r="G791" s="42">
        <v>1.4651426576123257E-3</v>
      </c>
      <c r="H791" s="39">
        <v>83.341999999999999</v>
      </c>
      <c r="I791" s="39">
        <v>142.87199999999999</v>
      </c>
      <c r="J791" s="39"/>
    </row>
    <row r="792" spans="2:10" ht="153" customHeight="1" x14ac:dyDescent="0.2">
      <c r="B792" s="4" t="s">
        <v>1496</v>
      </c>
      <c r="C792" s="17" t="s">
        <v>1497</v>
      </c>
      <c r="D792" s="6" t="s">
        <v>66</v>
      </c>
      <c r="E792" s="6" t="s">
        <v>33</v>
      </c>
      <c r="F792" s="53">
        <v>506.5</v>
      </c>
      <c r="G792" s="42">
        <v>1.4651426576123257E-3</v>
      </c>
      <c r="H792" s="39">
        <v>83.341999999999999</v>
      </c>
      <c r="I792" s="39">
        <v>142.87199999999999</v>
      </c>
      <c r="J792" s="39"/>
    </row>
    <row r="793" spans="2:10" ht="109.5" customHeight="1" x14ac:dyDescent="0.2">
      <c r="B793" s="4" t="s">
        <v>1498</v>
      </c>
      <c r="C793" s="5" t="s">
        <v>1499</v>
      </c>
      <c r="D793" s="6" t="s">
        <v>66</v>
      </c>
      <c r="E793" s="6" t="s">
        <v>33</v>
      </c>
      <c r="F793" s="53">
        <v>460.5</v>
      </c>
      <c r="G793" s="42">
        <v>1.4651426576123257E-3</v>
      </c>
      <c r="H793" s="39">
        <v>140</v>
      </c>
      <c r="I793" s="39">
        <v>240</v>
      </c>
      <c r="J793" s="39"/>
    </row>
    <row r="794" spans="2:10" ht="107.25" customHeight="1" x14ac:dyDescent="0.2">
      <c r="B794" s="4" t="s">
        <v>1500</v>
      </c>
      <c r="C794" s="5" t="s">
        <v>1501</v>
      </c>
      <c r="D794" s="6" t="s">
        <v>66</v>
      </c>
      <c r="E794" s="6" t="s">
        <v>33</v>
      </c>
      <c r="F794" s="53">
        <v>460.5</v>
      </c>
      <c r="G794" s="42">
        <v>1.4651426576123257E-3</v>
      </c>
      <c r="H794" s="39">
        <v>140</v>
      </c>
      <c r="I794" s="39">
        <v>240</v>
      </c>
      <c r="J794" s="39"/>
    </row>
    <row r="795" spans="2:10" ht="25.5" x14ac:dyDescent="0.2">
      <c r="B795" s="4" t="s">
        <v>1502</v>
      </c>
      <c r="C795" s="12" t="s">
        <v>1503</v>
      </c>
      <c r="D795" s="49" t="s">
        <v>42</v>
      </c>
      <c r="E795" s="49" t="s">
        <v>33</v>
      </c>
      <c r="F795" s="53">
        <v>920</v>
      </c>
      <c r="G795" s="42">
        <v>1.4651426576123257E-3</v>
      </c>
      <c r="H795" s="39">
        <v>280</v>
      </c>
      <c r="I795" s="39">
        <v>480</v>
      </c>
      <c r="J795" s="39"/>
    </row>
    <row r="796" spans="2:10" x14ac:dyDescent="0.2">
      <c r="B796" s="4" t="s">
        <v>1504</v>
      </c>
      <c r="C796" s="5" t="s">
        <v>1505</v>
      </c>
      <c r="D796" s="6"/>
      <c r="E796" s="6"/>
      <c r="F796" s="50"/>
      <c r="G796" s="42">
        <v>1.4651426576123257E-3</v>
      </c>
      <c r="H796" s="39" t="s">
        <v>49</v>
      </c>
      <c r="I796" s="39" t="s">
        <v>49</v>
      </c>
      <c r="J796" s="39"/>
    </row>
    <row r="797" spans="2:10" ht="25.5" x14ac:dyDescent="0.2">
      <c r="B797" s="4" t="s">
        <v>1506</v>
      </c>
      <c r="C797" s="5" t="s">
        <v>1507</v>
      </c>
      <c r="D797" s="6" t="s">
        <v>42</v>
      </c>
      <c r="E797" s="6" t="s">
        <v>33</v>
      </c>
      <c r="F797" s="53">
        <v>110</v>
      </c>
      <c r="G797" s="42">
        <v>1.4651426576123257E-3</v>
      </c>
      <c r="H797" s="39">
        <v>33.613999999999997</v>
      </c>
      <c r="I797" s="39">
        <v>57.624000000000002</v>
      </c>
      <c r="J797" s="39"/>
    </row>
    <row r="798" spans="2:10" x14ac:dyDescent="0.2">
      <c r="B798" s="4" t="s">
        <v>1508</v>
      </c>
      <c r="C798" s="5" t="s">
        <v>1509</v>
      </c>
      <c r="D798" s="6" t="s">
        <v>42</v>
      </c>
      <c r="E798" s="6" t="s">
        <v>33</v>
      </c>
      <c r="F798" s="53">
        <v>124</v>
      </c>
      <c r="G798" s="42">
        <v>1.4651426576123257E-3</v>
      </c>
      <c r="H798" s="39">
        <v>37.820999999999998</v>
      </c>
      <c r="I798" s="39">
        <v>64.835999999999999</v>
      </c>
      <c r="J798" s="39"/>
    </row>
    <row r="799" spans="2:10" x14ac:dyDescent="0.2">
      <c r="B799" s="4" t="s">
        <v>1510</v>
      </c>
      <c r="C799" s="5" t="s">
        <v>1511</v>
      </c>
      <c r="D799" s="6" t="s">
        <v>42</v>
      </c>
      <c r="E799" s="6" t="s">
        <v>33</v>
      </c>
      <c r="F799" s="53">
        <v>138</v>
      </c>
      <c r="G799" s="42">
        <v>1.4651426576123257E-3</v>
      </c>
      <c r="H799" s="39">
        <v>42.021000000000001</v>
      </c>
      <c r="I799" s="39">
        <v>72.036000000000001</v>
      </c>
      <c r="J799" s="39"/>
    </row>
    <row r="800" spans="2:10" x14ac:dyDescent="0.2">
      <c r="B800" s="4" t="s">
        <v>1512</v>
      </c>
      <c r="C800" s="5" t="s">
        <v>1513</v>
      </c>
      <c r="D800" s="6" t="s">
        <v>42</v>
      </c>
      <c r="E800" s="6" t="s">
        <v>33</v>
      </c>
      <c r="F800" s="53">
        <v>165</v>
      </c>
      <c r="G800" s="42">
        <v>1.4651426576123257E-3</v>
      </c>
      <c r="H800" s="39">
        <v>50.420999999999999</v>
      </c>
      <c r="I800" s="39">
        <v>86.435999999999993</v>
      </c>
      <c r="J800" s="39"/>
    </row>
    <row r="801" spans="2:10" x14ac:dyDescent="0.2">
      <c r="B801" s="4" t="s">
        <v>1514</v>
      </c>
      <c r="C801" s="5" t="s">
        <v>1515</v>
      </c>
      <c r="D801" s="6" t="s">
        <v>42</v>
      </c>
      <c r="E801" s="6" t="s">
        <v>33</v>
      </c>
      <c r="F801" s="53">
        <v>110.5</v>
      </c>
      <c r="G801" s="42">
        <v>1.4651426576123257E-3</v>
      </c>
      <c r="H801" s="39">
        <v>33.613999999999997</v>
      </c>
      <c r="I801" s="39">
        <v>57.624000000000002</v>
      </c>
      <c r="J801" s="39"/>
    </row>
    <row r="802" spans="2:10" x14ac:dyDescent="0.2">
      <c r="B802" s="4" t="s">
        <v>1516</v>
      </c>
      <c r="C802" s="5" t="s">
        <v>1517</v>
      </c>
      <c r="D802" s="6" t="s">
        <v>42</v>
      </c>
      <c r="E802" s="6" t="s">
        <v>33</v>
      </c>
      <c r="F802" s="53">
        <v>110.5</v>
      </c>
      <c r="G802" s="42">
        <v>1.4651426576123257E-3</v>
      </c>
      <c r="H802" s="39">
        <v>33.613999999999997</v>
      </c>
      <c r="I802" s="39">
        <v>57.624000000000002</v>
      </c>
      <c r="J802" s="39"/>
    </row>
    <row r="803" spans="2:10" x14ac:dyDescent="0.2">
      <c r="B803" s="4" t="s">
        <v>1518</v>
      </c>
      <c r="C803" s="5" t="s">
        <v>1519</v>
      </c>
      <c r="D803" s="6" t="s">
        <v>42</v>
      </c>
      <c r="E803" s="6" t="s">
        <v>33</v>
      </c>
      <c r="F803" s="53">
        <v>124</v>
      </c>
      <c r="G803" s="42">
        <v>1.4651426576123257E-3</v>
      </c>
      <c r="H803" s="39">
        <v>37.820999999999998</v>
      </c>
      <c r="I803" s="39">
        <v>64.835999999999999</v>
      </c>
      <c r="J803" s="39"/>
    </row>
    <row r="804" spans="2:10" x14ac:dyDescent="0.2">
      <c r="B804" s="4" t="s">
        <v>1520</v>
      </c>
      <c r="C804" s="5" t="s">
        <v>1521</v>
      </c>
      <c r="D804" s="6" t="s">
        <v>42</v>
      </c>
      <c r="E804" s="6" t="s">
        <v>33</v>
      </c>
      <c r="F804" s="53">
        <v>124</v>
      </c>
      <c r="G804" s="42">
        <v>1.4651426576123257E-3</v>
      </c>
      <c r="H804" s="39">
        <v>37.820999999999998</v>
      </c>
      <c r="I804" s="39">
        <v>64.835999999999999</v>
      </c>
      <c r="J804" s="39"/>
    </row>
    <row r="805" spans="2:10" ht="25.5" x14ac:dyDescent="0.2">
      <c r="B805" s="4" t="s">
        <v>1522</v>
      </c>
      <c r="C805" s="5" t="s">
        <v>1523</v>
      </c>
      <c r="D805" s="6" t="s">
        <v>42</v>
      </c>
      <c r="E805" s="6" t="s">
        <v>33</v>
      </c>
      <c r="F805" s="53">
        <v>82.5</v>
      </c>
      <c r="G805" s="42">
        <v>1.4651426576123257E-3</v>
      </c>
      <c r="H805" s="39">
        <v>25.193000000000001</v>
      </c>
      <c r="I805" s="39">
        <v>43.188000000000002</v>
      </c>
      <c r="J805" s="39"/>
    </row>
    <row r="806" spans="2:10" x14ac:dyDescent="0.2">
      <c r="B806" s="4" t="s">
        <v>1524</v>
      </c>
      <c r="C806" s="5" t="s">
        <v>1509</v>
      </c>
      <c r="D806" s="6" t="s">
        <v>42</v>
      </c>
      <c r="E806" s="6" t="s">
        <v>33</v>
      </c>
      <c r="F806" s="53">
        <v>116</v>
      </c>
      <c r="G806" s="42">
        <v>1.4651426576123257E-3</v>
      </c>
      <c r="H806" s="39">
        <v>35.328999999999994</v>
      </c>
      <c r="I806" s="39">
        <v>60.563999999999993</v>
      </c>
      <c r="J806" s="39"/>
    </row>
    <row r="807" spans="2:10" x14ac:dyDescent="0.2">
      <c r="B807" s="4" t="s">
        <v>1525</v>
      </c>
      <c r="C807" s="5" t="s">
        <v>1511</v>
      </c>
      <c r="D807" s="6" t="s">
        <v>42</v>
      </c>
      <c r="E807" s="6" t="s">
        <v>33</v>
      </c>
      <c r="F807" s="53">
        <v>132</v>
      </c>
      <c r="G807" s="42">
        <v>1.4651426576123257E-3</v>
      </c>
      <c r="H807" s="39">
        <v>40.144999999999996</v>
      </c>
      <c r="I807" s="39">
        <v>68.819999999999993</v>
      </c>
      <c r="J807" s="39"/>
    </row>
    <row r="808" spans="2:10" x14ac:dyDescent="0.2">
      <c r="B808" s="4" t="s">
        <v>1526</v>
      </c>
      <c r="C808" s="5" t="s">
        <v>1513</v>
      </c>
      <c r="D808" s="6" t="s">
        <v>42</v>
      </c>
      <c r="E808" s="6" t="s">
        <v>33</v>
      </c>
      <c r="F808" s="53">
        <v>159</v>
      </c>
      <c r="G808" s="42">
        <v>1.4651426576123257E-3</v>
      </c>
      <c r="H808" s="39">
        <v>48.334999999999994</v>
      </c>
      <c r="I808" s="39">
        <v>82.86</v>
      </c>
      <c r="J808" s="39"/>
    </row>
    <row r="809" spans="2:10" x14ac:dyDescent="0.2">
      <c r="B809" s="4" t="s">
        <v>1527</v>
      </c>
      <c r="C809" s="5" t="s">
        <v>1515</v>
      </c>
      <c r="D809" s="6" t="s">
        <v>42</v>
      </c>
      <c r="E809" s="6" t="s">
        <v>33</v>
      </c>
      <c r="F809" s="53">
        <v>101.5</v>
      </c>
      <c r="G809" s="42">
        <v>1.4651426576123257E-3</v>
      </c>
      <c r="H809" s="39">
        <v>30.876999999999999</v>
      </c>
      <c r="I809" s="39">
        <v>52.931999999999995</v>
      </c>
      <c r="J809" s="39"/>
    </row>
    <row r="810" spans="2:10" x14ac:dyDescent="0.2">
      <c r="B810" s="4" t="s">
        <v>1528</v>
      </c>
      <c r="C810" s="5" t="s">
        <v>1517</v>
      </c>
      <c r="D810" s="6" t="s">
        <v>42</v>
      </c>
      <c r="E810" s="6" t="s">
        <v>33</v>
      </c>
      <c r="F810" s="53">
        <v>71.5</v>
      </c>
      <c r="G810" s="42">
        <v>1.4651426576123257E-3</v>
      </c>
      <c r="H810" s="39">
        <v>21.77</v>
      </c>
      <c r="I810" s="39">
        <v>37.32</v>
      </c>
      <c r="J810" s="39"/>
    </row>
    <row r="811" spans="2:10" x14ac:dyDescent="0.2">
      <c r="B811" s="4" t="s">
        <v>1529</v>
      </c>
      <c r="C811" s="5" t="s">
        <v>1519</v>
      </c>
      <c r="D811" s="6" t="s">
        <v>42</v>
      </c>
      <c r="E811" s="6" t="s">
        <v>33</v>
      </c>
      <c r="F811" s="53">
        <v>98.5</v>
      </c>
      <c r="G811" s="42">
        <v>1.4651426576123257E-3</v>
      </c>
      <c r="H811" s="39">
        <v>29.924999999999997</v>
      </c>
      <c r="I811" s="39">
        <v>51.3</v>
      </c>
      <c r="J811" s="39"/>
    </row>
    <row r="812" spans="2:10" x14ac:dyDescent="0.2">
      <c r="B812" s="4" t="s">
        <v>1530</v>
      </c>
      <c r="C812" s="5" t="s">
        <v>1521</v>
      </c>
      <c r="D812" s="6" t="s">
        <v>42</v>
      </c>
      <c r="E812" s="6" t="s">
        <v>33</v>
      </c>
      <c r="F812" s="53">
        <v>118</v>
      </c>
      <c r="G812" s="42">
        <v>1.4651426576123257E-3</v>
      </c>
      <c r="H812" s="39">
        <v>35.986999999999995</v>
      </c>
      <c r="I812" s="39">
        <v>61.691999999999993</v>
      </c>
      <c r="J812" s="39"/>
    </row>
    <row r="813" spans="2:10" ht="25.5" x14ac:dyDescent="0.2">
      <c r="B813" s="4" t="s">
        <v>1531</v>
      </c>
      <c r="C813" s="5" t="s">
        <v>1532</v>
      </c>
      <c r="D813" s="6" t="s">
        <v>42</v>
      </c>
      <c r="E813" s="6" t="s">
        <v>33</v>
      </c>
      <c r="F813" s="53">
        <v>345.5</v>
      </c>
      <c r="G813" s="42">
        <v>1.4651426576123257E-3</v>
      </c>
      <c r="H813" s="39">
        <v>62.628999999999998</v>
      </c>
      <c r="I813" s="39">
        <v>107.36399999999999</v>
      </c>
      <c r="J813" s="39"/>
    </row>
    <row r="814" spans="2:10" x14ac:dyDescent="0.2">
      <c r="B814" s="4" t="s">
        <v>1533</v>
      </c>
      <c r="C814" s="5" t="s">
        <v>1534</v>
      </c>
      <c r="D814" s="6" t="s">
        <v>42</v>
      </c>
      <c r="E814" s="6" t="s">
        <v>33</v>
      </c>
      <c r="F814" s="53">
        <v>391</v>
      </c>
      <c r="G814" s="42">
        <v>1.4651426576123257E-3</v>
      </c>
      <c r="H814" s="39">
        <v>75.641999999999996</v>
      </c>
      <c r="I814" s="39">
        <v>129.672</v>
      </c>
      <c r="J814" s="39"/>
    </row>
    <row r="815" spans="2:10" x14ac:dyDescent="0.2">
      <c r="B815" s="4" t="s">
        <v>1535</v>
      </c>
      <c r="C815" s="5" t="s">
        <v>1536</v>
      </c>
      <c r="D815" s="6" t="s">
        <v>42</v>
      </c>
      <c r="E815" s="6" t="s">
        <v>33</v>
      </c>
      <c r="F815" s="53">
        <v>414.5</v>
      </c>
      <c r="G815" s="42">
        <v>1.4651426576123257E-3</v>
      </c>
      <c r="H815" s="39">
        <v>58.834999999999994</v>
      </c>
      <c r="I815" s="39">
        <v>100.86</v>
      </c>
      <c r="J815" s="39"/>
    </row>
    <row r="816" spans="2:10" x14ac:dyDescent="0.2">
      <c r="B816" s="4" t="s">
        <v>1537</v>
      </c>
      <c r="C816" s="5" t="s">
        <v>1538</v>
      </c>
      <c r="D816" s="6" t="s">
        <v>42</v>
      </c>
      <c r="E816" s="6" t="s">
        <v>33</v>
      </c>
      <c r="F816" s="53">
        <v>495</v>
      </c>
      <c r="G816" s="42">
        <v>1.4651426576123257E-3</v>
      </c>
      <c r="H816" s="39">
        <v>63.027999999999999</v>
      </c>
      <c r="I816" s="39">
        <v>108.048</v>
      </c>
      <c r="J816" s="39"/>
    </row>
    <row r="817" spans="2:10" x14ac:dyDescent="0.2">
      <c r="B817" s="4" t="s">
        <v>1539</v>
      </c>
      <c r="C817" s="5" t="s">
        <v>1540</v>
      </c>
      <c r="D817" s="6" t="s">
        <v>42</v>
      </c>
      <c r="E817" s="6" t="s">
        <v>33</v>
      </c>
      <c r="F817" s="53">
        <v>506.5</v>
      </c>
      <c r="G817" s="42">
        <v>1.4651426576123257E-3</v>
      </c>
      <c r="H817" s="39">
        <v>67.234999999999999</v>
      </c>
      <c r="I817" s="39">
        <v>115.25999999999999</v>
      </c>
      <c r="J817" s="39"/>
    </row>
    <row r="818" spans="2:10" x14ac:dyDescent="0.2">
      <c r="B818" s="4" t="s">
        <v>1541</v>
      </c>
      <c r="C818" s="5" t="s">
        <v>1542</v>
      </c>
      <c r="D818" s="6" t="s">
        <v>42</v>
      </c>
      <c r="E818" s="6" t="s">
        <v>33</v>
      </c>
      <c r="F818" s="53">
        <v>575</v>
      </c>
      <c r="G818" s="42">
        <v>1.4651426576123257E-3</v>
      </c>
      <c r="H818" s="39">
        <v>909.99999999999989</v>
      </c>
      <c r="I818" s="39">
        <v>1560</v>
      </c>
      <c r="J818" s="39"/>
    </row>
    <row r="819" spans="2:10" x14ac:dyDescent="0.2">
      <c r="B819" s="4" t="s">
        <v>1543</v>
      </c>
      <c r="C819" s="5" t="s">
        <v>1544</v>
      </c>
      <c r="D819" s="6" t="s">
        <v>42</v>
      </c>
      <c r="E819" s="6" t="s">
        <v>33</v>
      </c>
      <c r="F819" s="53">
        <v>645</v>
      </c>
      <c r="G819" s="42">
        <v>1.4651426576123257E-3</v>
      </c>
      <c r="H819" s="39">
        <v>1033.8999999999999</v>
      </c>
      <c r="I819" s="39">
        <v>1772.3999999999999</v>
      </c>
      <c r="J819" s="39"/>
    </row>
    <row r="820" spans="2:10" ht="25.5" x14ac:dyDescent="0.2">
      <c r="B820" s="4" t="s">
        <v>1545</v>
      </c>
      <c r="C820" s="5" t="s">
        <v>1546</v>
      </c>
      <c r="D820" s="6" t="s">
        <v>42</v>
      </c>
      <c r="E820" s="6" t="s">
        <v>33</v>
      </c>
      <c r="F820" s="53">
        <v>276</v>
      </c>
      <c r="G820" s="42">
        <v>1.4651426576123257E-3</v>
      </c>
      <c r="H820" s="39">
        <v>23.099999999999998</v>
      </c>
      <c r="I820" s="39">
        <v>39.6</v>
      </c>
      <c r="J820" s="39"/>
    </row>
    <row r="821" spans="2:10" x14ac:dyDescent="0.2">
      <c r="B821" s="4" t="s">
        <v>1547</v>
      </c>
      <c r="C821" s="5" t="s">
        <v>1534</v>
      </c>
      <c r="D821" s="6" t="s">
        <v>42</v>
      </c>
      <c r="E821" s="6" t="s">
        <v>33</v>
      </c>
      <c r="F821" s="53">
        <v>345.6</v>
      </c>
      <c r="G821" s="42">
        <v>1.313734657612173E-3</v>
      </c>
      <c r="H821" s="45">
        <v>55.167000000000002</v>
      </c>
      <c r="I821" s="39">
        <v>94.572000000000003</v>
      </c>
      <c r="J821" s="39"/>
    </row>
    <row r="822" spans="2:10" x14ac:dyDescent="0.2">
      <c r="B822" s="4" t="s">
        <v>1548</v>
      </c>
      <c r="C822" s="5" t="s">
        <v>1536</v>
      </c>
      <c r="D822" s="6" t="s">
        <v>42</v>
      </c>
      <c r="E822" s="6" t="s">
        <v>33</v>
      </c>
      <c r="F822" s="53">
        <v>345.6</v>
      </c>
      <c r="G822" s="42">
        <v>1.313734657612173E-3</v>
      </c>
      <c r="H822" s="39">
        <v>43.553999999999995</v>
      </c>
      <c r="I822" s="39">
        <v>74.664000000000001</v>
      </c>
      <c r="J822" s="39"/>
    </row>
    <row r="823" spans="2:10" x14ac:dyDescent="0.2">
      <c r="B823" s="4" t="s">
        <v>1549</v>
      </c>
      <c r="C823" s="5" t="s">
        <v>1538</v>
      </c>
      <c r="D823" s="6" t="s">
        <v>42</v>
      </c>
      <c r="E823" s="6" t="s">
        <v>33</v>
      </c>
      <c r="F823" s="53">
        <v>460.8</v>
      </c>
      <c r="G823" s="42">
        <v>1.313734657612173E-3</v>
      </c>
      <c r="H823" s="39">
        <v>46.815999999999995</v>
      </c>
      <c r="I823" s="39">
        <v>80.255999999999986</v>
      </c>
      <c r="J823" s="39"/>
    </row>
    <row r="824" spans="2:10" x14ac:dyDescent="0.2">
      <c r="B824" s="4" t="s">
        <v>1550</v>
      </c>
      <c r="C824" s="5" t="s">
        <v>1540</v>
      </c>
      <c r="D824" s="6" t="s">
        <v>42</v>
      </c>
      <c r="E824" s="6" t="s">
        <v>33</v>
      </c>
      <c r="F824" s="53">
        <v>483.5</v>
      </c>
      <c r="G824" s="42">
        <v>1.313734657612173E-3</v>
      </c>
      <c r="H824" s="39">
        <v>50.070999999999998</v>
      </c>
      <c r="I824" s="39">
        <v>85.835999999999999</v>
      </c>
      <c r="J824" s="39"/>
    </row>
    <row r="825" spans="2:10" x14ac:dyDescent="0.2">
      <c r="B825" s="4" t="s">
        <v>1551</v>
      </c>
      <c r="C825" s="5" t="s">
        <v>1542</v>
      </c>
      <c r="D825" s="6" t="s">
        <v>42</v>
      </c>
      <c r="E825" s="6" t="s">
        <v>33</v>
      </c>
      <c r="F825" s="53">
        <v>529.5</v>
      </c>
      <c r="G825" s="42">
        <v>1.313734657612173E-3</v>
      </c>
      <c r="H825" s="39">
        <v>700</v>
      </c>
      <c r="I825" s="39">
        <v>1200</v>
      </c>
      <c r="J825" s="39"/>
    </row>
    <row r="826" spans="2:10" x14ac:dyDescent="0.2">
      <c r="B826" s="4" t="s">
        <v>1552</v>
      </c>
      <c r="C826" s="5" t="s">
        <v>1544</v>
      </c>
      <c r="D826" s="6" t="s">
        <v>42</v>
      </c>
      <c r="E826" s="6" t="s">
        <v>33</v>
      </c>
      <c r="F826" s="53">
        <v>576</v>
      </c>
      <c r="G826" s="42">
        <v>1.313734657612173E-3</v>
      </c>
      <c r="H826" s="39">
        <v>770</v>
      </c>
      <c r="I826" s="39">
        <v>1320</v>
      </c>
      <c r="J826" s="39"/>
    </row>
    <row r="827" spans="2:10" ht="25.5" x14ac:dyDescent="0.2">
      <c r="B827" s="4" t="s">
        <v>1553</v>
      </c>
      <c r="C827" s="5" t="s">
        <v>1554</v>
      </c>
      <c r="D827" s="6" t="s">
        <v>42</v>
      </c>
      <c r="E827" s="6" t="s">
        <v>33</v>
      </c>
      <c r="F827" s="53">
        <v>116.5</v>
      </c>
      <c r="G827" s="42">
        <v>1.313734657612173E-3</v>
      </c>
      <c r="H827" s="39">
        <v>35.518000000000001</v>
      </c>
      <c r="I827" s="39">
        <v>60.887999999999998</v>
      </c>
      <c r="J827" s="39"/>
    </row>
    <row r="828" spans="2:10" ht="25.5" x14ac:dyDescent="0.2">
      <c r="B828" s="4" t="s">
        <v>1555</v>
      </c>
      <c r="C828" s="5" t="s">
        <v>1556</v>
      </c>
      <c r="D828" s="6" t="s">
        <v>42</v>
      </c>
      <c r="E828" s="6" t="s">
        <v>33</v>
      </c>
      <c r="F828" s="53">
        <v>133</v>
      </c>
      <c r="G828" s="42">
        <v>1.313734657612173E-3</v>
      </c>
      <c r="H828" s="39">
        <v>40.424999999999997</v>
      </c>
      <c r="I828" s="39">
        <v>69.3</v>
      </c>
      <c r="J828" s="39"/>
    </row>
    <row r="829" spans="2:10" ht="25.5" x14ac:dyDescent="0.2">
      <c r="B829" s="4" t="s">
        <v>1557</v>
      </c>
      <c r="C829" s="9" t="s">
        <v>1558</v>
      </c>
      <c r="D829" s="6" t="s">
        <v>42</v>
      </c>
      <c r="E829" s="6" t="s">
        <v>33</v>
      </c>
      <c r="F829" s="53">
        <v>33.5</v>
      </c>
      <c r="G829" s="42">
        <v>1.313734657612173E-3</v>
      </c>
      <c r="H829" s="39">
        <v>10.177999999999999</v>
      </c>
      <c r="I829" s="39">
        <v>17.447999999999997</v>
      </c>
      <c r="J829" s="39"/>
    </row>
    <row r="830" spans="2:10" ht="25.5" x14ac:dyDescent="0.2">
      <c r="B830" s="4" t="s">
        <v>1559</v>
      </c>
      <c r="C830" s="5" t="s">
        <v>1560</v>
      </c>
      <c r="D830" s="6" t="s">
        <v>42</v>
      </c>
      <c r="E830" s="6" t="s">
        <v>33</v>
      </c>
      <c r="F830" s="53">
        <v>88.5</v>
      </c>
      <c r="G830" s="42">
        <v>1.31373465761217E-3</v>
      </c>
      <c r="H830" s="39">
        <v>26.95</v>
      </c>
      <c r="I830" s="39">
        <v>46.199999999999996</v>
      </c>
      <c r="J830" s="39"/>
    </row>
    <row r="831" spans="2:10" ht="25.5" x14ac:dyDescent="0.2">
      <c r="B831" s="4" t="s">
        <v>1561</v>
      </c>
      <c r="C831" s="5" t="s">
        <v>1562</v>
      </c>
      <c r="D831" s="6" t="s">
        <v>42</v>
      </c>
      <c r="E831" s="6" t="s">
        <v>33</v>
      </c>
      <c r="F831" s="53">
        <v>88.5</v>
      </c>
      <c r="G831" s="42">
        <v>1.4651426576123257E-3</v>
      </c>
      <c r="H831" s="39">
        <v>26.95</v>
      </c>
      <c r="I831" s="39">
        <v>46.199999999999996</v>
      </c>
      <c r="J831" s="39"/>
    </row>
    <row r="832" spans="2:10" ht="25.5" x14ac:dyDescent="0.2">
      <c r="B832" s="4" t="s">
        <v>1563</v>
      </c>
      <c r="C832" s="5" t="s">
        <v>1564</v>
      </c>
      <c r="D832" s="6" t="s">
        <v>42</v>
      </c>
      <c r="E832" s="6" t="s">
        <v>33</v>
      </c>
      <c r="F832" s="53">
        <v>88.5</v>
      </c>
      <c r="G832" s="42">
        <v>1.4651426576123257E-3</v>
      </c>
      <c r="H832" s="39">
        <v>26.95</v>
      </c>
      <c r="I832" s="39">
        <v>46.199999999999996</v>
      </c>
      <c r="J832" s="39"/>
    </row>
    <row r="833" spans="2:10" ht="25.5" x14ac:dyDescent="0.2">
      <c r="B833" s="4" t="s">
        <v>1565</v>
      </c>
      <c r="C833" s="5" t="s">
        <v>1566</v>
      </c>
      <c r="D833" s="6" t="s">
        <v>42</v>
      </c>
      <c r="E833" s="6" t="s">
        <v>33</v>
      </c>
      <c r="F833" s="53">
        <v>88.5</v>
      </c>
      <c r="G833" s="42">
        <v>1.4651426576123257E-3</v>
      </c>
      <c r="H833" s="39">
        <v>26.95</v>
      </c>
      <c r="I833" s="39">
        <v>46.199999999999996</v>
      </c>
      <c r="J833" s="39"/>
    </row>
    <row r="834" spans="2:10" ht="25.5" x14ac:dyDescent="0.2">
      <c r="B834" s="4" t="s">
        <v>1567</v>
      </c>
      <c r="C834" s="5" t="s">
        <v>1568</v>
      </c>
      <c r="D834" s="6" t="s">
        <v>42</v>
      </c>
      <c r="E834" s="6" t="s">
        <v>33</v>
      </c>
      <c r="F834" s="53">
        <v>88.5</v>
      </c>
      <c r="G834" s="42">
        <v>1.4651426576123257E-3</v>
      </c>
      <c r="H834" s="39">
        <v>26.95</v>
      </c>
      <c r="I834" s="39">
        <v>46.199999999999996</v>
      </c>
      <c r="J834" s="39"/>
    </row>
    <row r="835" spans="2:10" ht="25.5" x14ac:dyDescent="0.2">
      <c r="B835" s="4" t="s">
        <v>1569</v>
      </c>
      <c r="C835" s="5" t="s">
        <v>1570</v>
      </c>
      <c r="D835" s="6" t="s">
        <v>42</v>
      </c>
      <c r="E835" s="6" t="s">
        <v>33</v>
      </c>
      <c r="F835" s="53">
        <v>88.5</v>
      </c>
      <c r="G835" s="42">
        <v>1.4651426576123257E-3</v>
      </c>
      <c r="H835" s="39">
        <v>26.95</v>
      </c>
      <c r="I835" s="39">
        <v>46.199999999999996</v>
      </c>
      <c r="J835" s="39"/>
    </row>
    <row r="836" spans="2:10" ht="38.25" x14ac:dyDescent="0.2">
      <c r="B836" s="4" t="s">
        <v>1571</v>
      </c>
      <c r="C836" s="9" t="s">
        <v>1572</v>
      </c>
      <c r="D836" s="6" t="s">
        <v>42</v>
      </c>
      <c r="E836" s="6" t="s">
        <v>33</v>
      </c>
      <c r="F836" s="53">
        <v>110.5</v>
      </c>
      <c r="G836" s="42">
        <v>1.4651426576123257E-3</v>
      </c>
      <c r="H836" s="39">
        <v>33.613999999999997</v>
      </c>
      <c r="I836" s="39">
        <v>57.624000000000002</v>
      </c>
      <c r="J836" s="39"/>
    </row>
    <row r="837" spans="2:10" x14ac:dyDescent="0.2">
      <c r="B837" s="4" t="s">
        <v>1573</v>
      </c>
      <c r="C837" s="5" t="s">
        <v>1574</v>
      </c>
      <c r="D837" s="6" t="s">
        <v>42</v>
      </c>
      <c r="E837" s="6" t="s">
        <v>33</v>
      </c>
      <c r="F837" s="53">
        <v>165.5</v>
      </c>
      <c r="G837" s="42">
        <v>1.4651426576123257E-3</v>
      </c>
      <c r="H837" s="39">
        <v>50.420999999999999</v>
      </c>
      <c r="I837" s="39">
        <v>86.435999999999993</v>
      </c>
      <c r="J837" s="39"/>
    </row>
    <row r="838" spans="2:10" x14ac:dyDescent="0.2">
      <c r="B838" s="4" t="s">
        <v>1575</v>
      </c>
      <c r="C838" s="5" t="s">
        <v>1576</v>
      </c>
      <c r="D838" s="6" t="s">
        <v>42</v>
      </c>
      <c r="E838" s="6" t="s">
        <v>33</v>
      </c>
      <c r="F838" s="53">
        <v>221</v>
      </c>
      <c r="G838" s="42">
        <v>1.4651426576123257E-3</v>
      </c>
      <c r="H838" s="39">
        <v>67.234999999999999</v>
      </c>
      <c r="I838" s="39">
        <v>115.25999999999999</v>
      </c>
      <c r="J838" s="39"/>
    </row>
    <row r="839" spans="2:10" x14ac:dyDescent="0.2">
      <c r="B839" s="4" t="s">
        <v>1577</v>
      </c>
      <c r="C839" s="5" t="s">
        <v>1578</v>
      </c>
      <c r="D839" s="6" t="s">
        <v>42</v>
      </c>
      <c r="E839" s="6" t="s">
        <v>33</v>
      </c>
      <c r="F839" s="53">
        <v>276</v>
      </c>
      <c r="G839" s="42">
        <v>1.4651426576123257E-3</v>
      </c>
      <c r="H839" s="39">
        <v>84.042000000000002</v>
      </c>
      <c r="I839" s="39">
        <v>144.072</v>
      </c>
      <c r="J839" s="39"/>
    </row>
    <row r="840" spans="2:10" x14ac:dyDescent="0.2">
      <c r="B840" s="4" t="s">
        <v>1579</v>
      </c>
      <c r="C840" s="5" t="s">
        <v>1580</v>
      </c>
      <c r="D840" s="6" t="s">
        <v>42</v>
      </c>
      <c r="E840" s="6" t="s">
        <v>33</v>
      </c>
      <c r="F840" s="53">
        <v>380</v>
      </c>
      <c r="G840" s="42">
        <v>1.4651426576123257E-3</v>
      </c>
      <c r="H840" s="39">
        <v>115.49999999999999</v>
      </c>
      <c r="I840" s="39">
        <v>198</v>
      </c>
      <c r="J840" s="39"/>
    </row>
    <row r="841" spans="2:10" ht="25.5" x14ac:dyDescent="0.2">
      <c r="B841" s="4" t="s">
        <v>1581</v>
      </c>
      <c r="C841" s="9" t="s">
        <v>1582</v>
      </c>
      <c r="D841" s="6" t="s">
        <v>66</v>
      </c>
      <c r="E841" s="6" t="s">
        <v>33</v>
      </c>
      <c r="F841" s="53">
        <v>12.55</v>
      </c>
      <c r="G841" s="42">
        <v>1.4651426576123257E-3</v>
      </c>
      <c r="H841" s="39">
        <v>3.871</v>
      </c>
      <c r="I841" s="39">
        <v>6.6360000000000001</v>
      </c>
      <c r="J841" s="39"/>
    </row>
    <row r="842" spans="2:10" ht="25.5" x14ac:dyDescent="0.2">
      <c r="B842" s="4" t="s">
        <v>1583</v>
      </c>
      <c r="C842" s="9" t="s">
        <v>1584</v>
      </c>
      <c r="D842" s="6" t="s">
        <v>42</v>
      </c>
      <c r="E842" s="6" t="s">
        <v>33</v>
      </c>
      <c r="F842" s="53">
        <v>774</v>
      </c>
      <c r="G842" s="42">
        <v>1.4651426576123257E-3</v>
      </c>
      <c r="H842" s="39">
        <v>235.23499999999999</v>
      </c>
      <c r="I842" s="39">
        <v>403.26</v>
      </c>
      <c r="J842" s="39"/>
    </row>
    <row r="843" spans="2:10" x14ac:dyDescent="0.2">
      <c r="B843" s="4" t="s">
        <v>1585</v>
      </c>
      <c r="C843" s="5" t="s">
        <v>1586</v>
      </c>
      <c r="D843" s="6" t="s">
        <v>42</v>
      </c>
      <c r="E843" s="6" t="s">
        <v>33</v>
      </c>
      <c r="F843" s="53">
        <v>774</v>
      </c>
      <c r="G843" s="42">
        <v>1.4651426576123257E-3</v>
      </c>
      <c r="H843" s="39">
        <v>235.23499999999999</v>
      </c>
      <c r="I843" s="39">
        <v>403.26</v>
      </c>
      <c r="J843" s="39"/>
    </row>
    <row r="844" spans="2:10" x14ac:dyDescent="0.2">
      <c r="B844" s="4" t="s">
        <v>1587</v>
      </c>
      <c r="C844" s="5" t="s">
        <v>1588</v>
      </c>
      <c r="D844" s="6" t="s">
        <v>42</v>
      </c>
      <c r="E844" s="6" t="s">
        <v>33</v>
      </c>
      <c r="F844" s="53">
        <v>774</v>
      </c>
      <c r="G844" s="42">
        <v>1.4651426576123257E-3</v>
      </c>
      <c r="H844" s="39">
        <v>235.23499999999999</v>
      </c>
      <c r="I844" s="39">
        <v>403.26</v>
      </c>
      <c r="J844" s="39"/>
    </row>
    <row r="845" spans="2:10" ht="119.25" customHeight="1" x14ac:dyDescent="0.2">
      <c r="B845" s="4" t="s">
        <v>1589</v>
      </c>
      <c r="C845" s="9" t="s">
        <v>1590</v>
      </c>
      <c r="D845" s="6" t="s">
        <v>42</v>
      </c>
      <c r="E845" s="6" t="s">
        <v>33</v>
      </c>
      <c r="F845" s="53">
        <v>3290</v>
      </c>
      <c r="G845" s="42">
        <v>1.4651426576123257E-3</v>
      </c>
      <c r="H845" s="39">
        <v>1000.9999999999999</v>
      </c>
      <c r="I845" s="39">
        <v>1716</v>
      </c>
      <c r="J845" s="39"/>
    </row>
    <row r="846" spans="2:10" ht="144.75" customHeight="1" x14ac:dyDescent="0.2">
      <c r="B846" s="4" t="s">
        <v>1591</v>
      </c>
      <c r="C846" s="9" t="s">
        <v>1592</v>
      </c>
      <c r="D846" s="6" t="s">
        <v>42</v>
      </c>
      <c r="E846" s="6" t="s">
        <v>33</v>
      </c>
      <c r="F846" s="53">
        <v>3800</v>
      </c>
      <c r="G846" s="42">
        <v>1.4651426576123257E-3</v>
      </c>
      <c r="H846" s="39">
        <v>1155</v>
      </c>
      <c r="I846" s="39">
        <v>1980</v>
      </c>
      <c r="J846" s="39"/>
    </row>
    <row r="847" spans="2:10" ht="25.5" x14ac:dyDescent="0.2">
      <c r="B847" s="4" t="s">
        <v>1593</v>
      </c>
      <c r="C847" s="9" t="s">
        <v>1594</v>
      </c>
      <c r="D847" s="6" t="s">
        <v>42</v>
      </c>
      <c r="E847" s="6" t="s">
        <v>33</v>
      </c>
      <c r="F847" s="53">
        <v>414.5</v>
      </c>
      <c r="G847" s="42">
        <v>1.4651426576123257E-3</v>
      </c>
      <c r="H847" s="39">
        <v>126.07</v>
      </c>
      <c r="I847" s="39">
        <v>216.11999999999998</v>
      </c>
      <c r="J847" s="39"/>
    </row>
    <row r="848" spans="2:10" ht="25.5" x14ac:dyDescent="0.2">
      <c r="B848" s="4" t="s">
        <v>1595</v>
      </c>
      <c r="C848" s="9" t="s">
        <v>1596</v>
      </c>
      <c r="D848" s="6" t="s">
        <v>42</v>
      </c>
      <c r="E848" s="6" t="s">
        <v>33</v>
      </c>
      <c r="F848" s="53">
        <v>2995</v>
      </c>
      <c r="G848" s="42">
        <v>1.4651426576123257E-3</v>
      </c>
      <c r="H848" s="39">
        <v>909.99999999999989</v>
      </c>
      <c r="I848" s="39">
        <v>1560</v>
      </c>
      <c r="J848" s="39"/>
    </row>
    <row r="849" spans="2:10" ht="25.5" x14ac:dyDescent="0.2">
      <c r="B849" s="4" t="s">
        <v>1597</v>
      </c>
      <c r="C849" s="5" t="s">
        <v>1598</v>
      </c>
      <c r="D849" s="6" t="s">
        <v>42</v>
      </c>
      <c r="E849" s="6" t="s">
        <v>33</v>
      </c>
      <c r="F849" s="53">
        <v>126.5</v>
      </c>
      <c r="G849" s="42">
        <v>1.4651426576123257E-3</v>
      </c>
      <c r="H849" s="39">
        <v>38.5</v>
      </c>
      <c r="I849" s="39">
        <v>66</v>
      </c>
      <c r="J849" s="39"/>
    </row>
    <row r="850" spans="2:10" ht="25.5" x14ac:dyDescent="0.2">
      <c r="B850" s="4" t="s">
        <v>1599</v>
      </c>
      <c r="C850" s="5" t="s">
        <v>1600</v>
      </c>
      <c r="D850" s="6" t="s">
        <v>42</v>
      </c>
      <c r="E850" s="6" t="s">
        <v>33</v>
      </c>
      <c r="F850" s="53">
        <v>190</v>
      </c>
      <c r="G850" s="42">
        <v>1.4651426576123257E-3</v>
      </c>
      <c r="H850" s="39">
        <v>57.749999999999993</v>
      </c>
      <c r="I850" s="39">
        <v>99</v>
      </c>
      <c r="J850" s="39"/>
    </row>
    <row r="851" spans="2:10" ht="25.5" x14ac:dyDescent="0.2">
      <c r="B851" s="4" t="s">
        <v>1601</v>
      </c>
      <c r="C851" s="5" t="s">
        <v>1602</v>
      </c>
      <c r="D851" s="6" t="s">
        <v>42</v>
      </c>
      <c r="E851" s="6" t="s">
        <v>33</v>
      </c>
      <c r="F851" s="53">
        <v>101</v>
      </c>
      <c r="G851" s="42">
        <v>1.4651426576123257E-3</v>
      </c>
      <c r="H851" s="39">
        <v>30.799999999999997</v>
      </c>
      <c r="I851" s="39">
        <v>52.8</v>
      </c>
      <c r="J851" s="39"/>
    </row>
    <row r="852" spans="2:10" x14ac:dyDescent="0.2">
      <c r="B852" s="4" t="s">
        <v>1603</v>
      </c>
      <c r="C852" s="5" t="s">
        <v>1604</v>
      </c>
      <c r="D852" s="6" t="s">
        <v>42</v>
      </c>
      <c r="E852" s="6" t="s">
        <v>33</v>
      </c>
      <c r="F852" s="53">
        <v>126.5</v>
      </c>
      <c r="G852" s="42">
        <v>1.4651426576123257E-3</v>
      </c>
      <c r="H852" s="39">
        <v>38.5</v>
      </c>
      <c r="I852" s="39">
        <v>66</v>
      </c>
      <c r="J852" s="39"/>
    </row>
    <row r="853" spans="2:10" x14ac:dyDescent="0.2">
      <c r="B853" s="4" t="s">
        <v>1605</v>
      </c>
      <c r="C853" s="5" t="s">
        <v>1606</v>
      </c>
      <c r="D853" s="6" t="s">
        <v>42</v>
      </c>
      <c r="E853" s="6" t="s">
        <v>33</v>
      </c>
      <c r="F853" s="53">
        <v>152</v>
      </c>
      <c r="G853" s="42">
        <v>1.4651426576123257E-3</v>
      </c>
      <c r="H853" s="39">
        <v>46.199999999999996</v>
      </c>
      <c r="I853" s="39">
        <v>79.2</v>
      </c>
      <c r="J853" s="39"/>
    </row>
    <row r="854" spans="2:10" x14ac:dyDescent="0.2">
      <c r="B854" s="4" t="s">
        <v>1607</v>
      </c>
      <c r="C854" s="5" t="s">
        <v>1608</v>
      </c>
      <c r="D854" s="6" t="s">
        <v>42</v>
      </c>
      <c r="E854" s="6" t="s">
        <v>33</v>
      </c>
      <c r="F854" s="53">
        <v>250</v>
      </c>
      <c r="G854" s="42">
        <v>1.4651426576123257E-3</v>
      </c>
      <c r="H854" s="39">
        <v>77</v>
      </c>
      <c r="I854" s="39">
        <v>132</v>
      </c>
      <c r="J854" s="39"/>
    </row>
    <row r="855" spans="2:10" ht="25.5" x14ac:dyDescent="0.2">
      <c r="B855" s="4" t="s">
        <v>1609</v>
      </c>
      <c r="C855" s="5" t="s">
        <v>1610</v>
      </c>
      <c r="D855" s="6"/>
      <c r="E855" s="6"/>
      <c r="F855" s="50"/>
      <c r="G855" s="42">
        <v>1.4651426576123257E-3</v>
      </c>
      <c r="H855" s="39" t="s">
        <v>49</v>
      </c>
      <c r="I855" s="39" t="s">
        <v>49</v>
      </c>
      <c r="J855" s="39"/>
    </row>
    <row r="856" spans="2:10" x14ac:dyDescent="0.2">
      <c r="B856" s="4" t="s">
        <v>1611</v>
      </c>
      <c r="C856" s="5" t="s">
        <v>1612</v>
      </c>
      <c r="D856" s="6" t="s">
        <v>42</v>
      </c>
      <c r="E856" s="6" t="s">
        <v>33</v>
      </c>
      <c r="F856" s="53">
        <v>126.5</v>
      </c>
      <c r="G856" s="42">
        <v>1.4651426576123257E-3</v>
      </c>
      <c r="H856" s="39">
        <v>38.5</v>
      </c>
      <c r="I856" s="39">
        <v>66</v>
      </c>
      <c r="J856" s="39"/>
    </row>
    <row r="857" spans="2:10" x14ac:dyDescent="0.2">
      <c r="B857" s="4" t="s">
        <v>1613</v>
      </c>
      <c r="C857" s="5" t="s">
        <v>1614</v>
      </c>
      <c r="D857" s="6" t="s">
        <v>42</v>
      </c>
      <c r="E857" s="6" t="s">
        <v>33</v>
      </c>
      <c r="F857" s="53">
        <v>152</v>
      </c>
      <c r="G857" s="42">
        <v>1.4651426576123257E-3</v>
      </c>
      <c r="H857" s="39">
        <v>46.199999999999996</v>
      </c>
      <c r="I857" s="39">
        <v>79.2</v>
      </c>
      <c r="J857" s="39"/>
    </row>
    <row r="858" spans="2:10" x14ac:dyDescent="0.2">
      <c r="B858" s="4" t="s">
        <v>1615</v>
      </c>
      <c r="C858" s="5" t="s">
        <v>1616</v>
      </c>
      <c r="D858" s="6" t="s">
        <v>42</v>
      </c>
      <c r="E858" s="6" t="s">
        <v>33</v>
      </c>
      <c r="F858" s="53">
        <v>177</v>
      </c>
      <c r="G858" s="42">
        <v>1.4651426576123257E-3</v>
      </c>
      <c r="H858" s="39">
        <v>53.9</v>
      </c>
      <c r="I858" s="39">
        <v>92.399999999999991</v>
      </c>
      <c r="J858" s="39"/>
    </row>
    <row r="859" spans="2:10" x14ac:dyDescent="0.2">
      <c r="B859" s="4" t="s">
        <v>1617</v>
      </c>
      <c r="C859" s="5" t="s">
        <v>1618</v>
      </c>
      <c r="D859" s="6" t="s">
        <v>42</v>
      </c>
      <c r="E859" s="6" t="s">
        <v>33</v>
      </c>
      <c r="F859" s="53">
        <v>126.5</v>
      </c>
      <c r="G859" s="42">
        <v>1.4651426576123257E-3</v>
      </c>
      <c r="H859" s="39">
        <v>38.5</v>
      </c>
      <c r="I859" s="39">
        <v>66</v>
      </c>
      <c r="J859" s="39"/>
    </row>
    <row r="860" spans="2:10" x14ac:dyDescent="0.2">
      <c r="B860" s="4" t="s">
        <v>1619</v>
      </c>
      <c r="C860" s="5" t="s">
        <v>1620</v>
      </c>
      <c r="D860" s="6" t="s">
        <v>42</v>
      </c>
      <c r="E860" s="6" t="s">
        <v>33</v>
      </c>
      <c r="F860" s="53">
        <v>152</v>
      </c>
      <c r="G860" s="42">
        <v>1.4651426576123257E-3</v>
      </c>
      <c r="H860" s="39">
        <v>46.199999999999996</v>
      </c>
      <c r="I860" s="39">
        <v>79.2</v>
      </c>
      <c r="J860" s="39"/>
    </row>
    <row r="861" spans="2:10" x14ac:dyDescent="0.2">
      <c r="B861" s="4" t="s">
        <v>1621</v>
      </c>
      <c r="C861" s="5" t="s">
        <v>1622</v>
      </c>
      <c r="D861" s="6" t="s">
        <v>42</v>
      </c>
      <c r="E861" s="6" t="s">
        <v>33</v>
      </c>
      <c r="F861" s="53">
        <v>101</v>
      </c>
      <c r="G861" s="42">
        <v>1.4651426576123257E-3</v>
      </c>
      <c r="H861" s="39">
        <v>30.799999999999997</v>
      </c>
      <c r="I861" s="39">
        <v>52.8</v>
      </c>
      <c r="J861" s="39"/>
    </row>
    <row r="862" spans="2:10" x14ac:dyDescent="0.2">
      <c r="B862" s="4" t="s">
        <v>1623</v>
      </c>
      <c r="C862" s="5" t="s">
        <v>1624</v>
      </c>
      <c r="D862" s="6" t="s">
        <v>42</v>
      </c>
      <c r="E862" s="6" t="s">
        <v>33</v>
      </c>
      <c r="F862" s="53">
        <v>152</v>
      </c>
      <c r="G862" s="42">
        <v>1.4651426576123257E-3</v>
      </c>
      <c r="H862" s="39">
        <v>46.199999999999996</v>
      </c>
      <c r="I862" s="39">
        <v>79.2</v>
      </c>
      <c r="J862" s="39"/>
    </row>
    <row r="863" spans="2:10" ht="25.5" x14ac:dyDescent="0.2">
      <c r="B863" s="4" t="s">
        <v>1625</v>
      </c>
      <c r="C863" s="5" t="s">
        <v>1626</v>
      </c>
      <c r="D863" s="6" t="s">
        <v>42</v>
      </c>
      <c r="E863" s="6" t="s">
        <v>33</v>
      </c>
      <c r="F863" s="53">
        <v>101</v>
      </c>
      <c r="G863" s="42">
        <v>1.4651426576123257E-3</v>
      </c>
      <c r="H863" s="39">
        <v>30.799999999999997</v>
      </c>
      <c r="I863" s="39">
        <v>52.8</v>
      </c>
      <c r="J863" s="39"/>
    </row>
    <row r="864" spans="2:10" x14ac:dyDescent="0.2">
      <c r="B864" s="4" t="s">
        <v>1627</v>
      </c>
      <c r="C864" s="5" t="s">
        <v>1628</v>
      </c>
      <c r="D864" s="6" t="s">
        <v>42</v>
      </c>
      <c r="E864" s="6" t="s">
        <v>33</v>
      </c>
      <c r="F864" s="53">
        <v>125</v>
      </c>
      <c r="G864" s="42">
        <v>1.4651426576123257E-3</v>
      </c>
      <c r="H864" s="39">
        <v>38.5</v>
      </c>
      <c r="I864" s="39">
        <v>66</v>
      </c>
      <c r="J864" s="39"/>
    </row>
    <row r="865" spans="2:10" x14ac:dyDescent="0.2">
      <c r="B865" s="4" t="s">
        <v>1629</v>
      </c>
      <c r="C865" s="5" t="s">
        <v>1604</v>
      </c>
      <c r="D865" s="6" t="s">
        <v>42</v>
      </c>
      <c r="E865" s="6" t="s">
        <v>33</v>
      </c>
      <c r="F865" s="53">
        <v>190</v>
      </c>
      <c r="G865" s="42">
        <v>1.4651426576123257E-3</v>
      </c>
      <c r="H865" s="39">
        <v>57.749999999999993</v>
      </c>
      <c r="I865" s="39">
        <v>99</v>
      </c>
      <c r="J865" s="39"/>
    </row>
    <row r="866" spans="2:10" x14ac:dyDescent="0.2">
      <c r="B866" s="4" t="s">
        <v>1630</v>
      </c>
      <c r="C866" s="5" t="s">
        <v>1606</v>
      </c>
      <c r="D866" s="6" t="s">
        <v>42</v>
      </c>
      <c r="E866" s="6" t="s">
        <v>33</v>
      </c>
      <c r="F866" s="53">
        <v>253</v>
      </c>
      <c r="G866" s="42">
        <v>1.4651426576123257E-3</v>
      </c>
      <c r="H866" s="39">
        <v>77</v>
      </c>
      <c r="I866" s="39">
        <v>132</v>
      </c>
      <c r="J866" s="39"/>
    </row>
    <row r="867" spans="2:10" ht="25.5" x14ac:dyDescent="0.2">
      <c r="B867" s="4" t="s">
        <v>1631</v>
      </c>
      <c r="C867" s="5" t="s">
        <v>1632</v>
      </c>
      <c r="D867" s="6" t="s">
        <v>42</v>
      </c>
      <c r="E867" s="6" t="s">
        <v>33</v>
      </c>
      <c r="F867" s="53">
        <v>691</v>
      </c>
      <c r="G867" s="42">
        <v>1.4651426576123257E-3</v>
      </c>
      <c r="H867" s="39">
        <v>134.75</v>
      </c>
      <c r="I867" s="39">
        <v>231</v>
      </c>
      <c r="J867" s="39"/>
    </row>
    <row r="868" spans="2:10" x14ac:dyDescent="0.2">
      <c r="B868" s="4" t="s">
        <v>1633</v>
      </c>
      <c r="C868" s="5" t="s">
        <v>1634</v>
      </c>
      <c r="D868" s="6" t="s">
        <v>42</v>
      </c>
      <c r="E868" s="6" t="s">
        <v>33</v>
      </c>
      <c r="F868" s="53">
        <v>748</v>
      </c>
      <c r="G868" s="42">
        <v>1.4651426576123257E-3</v>
      </c>
      <c r="H868" s="39">
        <v>134.75</v>
      </c>
      <c r="I868" s="39">
        <v>231</v>
      </c>
      <c r="J868" s="39"/>
    </row>
    <row r="869" spans="2:10" ht="25.5" x14ac:dyDescent="0.2">
      <c r="B869" s="4" t="s">
        <v>2678</v>
      </c>
      <c r="C869" s="5" t="s">
        <v>2679</v>
      </c>
      <c r="D869" s="6" t="s">
        <v>42</v>
      </c>
      <c r="E869" s="6" t="s">
        <v>33</v>
      </c>
      <c r="F869" s="53">
        <v>1500</v>
      </c>
      <c r="G869" s="42"/>
      <c r="H869" s="39"/>
      <c r="I869" s="39"/>
      <c r="J869" s="39"/>
    </row>
    <row r="870" spans="2:10" x14ac:dyDescent="0.2">
      <c r="B870" s="4" t="s">
        <v>1635</v>
      </c>
      <c r="C870" s="5" t="s">
        <v>1636</v>
      </c>
      <c r="D870" s="6"/>
      <c r="E870" s="6"/>
      <c r="F870" s="50"/>
      <c r="G870" s="42">
        <v>1.4651426576123257E-3</v>
      </c>
      <c r="H870" s="39" t="s">
        <v>49</v>
      </c>
      <c r="I870" s="39" t="s">
        <v>49</v>
      </c>
      <c r="J870" s="39"/>
    </row>
    <row r="871" spans="2:10" ht="38.25" x14ac:dyDescent="0.2">
      <c r="B871" s="4" t="s">
        <v>1637</v>
      </c>
      <c r="C871" s="9" t="s">
        <v>1638</v>
      </c>
      <c r="D871" s="6" t="s">
        <v>42</v>
      </c>
      <c r="E871" s="6" t="s">
        <v>33</v>
      </c>
      <c r="F871" s="53">
        <v>622</v>
      </c>
      <c r="G871" s="42">
        <v>1.4651426576123257E-3</v>
      </c>
      <c r="H871" s="39">
        <v>189.09799999999998</v>
      </c>
      <c r="I871" s="39">
        <v>324.16799999999995</v>
      </c>
      <c r="J871" s="39"/>
    </row>
    <row r="872" spans="2:10" ht="38.25" x14ac:dyDescent="0.2">
      <c r="B872" s="4" t="s">
        <v>1639</v>
      </c>
      <c r="C872" s="9" t="s">
        <v>1640</v>
      </c>
      <c r="D872" s="6" t="s">
        <v>42</v>
      </c>
      <c r="E872" s="6" t="s">
        <v>33</v>
      </c>
      <c r="F872" s="53">
        <v>622</v>
      </c>
      <c r="G872" s="42">
        <v>1.4651426576123257E-3</v>
      </c>
      <c r="H872" s="39">
        <v>189.09799999999998</v>
      </c>
      <c r="I872" s="39">
        <v>324.16799999999995</v>
      </c>
      <c r="J872" s="39"/>
    </row>
    <row r="873" spans="2:10" ht="38.25" x14ac:dyDescent="0.2">
      <c r="B873" s="4" t="s">
        <v>1641</v>
      </c>
      <c r="C873" s="9" t="s">
        <v>1642</v>
      </c>
      <c r="D873" s="6" t="s">
        <v>42</v>
      </c>
      <c r="E873" s="6" t="s">
        <v>33</v>
      </c>
      <c r="F873" s="53">
        <v>622</v>
      </c>
      <c r="G873" s="42">
        <v>1.4651426576123257E-3</v>
      </c>
      <c r="H873" s="39">
        <v>189.09799999999998</v>
      </c>
      <c r="I873" s="39">
        <v>324.16799999999995</v>
      </c>
      <c r="J873" s="39"/>
    </row>
    <row r="874" spans="2:10" s="7" customFormat="1" ht="38.25" x14ac:dyDescent="0.2">
      <c r="B874" s="4" t="s">
        <v>1643</v>
      </c>
      <c r="C874" s="9" t="s">
        <v>1644</v>
      </c>
      <c r="D874" s="6" t="s">
        <v>42</v>
      </c>
      <c r="E874" s="6" t="s">
        <v>33</v>
      </c>
      <c r="F874" s="53">
        <v>622</v>
      </c>
      <c r="G874" s="42">
        <v>1.4651426576123257E-3</v>
      </c>
      <c r="H874" s="41">
        <v>189.09799999999998</v>
      </c>
      <c r="I874" s="41">
        <v>324.16799999999995</v>
      </c>
      <c r="J874" s="41"/>
    </row>
    <row r="875" spans="2:10" ht="25.5" x14ac:dyDescent="0.2">
      <c r="B875" s="4" t="s">
        <v>1645</v>
      </c>
      <c r="C875" s="9" t="s">
        <v>1646</v>
      </c>
      <c r="D875" s="6" t="s">
        <v>42</v>
      </c>
      <c r="E875" s="6" t="s">
        <v>33</v>
      </c>
      <c r="F875" s="53">
        <v>622</v>
      </c>
      <c r="G875" s="42">
        <v>1.4651426576123257E-3</v>
      </c>
      <c r="H875" s="39">
        <v>189.09799999999998</v>
      </c>
      <c r="I875" s="39">
        <v>324.16799999999995</v>
      </c>
      <c r="J875" s="39"/>
    </row>
    <row r="876" spans="2:10" ht="38.25" x14ac:dyDescent="0.2">
      <c r="B876" s="4" t="s">
        <v>1647</v>
      </c>
      <c r="C876" s="5" t="s">
        <v>1648</v>
      </c>
      <c r="D876" s="6" t="s">
        <v>42</v>
      </c>
      <c r="E876" s="6" t="s">
        <v>33</v>
      </c>
      <c r="F876" s="53">
        <v>968</v>
      </c>
      <c r="G876" s="42">
        <v>1.4651426576123257E-3</v>
      </c>
      <c r="H876" s="39">
        <v>294.161</v>
      </c>
      <c r="I876" s="39">
        <v>504.27600000000001</v>
      </c>
      <c r="J876" s="39"/>
    </row>
    <row r="877" spans="2:10" x14ac:dyDescent="0.2">
      <c r="B877" s="4" t="s">
        <v>1649</v>
      </c>
      <c r="C877" s="5" t="s">
        <v>1650</v>
      </c>
      <c r="D877" s="6" t="s">
        <v>42</v>
      </c>
      <c r="E877" s="6" t="s">
        <v>33</v>
      </c>
      <c r="F877" s="53">
        <v>968</v>
      </c>
      <c r="G877" s="42">
        <v>1.4651426576123257E-3</v>
      </c>
      <c r="H877" s="39">
        <v>294.161</v>
      </c>
      <c r="I877" s="39">
        <v>504.27600000000001</v>
      </c>
      <c r="J877" s="39"/>
    </row>
    <row r="878" spans="2:10" ht="25.5" x14ac:dyDescent="0.2">
      <c r="B878" s="4" t="s">
        <v>1651</v>
      </c>
      <c r="C878" s="9" t="s">
        <v>1652</v>
      </c>
      <c r="D878" s="6" t="s">
        <v>42</v>
      </c>
      <c r="E878" s="6" t="s">
        <v>33</v>
      </c>
      <c r="F878" s="53">
        <v>760.5</v>
      </c>
      <c r="G878" s="42">
        <v>1.4651426576123257E-3</v>
      </c>
      <c r="H878" s="39">
        <v>231.12599999999998</v>
      </c>
      <c r="I878" s="39">
        <v>396.21600000000001</v>
      </c>
      <c r="J878" s="39"/>
    </row>
    <row r="879" spans="2:10" ht="25.5" x14ac:dyDescent="0.2">
      <c r="B879" s="4" t="s">
        <v>1653</v>
      </c>
      <c r="C879" s="9" t="s">
        <v>1654</v>
      </c>
      <c r="D879" s="6" t="s">
        <v>42</v>
      </c>
      <c r="E879" s="6" t="s">
        <v>33</v>
      </c>
      <c r="F879" s="53">
        <v>622</v>
      </c>
      <c r="G879" s="42">
        <v>1.4651426576123257E-3</v>
      </c>
      <c r="H879" s="39">
        <v>189.09799999999998</v>
      </c>
      <c r="I879" s="39">
        <v>324.16799999999995</v>
      </c>
      <c r="J879" s="39"/>
    </row>
    <row r="880" spans="2:10" x14ac:dyDescent="0.2">
      <c r="B880" s="4" t="s">
        <v>1655</v>
      </c>
      <c r="C880" s="9" t="s">
        <v>1656</v>
      </c>
      <c r="D880" s="6" t="s">
        <v>42</v>
      </c>
      <c r="E880" s="6" t="s">
        <v>33</v>
      </c>
      <c r="F880" s="53">
        <v>760.5</v>
      </c>
      <c r="G880" s="42">
        <v>1.4651426576123257E-3</v>
      </c>
      <c r="H880" s="39">
        <v>231.12599999999998</v>
      </c>
      <c r="I880" s="39">
        <v>396.21600000000001</v>
      </c>
      <c r="J880" s="39"/>
    </row>
    <row r="881" spans="2:10" ht="25.5" x14ac:dyDescent="0.2">
      <c r="B881" s="4" t="s">
        <v>1657</v>
      </c>
      <c r="C881" s="9" t="s">
        <v>1658</v>
      </c>
      <c r="D881" s="6" t="s">
        <v>42</v>
      </c>
      <c r="E881" s="6" t="s">
        <v>33</v>
      </c>
      <c r="F881" s="53">
        <v>387</v>
      </c>
      <c r="G881" s="42">
        <v>1.4651426576123257E-3</v>
      </c>
      <c r="H881" s="39">
        <v>117.663</v>
      </c>
      <c r="I881" s="39">
        <v>201.708</v>
      </c>
      <c r="J881" s="39"/>
    </row>
    <row r="882" spans="2:10" x14ac:dyDescent="0.2">
      <c r="B882" s="4" t="s">
        <v>1659</v>
      </c>
      <c r="C882" s="5" t="s">
        <v>682</v>
      </c>
      <c r="D882" s="6" t="s">
        <v>42</v>
      </c>
      <c r="E882" s="6" t="s">
        <v>33</v>
      </c>
      <c r="F882" s="53">
        <v>442</v>
      </c>
      <c r="G882" s="42">
        <v>1.4651426576123257E-3</v>
      </c>
      <c r="H882" s="39">
        <v>134.47</v>
      </c>
      <c r="I882" s="39">
        <v>230.51999999999998</v>
      </c>
      <c r="J882" s="39"/>
    </row>
    <row r="883" spans="2:10" ht="25.5" x14ac:dyDescent="0.2">
      <c r="B883" s="4" t="s">
        <v>1660</v>
      </c>
      <c r="C883" s="9" t="s">
        <v>1661</v>
      </c>
      <c r="D883" s="6" t="s">
        <v>42</v>
      </c>
      <c r="E883" s="6" t="s">
        <v>33</v>
      </c>
      <c r="F883" s="53">
        <v>211</v>
      </c>
      <c r="G883" s="42">
        <v>1.4651426576123257E-3</v>
      </c>
      <c r="H883" s="39">
        <v>64.126999999999995</v>
      </c>
      <c r="I883" s="39">
        <v>109.932</v>
      </c>
      <c r="J883" s="39"/>
    </row>
    <row r="884" spans="2:10" ht="25.5" x14ac:dyDescent="0.2">
      <c r="B884" s="4" t="s">
        <v>1662</v>
      </c>
      <c r="C884" s="9" t="s">
        <v>1663</v>
      </c>
      <c r="D884" s="6" t="s">
        <v>42</v>
      </c>
      <c r="E884" s="6" t="s">
        <v>33</v>
      </c>
      <c r="F884" s="53">
        <v>304</v>
      </c>
      <c r="G884" s="42">
        <v>1.4651426576123257E-3</v>
      </c>
      <c r="H884" s="39">
        <v>92.399999999999991</v>
      </c>
      <c r="I884" s="39">
        <v>158.4</v>
      </c>
      <c r="J884" s="39"/>
    </row>
    <row r="885" spans="2:10" ht="25.5" x14ac:dyDescent="0.2">
      <c r="B885" s="4" t="s">
        <v>1664</v>
      </c>
      <c r="C885" s="9" t="s">
        <v>1665</v>
      </c>
      <c r="D885" s="6" t="s">
        <v>42</v>
      </c>
      <c r="E885" s="6" t="s">
        <v>33</v>
      </c>
      <c r="F885" s="53">
        <v>442.5</v>
      </c>
      <c r="G885" s="42">
        <v>1.4651426576123257E-3</v>
      </c>
      <c r="H885" s="39">
        <v>134.47</v>
      </c>
      <c r="I885" s="39">
        <v>230.51999999999998</v>
      </c>
      <c r="J885" s="39"/>
    </row>
    <row r="886" spans="2:10" ht="25.5" x14ac:dyDescent="0.2">
      <c r="B886" s="4" t="s">
        <v>1666</v>
      </c>
      <c r="C886" s="9" t="s">
        <v>1667</v>
      </c>
      <c r="D886" s="6" t="s">
        <v>42</v>
      </c>
      <c r="E886" s="6" t="s">
        <v>33</v>
      </c>
      <c r="F886" s="53">
        <v>442.5</v>
      </c>
      <c r="G886" s="42">
        <v>1.4651426576123257E-3</v>
      </c>
      <c r="H886" s="39">
        <v>134.47</v>
      </c>
      <c r="I886" s="39">
        <v>230.51999999999998</v>
      </c>
      <c r="J886" s="39"/>
    </row>
    <row r="887" spans="2:10" ht="25.5" x14ac:dyDescent="0.2">
      <c r="B887" s="4" t="s">
        <v>1668</v>
      </c>
      <c r="C887" s="5" t="s">
        <v>1669</v>
      </c>
      <c r="D887" s="6" t="s">
        <v>42</v>
      </c>
      <c r="E887" s="6" t="s">
        <v>33</v>
      </c>
      <c r="F887" s="53">
        <v>442.5</v>
      </c>
      <c r="G887" s="42">
        <v>1.4651426576123257E-3</v>
      </c>
      <c r="H887" s="39">
        <v>134.47</v>
      </c>
      <c r="I887" s="39">
        <v>230.51999999999998</v>
      </c>
      <c r="J887" s="39"/>
    </row>
    <row r="888" spans="2:10" x14ac:dyDescent="0.2">
      <c r="B888" s="4" t="s">
        <v>1670</v>
      </c>
      <c r="C888" s="5" t="s">
        <v>1671</v>
      </c>
      <c r="D888" s="6" t="s">
        <v>42</v>
      </c>
      <c r="E888" s="6" t="s">
        <v>33</v>
      </c>
      <c r="F888" s="53">
        <v>495</v>
      </c>
      <c r="G888" s="42">
        <v>1.4651426576123257E-3</v>
      </c>
      <c r="H888" s="39">
        <v>151.27699999999999</v>
      </c>
      <c r="I888" s="39">
        <v>259.33199999999999</v>
      </c>
      <c r="J888" s="39"/>
    </row>
    <row r="889" spans="2:10" x14ac:dyDescent="0.2">
      <c r="B889" s="4" t="s">
        <v>1672</v>
      </c>
      <c r="C889" s="5" t="s">
        <v>1673</v>
      </c>
      <c r="D889" s="6" t="s">
        <v>42</v>
      </c>
      <c r="E889" s="6" t="s">
        <v>33</v>
      </c>
      <c r="F889" s="53">
        <v>575</v>
      </c>
      <c r="G889" s="42">
        <v>1.4651426576123257E-3</v>
      </c>
      <c r="H889" s="39">
        <v>175</v>
      </c>
      <c r="I889" s="39">
        <v>300</v>
      </c>
      <c r="J889" s="39"/>
    </row>
    <row r="890" spans="2:10" x14ac:dyDescent="0.2">
      <c r="B890" s="4" t="s">
        <v>1674</v>
      </c>
      <c r="C890" s="5" t="s">
        <v>1675</v>
      </c>
      <c r="D890" s="6" t="s">
        <v>42</v>
      </c>
      <c r="E890" s="6" t="s">
        <v>33</v>
      </c>
      <c r="F890" s="53">
        <v>668</v>
      </c>
      <c r="G890" s="42">
        <v>1.4651426576123257E-3</v>
      </c>
      <c r="H890" s="39">
        <v>203</v>
      </c>
      <c r="I890" s="39">
        <v>348</v>
      </c>
      <c r="J890" s="39"/>
    </row>
    <row r="891" spans="2:10" ht="51" x14ac:dyDescent="0.2">
      <c r="B891" s="4" t="s">
        <v>1676</v>
      </c>
      <c r="C891" s="5" t="s">
        <v>1677</v>
      </c>
      <c r="D891" s="6" t="s">
        <v>42</v>
      </c>
      <c r="E891" s="6" t="s">
        <v>33</v>
      </c>
      <c r="F891" s="53">
        <v>1030</v>
      </c>
      <c r="G891" s="42">
        <v>1.4651426576123257E-3</v>
      </c>
      <c r="H891" s="39">
        <v>315.17499999999995</v>
      </c>
      <c r="I891" s="39">
        <v>540.29999999999995</v>
      </c>
      <c r="J891" s="39"/>
    </row>
    <row r="892" spans="2:10" ht="25.5" x14ac:dyDescent="0.2">
      <c r="B892" s="4" t="s">
        <v>1678</v>
      </c>
      <c r="C892" s="5" t="s">
        <v>1679</v>
      </c>
      <c r="D892" s="6" t="s">
        <v>42</v>
      </c>
      <c r="E892" s="6" t="s">
        <v>33</v>
      </c>
      <c r="F892" s="53">
        <v>96.5</v>
      </c>
      <c r="G892" s="42">
        <v>1.4651426576123257E-3</v>
      </c>
      <c r="H892" s="39">
        <v>29.414000000000001</v>
      </c>
      <c r="I892" s="39">
        <v>50.423999999999999</v>
      </c>
      <c r="J892" s="39"/>
    </row>
    <row r="893" spans="2:10" x14ac:dyDescent="0.2">
      <c r="B893" s="4" t="s">
        <v>1680</v>
      </c>
      <c r="C893" s="5" t="s">
        <v>722</v>
      </c>
      <c r="D893" s="6" t="s">
        <v>42</v>
      </c>
      <c r="E893" s="6" t="s">
        <v>33</v>
      </c>
      <c r="F893" s="53">
        <v>57.5</v>
      </c>
      <c r="G893" s="42">
        <v>1.4651426576123257E-3</v>
      </c>
      <c r="H893" s="39">
        <v>17.562999999999999</v>
      </c>
      <c r="I893" s="39">
        <v>30.107999999999997</v>
      </c>
      <c r="J893" s="39"/>
    </row>
    <row r="894" spans="2:10" ht="25.5" x14ac:dyDescent="0.2">
      <c r="B894" s="4" t="s">
        <v>1681</v>
      </c>
      <c r="C894" s="5" t="s">
        <v>1682</v>
      </c>
      <c r="D894" s="6" t="s">
        <v>42</v>
      </c>
      <c r="E894" s="6" t="s">
        <v>33</v>
      </c>
      <c r="F894" s="53">
        <v>248.5</v>
      </c>
      <c r="G894" s="42">
        <v>1.4651426576123257E-3</v>
      </c>
      <c r="H894" s="39">
        <v>75.641999999999996</v>
      </c>
      <c r="I894" s="39">
        <v>129.672</v>
      </c>
      <c r="J894" s="39"/>
    </row>
    <row r="895" spans="2:10" x14ac:dyDescent="0.2">
      <c r="B895" s="4" t="s">
        <v>1683</v>
      </c>
      <c r="C895" s="5" t="s">
        <v>722</v>
      </c>
      <c r="D895" s="6" t="s">
        <v>42</v>
      </c>
      <c r="E895" s="6" t="s">
        <v>33</v>
      </c>
      <c r="F895" s="53">
        <v>152</v>
      </c>
      <c r="G895" s="42">
        <v>1.4651426576123257E-3</v>
      </c>
      <c r="H895" s="39">
        <v>46.220999999999997</v>
      </c>
      <c r="I895" s="39">
        <v>79.236000000000004</v>
      </c>
      <c r="J895" s="39"/>
    </row>
    <row r="896" spans="2:10" ht="25.5" x14ac:dyDescent="0.2">
      <c r="B896" s="4" t="s">
        <v>1684</v>
      </c>
      <c r="C896" s="5" t="s">
        <v>1685</v>
      </c>
      <c r="D896" s="6" t="s">
        <v>209</v>
      </c>
      <c r="E896" s="6" t="s">
        <v>33</v>
      </c>
      <c r="F896" s="53">
        <v>7.5</v>
      </c>
      <c r="G896" s="42">
        <v>1.4651426576123257E-3</v>
      </c>
      <c r="H896" s="39">
        <v>2.3379999999999996</v>
      </c>
      <c r="I896" s="39">
        <v>4.008</v>
      </c>
      <c r="J896" s="39"/>
    </row>
    <row r="897" spans="2:10" ht="38.25" x14ac:dyDescent="0.2">
      <c r="B897" s="4" t="s">
        <v>1686</v>
      </c>
      <c r="C897" s="5" t="s">
        <v>1687</v>
      </c>
      <c r="D897" s="6" t="s">
        <v>32</v>
      </c>
      <c r="E897" s="6" t="s">
        <v>33</v>
      </c>
      <c r="F897" s="53">
        <v>192</v>
      </c>
      <c r="G897" s="42">
        <v>1.4651426576123257E-3</v>
      </c>
      <c r="H897" s="39">
        <v>58.463999999999992</v>
      </c>
      <c r="I897" s="39">
        <v>100.22399999999999</v>
      </c>
      <c r="J897" s="39"/>
    </row>
    <row r="898" spans="2:10" ht="38.25" x14ac:dyDescent="0.2">
      <c r="B898" s="4" t="s">
        <v>1688</v>
      </c>
      <c r="C898" s="5" t="s">
        <v>1689</v>
      </c>
      <c r="D898" s="6" t="s">
        <v>32</v>
      </c>
      <c r="E898" s="6" t="s">
        <v>33</v>
      </c>
      <c r="F898" s="53">
        <v>205</v>
      </c>
      <c r="G898" s="42">
        <v>1.4651426576123257E-3</v>
      </c>
      <c r="H898" s="39">
        <v>62.363</v>
      </c>
      <c r="I898" s="39">
        <v>106.908</v>
      </c>
      <c r="J898" s="39"/>
    </row>
    <row r="899" spans="2:10" ht="38.25" x14ac:dyDescent="0.2">
      <c r="B899" s="4" t="s">
        <v>1690</v>
      </c>
      <c r="C899" s="5" t="s">
        <v>1691</v>
      </c>
      <c r="D899" s="6" t="s">
        <v>42</v>
      </c>
      <c r="E899" s="6" t="s">
        <v>33</v>
      </c>
      <c r="F899" s="53">
        <v>262.5</v>
      </c>
      <c r="G899" s="42">
        <v>1.4651426576123257E-3</v>
      </c>
      <c r="H899" s="39">
        <v>79.834999999999994</v>
      </c>
      <c r="I899" s="39">
        <v>136.85999999999999</v>
      </c>
      <c r="J899" s="39"/>
    </row>
    <row r="900" spans="2:10" x14ac:dyDescent="0.2">
      <c r="B900" s="4" t="s">
        <v>1692</v>
      </c>
      <c r="C900" s="5" t="s">
        <v>1693</v>
      </c>
      <c r="D900" s="6" t="s">
        <v>42</v>
      </c>
      <c r="E900" s="6" t="s">
        <v>33</v>
      </c>
      <c r="F900" s="53">
        <v>460.5</v>
      </c>
      <c r="G900" s="42">
        <v>1.4651426576123257E-3</v>
      </c>
      <c r="H900" s="39">
        <v>140</v>
      </c>
      <c r="I900" s="39">
        <v>240</v>
      </c>
      <c r="J900" s="39"/>
    </row>
    <row r="901" spans="2:10" ht="43.5" customHeight="1" x14ac:dyDescent="0.2">
      <c r="B901" s="4" t="s">
        <v>1694</v>
      </c>
      <c r="C901" s="5" t="s">
        <v>1695</v>
      </c>
      <c r="D901" s="6" t="s">
        <v>32</v>
      </c>
      <c r="E901" s="6" t="s">
        <v>33</v>
      </c>
      <c r="F901" s="53">
        <v>230.5</v>
      </c>
      <c r="G901" s="42">
        <v>1.4651426576123257E-3</v>
      </c>
      <c r="H901" s="39">
        <v>70.161000000000001</v>
      </c>
      <c r="I901" s="39">
        <v>120.276</v>
      </c>
      <c r="J901" s="39"/>
    </row>
    <row r="902" spans="2:10" ht="38.25" x14ac:dyDescent="0.2">
      <c r="B902" s="4" t="s">
        <v>1696</v>
      </c>
      <c r="C902" s="9" t="s">
        <v>1697</v>
      </c>
      <c r="D902" s="6" t="s">
        <v>32</v>
      </c>
      <c r="E902" s="6" t="s">
        <v>33</v>
      </c>
      <c r="F902" s="53">
        <v>102.5</v>
      </c>
      <c r="G902" s="42">
        <v>1.4651426576123257E-3</v>
      </c>
      <c r="H902" s="39">
        <v>31.177999999999997</v>
      </c>
      <c r="I902" s="39">
        <v>53.448</v>
      </c>
      <c r="J902" s="39"/>
    </row>
    <row r="903" spans="2:10" ht="48.75" customHeight="1" x14ac:dyDescent="0.2">
      <c r="B903" s="4" t="s">
        <v>1698</v>
      </c>
      <c r="C903" s="5" t="s">
        <v>1699</v>
      </c>
      <c r="D903" s="6" t="s">
        <v>32</v>
      </c>
      <c r="E903" s="6" t="s">
        <v>33</v>
      </c>
      <c r="F903" s="53">
        <v>230.5</v>
      </c>
      <c r="G903" s="42">
        <v>1.4651426576123257E-3</v>
      </c>
      <c r="H903" s="39">
        <v>70.161000000000001</v>
      </c>
      <c r="I903" s="39">
        <v>120.276</v>
      </c>
      <c r="J903" s="39"/>
    </row>
    <row r="904" spans="2:10" ht="38.25" x14ac:dyDescent="0.2">
      <c r="B904" s="4" t="s">
        <v>1700</v>
      </c>
      <c r="C904" s="5" t="s">
        <v>1701</v>
      </c>
      <c r="D904" s="6" t="s">
        <v>32</v>
      </c>
      <c r="E904" s="6" t="s">
        <v>33</v>
      </c>
      <c r="F904" s="53">
        <v>102.5</v>
      </c>
      <c r="G904" s="42">
        <v>1.4651426576123257E-3</v>
      </c>
      <c r="H904" s="39">
        <v>31.181155688552433</v>
      </c>
      <c r="I904" s="39">
        <v>53.453409751804173</v>
      </c>
      <c r="J904" s="39"/>
    </row>
    <row r="905" spans="2:10" ht="25.5" x14ac:dyDescent="0.2">
      <c r="B905" s="4" t="s">
        <v>1702</v>
      </c>
      <c r="C905" s="5" t="s">
        <v>1703</v>
      </c>
      <c r="D905" s="6" t="s">
        <v>32</v>
      </c>
      <c r="E905" s="6" t="s">
        <v>33</v>
      </c>
      <c r="F905" s="53">
        <v>470</v>
      </c>
      <c r="G905" s="42">
        <v>1.4651426576123257E-3</v>
      </c>
      <c r="H905" s="39">
        <v>142.87700000000001</v>
      </c>
      <c r="I905" s="39">
        <v>244.93200000000002</v>
      </c>
      <c r="J905" s="39"/>
    </row>
    <row r="906" spans="2:10" ht="25.5" x14ac:dyDescent="0.2">
      <c r="B906" s="4" t="s">
        <v>1704</v>
      </c>
      <c r="C906" s="5" t="s">
        <v>1705</v>
      </c>
      <c r="D906" s="6" t="s">
        <v>32</v>
      </c>
      <c r="E906" s="6" t="s">
        <v>33</v>
      </c>
      <c r="F906" s="53">
        <v>305</v>
      </c>
      <c r="G906" s="42">
        <v>1.4651426576123257E-3</v>
      </c>
      <c r="H906" s="39">
        <v>93.540999999999997</v>
      </c>
      <c r="I906" s="39">
        <v>160.35599999999999</v>
      </c>
      <c r="J906" s="39"/>
    </row>
    <row r="907" spans="2:10" ht="25.5" x14ac:dyDescent="0.2">
      <c r="B907" s="4" t="s">
        <v>1706</v>
      </c>
      <c r="C907" s="5" t="s">
        <v>1707</v>
      </c>
      <c r="D907" s="6" t="s">
        <v>209</v>
      </c>
      <c r="E907" s="6" t="s">
        <v>33</v>
      </c>
      <c r="F907" s="53">
        <v>14</v>
      </c>
      <c r="G907" s="42">
        <v>1.4651426576123257E-3</v>
      </c>
      <c r="H907" s="39">
        <v>4.2839999999999998</v>
      </c>
      <c r="I907" s="39">
        <v>7.3439999999999994</v>
      </c>
      <c r="J907" s="39"/>
    </row>
    <row r="908" spans="2:10" x14ac:dyDescent="0.2">
      <c r="B908" s="4" t="s">
        <v>1708</v>
      </c>
      <c r="C908" s="9" t="s">
        <v>1709</v>
      </c>
      <c r="D908" s="18"/>
      <c r="E908" s="18"/>
      <c r="F908" s="52"/>
      <c r="G908" s="42">
        <v>1.4651426576123257E-3</v>
      </c>
      <c r="H908" s="39" t="s">
        <v>49</v>
      </c>
      <c r="I908" s="39" t="s">
        <v>49</v>
      </c>
      <c r="J908" s="39"/>
    </row>
    <row r="909" spans="2:10" x14ac:dyDescent="0.2">
      <c r="B909" s="4" t="s">
        <v>1710</v>
      </c>
      <c r="C909" s="5" t="s">
        <v>1711</v>
      </c>
      <c r="D909" s="6" t="s">
        <v>42</v>
      </c>
      <c r="E909" s="6" t="s">
        <v>33</v>
      </c>
      <c r="F909" s="53">
        <v>1105</v>
      </c>
      <c r="G909" s="42">
        <v>1.4651426576123257E-3</v>
      </c>
      <c r="H909" s="39">
        <v>336.18899999999996</v>
      </c>
      <c r="I909" s="39">
        <v>576.32399999999996</v>
      </c>
      <c r="J909" s="39"/>
    </row>
    <row r="910" spans="2:10" x14ac:dyDescent="0.2">
      <c r="B910" s="4" t="s">
        <v>1712</v>
      </c>
      <c r="C910" s="9" t="s">
        <v>1713</v>
      </c>
      <c r="D910" s="6" t="s">
        <v>42</v>
      </c>
      <c r="E910" s="6" t="s">
        <v>33</v>
      </c>
      <c r="F910" s="53">
        <v>1105</v>
      </c>
      <c r="G910" s="42">
        <v>1.4651426576123257E-3</v>
      </c>
      <c r="H910" s="39">
        <v>336.18899999999996</v>
      </c>
      <c r="I910" s="39">
        <v>576.32399999999996</v>
      </c>
      <c r="J910" s="39"/>
    </row>
    <row r="911" spans="2:10" x14ac:dyDescent="0.2">
      <c r="B911" s="4" t="s">
        <v>1714</v>
      </c>
      <c r="C911" s="5" t="s">
        <v>1715</v>
      </c>
      <c r="D911" s="6" t="s">
        <v>42</v>
      </c>
      <c r="E911" s="6" t="s">
        <v>33</v>
      </c>
      <c r="F911" s="53">
        <v>1105</v>
      </c>
      <c r="G911" s="42">
        <v>1.4651426576123257E-3</v>
      </c>
      <c r="H911" s="39">
        <v>336.18899999999996</v>
      </c>
      <c r="I911" s="39">
        <v>576.32399999999996</v>
      </c>
      <c r="J911" s="39"/>
    </row>
    <row r="912" spans="2:10" x14ac:dyDescent="0.2">
      <c r="B912" s="4" t="s">
        <v>1716</v>
      </c>
      <c r="C912" s="5" t="s">
        <v>1717</v>
      </c>
      <c r="D912" s="6" t="s">
        <v>42</v>
      </c>
      <c r="E912" s="6" t="s">
        <v>33</v>
      </c>
      <c r="F912" s="53">
        <v>1105</v>
      </c>
      <c r="G912" s="42">
        <v>1.4651426576123257E-3</v>
      </c>
      <c r="H912" s="39">
        <v>336.18899999999996</v>
      </c>
      <c r="I912" s="39">
        <v>576.32399999999996</v>
      </c>
      <c r="J912" s="39"/>
    </row>
    <row r="913" spans="2:10" ht="25.5" x14ac:dyDescent="0.2">
      <c r="B913" s="4" t="s">
        <v>1718</v>
      </c>
      <c r="C913" s="5" t="s">
        <v>1719</v>
      </c>
      <c r="D913" s="6" t="s">
        <v>66</v>
      </c>
      <c r="E913" s="6" t="s">
        <v>33</v>
      </c>
      <c r="F913" s="53">
        <v>553</v>
      </c>
      <c r="G913" s="42">
        <v>1.4651426576123257E-3</v>
      </c>
      <c r="H913" s="39">
        <v>168.09099999999998</v>
      </c>
      <c r="I913" s="39">
        <v>288.15600000000001</v>
      </c>
      <c r="J913" s="39"/>
    </row>
    <row r="914" spans="2:10" ht="25.5" x14ac:dyDescent="0.2">
      <c r="B914" s="4" t="s">
        <v>1720</v>
      </c>
      <c r="C914" s="5" t="s">
        <v>1721</v>
      </c>
      <c r="D914" s="6" t="s">
        <v>32</v>
      </c>
      <c r="E914" s="6" t="s">
        <v>33</v>
      </c>
      <c r="F914" s="53">
        <v>260</v>
      </c>
      <c r="G914" s="42">
        <v>1.4651426576123257E-3</v>
      </c>
      <c r="H914" s="39">
        <v>79.834999999999994</v>
      </c>
      <c r="I914" s="39">
        <v>136.85999999999999</v>
      </c>
      <c r="J914" s="39"/>
    </row>
    <row r="915" spans="2:10" ht="25.5" x14ac:dyDescent="0.2">
      <c r="B915" s="4" t="s">
        <v>1722</v>
      </c>
      <c r="C915" s="5" t="s">
        <v>1723</v>
      </c>
      <c r="D915" s="6" t="s">
        <v>32</v>
      </c>
      <c r="E915" s="6" t="s">
        <v>33</v>
      </c>
      <c r="F915" s="53">
        <v>178</v>
      </c>
      <c r="G915" s="42">
        <v>1.4651426576123257E-3</v>
      </c>
      <c r="H915" s="39">
        <v>54.628</v>
      </c>
      <c r="I915" s="39">
        <v>93.64800000000001</v>
      </c>
      <c r="J915" s="39"/>
    </row>
    <row r="916" spans="2:10" ht="51" x14ac:dyDescent="0.2">
      <c r="B916" s="4" t="s">
        <v>1724</v>
      </c>
      <c r="C916" s="9" t="s">
        <v>1725</v>
      </c>
      <c r="D916" s="6" t="s">
        <v>42</v>
      </c>
      <c r="E916" s="6" t="s">
        <v>33</v>
      </c>
      <c r="F916" s="53">
        <v>1300</v>
      </c>
      <c r="G916" s="42">
        <v>1.4651426576123257E-3</v>
      </c>
      <c r="H916" s="39">
        <v>395.01699999999994</v>
      </c>
      <c r="I916" s="39">
        <v>677.17199999999991</v>
      </c>
      <c r="J916" s="39"/>
    </row>
    <row r="917" spans="2:10" ht="25.5" x14ac:dyDescent="0.2">
      <c r="B917" s="4" t="s">
        <v>1726</v>
      </c>
      <c r="C917" s="9" t="s">
        <v>1727</v>
      </c>
      <c r="D917" s="6" t="s">
        <v>42</v>
      </c>
      <c r="E917" s="6" t="s">
        <v>33</v>
      </c>
      <c r="F917" s="53">
        <v>760</v>
      </c>
      <c r="G917" s="42">
        <v>1.4651426576123257E-3</v>
      </c>
      <c r="H917" s="39">
        <v>230.99999999999997</v>
      </c>
      <c r="I917" s="39">
        <v>396</v>
      </c>
      <c r="J917" s="39"/>
    </row>
    <row r="918" spans="2:10" ht="25.5" x14ac:dyDescent="0.2">
      <c r="B918" s="4" t="s">
        <v>1728</v>
      </c>
      <c r="C918" s="5" t="s">
        <v>1729</v>
      </c>
      <c r="D918" s="6" t="s">
        <v>42</v>
      </c>
      <c r="E918" s="6" t="s">
        <v>33</v>
      </c>
      <c r="F918" s="53">
        <v>598</v>
      </c>
      <c r="G918" s="42">
        <v>1.4651426576123257E-3</v>
      </c>
      <c r="H918" s="39">
        <v>181.74099999999999</v>
      </c>
      <c r="I918" s="39">
        <v>311.55599999999998</v>
      </c>
      <c r="J918" s="39"/>
    </row>
    <row r="919" spans="2:10" ht="25.5" x14ac:dyDescent="0.2">
      <c r="B919" s="4" t="s">
        <v>1730</v>
      </c>
      <c r="C919" s="9" t="s">
        <v>1731</v>
      </c>
      <c r="D919" s="6" t="s">
        <v>42</v>
      </c>
      <c r="E919" s="6" t="s">
        <v>33</v>
      </c>
      <c r="F919" s="53">
        <v>460.5</v>
      </c>
      <c r="G919" s="42">
        <v>1.4651426576123257E-3</v>
      </c>
      <c r="H919" s="39">
        <v>140</v>
      </c>
      <c r="I919" s="39">
        <v>240</v>
      </c>
      <c r="J919" s="39"/>
    </row>
    <row r="920" spans="2:10" ht="25.5" x14ac:dyDescent="0.2">
      <c r="B920" s="4" t="s">
        <v>1732</v>
      </c>
      <c r="C920" s="5" t="s">
        <v>1733</v>
      </c>
      <c r="D920" s="6" t="s">
        <v>42</v>
      </c>
      <c r="E920" s="6" t="s">
        <v>33</v>
      </c>
      <c r="F920" s="53">
        <v>299</v>
      </c>
      <c r="G920" s="42">
        <v>1.4651426576123257E-3</v>
      </c>
      <c r="H920" s="39">
        <v>91</v>
      </c>
      <c r="I920" s="39">
        <v>156</v>
      </c>
      <c r="J920" s="39"/>
    </row>
    <row r="921" spans="2:10" ht="38.25" x14ac:dyDescent="0.2">
      <c r="B921" s="4" t="s">
        <v>1734</v>
      </c>
      <c r="C921" s="5" t="s">
        <v>1735</v>
      </c>
      <c r="D921" s="6" t="s">
        <v>42</v>
      </c>
      <c r="E921" s="6" t="s">
        <v>33</v>
      </c>
      <c r="F921" s="53">
        <v>598</v>
      </c>
      <c r="G921" s="42">
        <v>1.4651426576123257E-3</v>
      </c>
      <c r="H921" s="39">
        <v>140</v>
      </c>
      <c r="I921" s="39">
        <v>240</v>
      </c>
      <c r="J921" s="39"/>
    </row>
    <row r="922" spans="2:10" ht="38.25" x14ac:dyDescent="0.2">
      <c r="B922" s="4" t="s">
        <v>1736</v>
      </c>
      <c r="C922" s="5" t="s">
        <v>1737</v>
      </c>
      <c r="D922" s="6" t="s">
        <v>42</v>
      </c>
      <c r="E922" s="6" t="s">
        <v>33</v>
      </c>
      <c r="F922" s="53">
        <v>345</v>
      </c>
      <c r="G922" s="42">
        <v>1.4651426576123257E-3</v>
      </c>
      <c r="H922" s="39">
        <v>122.49999999999999</v>
      </c>
      <c r="I922" s="39">
        <v>210</v>
      </c>
      <c r="J922" s="39"/>
    </row>
    <row r="923" spans="2:10" ht="38.25" x14ac:dyDescent="0.2">
      <c r="B923" s="4" t="s">
        <v>1738</v>
      </c>
      <c r="C923" s="5" t="s">
        <v>1739</v>
      </c>
      <c r="D923" s="6" t="s">
        <v>42</v>
      </c>
      <c r="E923" s="6" t="s">
        <v>20</v>
      </c>
      <c r="F923" s="53">
        <v>276</v>
      </c>
      <c r="G923" s="42">
        <v>1.4651426576123257E-3</v>
      </c>
      <c r="H923" s="39">
        <v>84.042000000000002</v>
      </c>
      <c r="I923" s="39">
        <v>144.072</v>
      </c>
      <c r="J923" s="39"/>
    </row>
    <row r="924" spans="2:10" ht="25.5" x14ac:dyDescent="0.2">
      <c r="B924" s="4" t="s">
        <v>1740</v>
      </c>
      <c r="C924" s="5" t="s">
        <v>1741</v>
      </c>
      <c r="D924" s="6" t="s">
        <v>32</v>
      </c>
      <c r="E924" s="6" t="s">
        <v>33</v>
      </c>
      <c r="F924" s="53">
        <v>359</v>
      </c>
      <c r="G924" s="42">
        <v>1.4651426576123257E-3</v>
      </c>
      <c r="H924" s="39">
        <v>109.26299999999999</v>
      </c>
      <c r="I924" s="39">
        <v>187.30799999999999</v>
      </c>
      <c r="J924" s="39"/>
    </row>
    <row r="925" spans="2:10" ht="51" x14ac:dyDescent="0.2">
      <c r="B925" s="4" t="s">
        <v>1742</v>
      </c>
      <c r="C925" s="5" t="s">
        <v>1743</v>
      </c>
      <c r="D925" s="6" t="s">
        <v>66</v>
      </c>
      <c r="E925" s="6" t="s">
        <v>33</v>
      </c>
      <c r="F925" s="53">
        <v>101</v>
      </c>
      <c r="G925" s="42">
        <v>1.4651426576123257E-3</v>
      </c>
      <c r="H925" s="39">
        <v>30.799999999999997</v>
      </c>
      <c r="I925" s="39">
        <v>52.8</v>
      </c>
      <c r="J925" s="39"/>
    </row>
    <row r="926" spans="2:10" ht="38.25" x14ac:dyDescent="0.2">
      <c r="B926" s="4" t="s">
        <v>1744</v>
      </c>
      <c r="C926" s="5" t="s">
        <v>1745</v>
      </c>
      <c r="D926" s="6" t="s">
        <v>66</v>
      </c>
      <c r="E926" s="6" t="s">
        <v>33</v>
      </c>
      <c r="F926" s="53">
        <v>126</v>
      </c>
      <c r="G926" s="42">
        <v>1.4651426576123257E-3</v>
      </c>
      <c r="H926" s="39">
        <v>38.5</v>
      </c>
      <c r="I926" s="39">
        <v>66</v>
      </c>
      <c r="J926" s="39"/>
    </row>
    <row r="927" spans="2:10" ht="38.25" x14ac:dyDescent="0.2">
      <c r="B927" s="4" t="s">
        <v>1746</v>
      </c>
      <c r="C927" s="5" t="s">
        <v>1747</v>
      </c>
      <c r="D927" s="6" t="s">
        <v>66</v>
      </c>
      <c r="E927" s="6" t="s">
        <v>33</v>
      </c>
      <c r="F927" s="53">
        <v>126</v>
      </c>
      <c r="G927" s="42">
        <v>1.4651426576123257E-3</v>
      </c>
      <c r="H927" s="39">
        <v>38.5</v>
      </c>
      <c r="I927" s="39">
        <v>66</v>
      </c>
      <c r="J927" s="39"/>
    </row>
    <row r="928" spans="2:10" ht="25.5" x14ac:dyDescent="0.2">
      <c r="B928" s="4" t="s">
        <v>1748</v>
      </c>
      <c r="C928" s="5" t="s">
        <v>1749</v>
      </c>
      <c r="D928" s="6" t="s">
        <v>32</v>
      </c>
      <c r="E928" s="6" t="s">
        <v>33</v>
      </c>
      <c r="F928" s="53">
        <v>63</v>
      </c>
      <c r="G928" s="42">
        <v>1.4651426576123257E-3</v>
      </c>
      <c r="H928" s="39">
        <v>19.25</v>
      </c>
      <c r="I928" s="39">
        <v>33</v>
      </c>
      <c r="J928" s="39"/>
    </row>
    <row r="929" spans="2:10" ht="25.5" x14ac:dyDescent="0.2">
      <c r="B929" s="4" t="s">
        <v>1750</v>
      </c>
      <c r="C929" s="5" t="s">
        <v>1751</v>
      </c>
      <c r="D929" s="6" t="s">
        <v>32</v>
      </c>
      <c r="E929" s="6" t="s">
        <v>33</v>
      </c>
      <c r="F929" s="53">
        <v>25</v>
      </c>
      <c r="G929" s="42">
        <v>1.4651426576123257E-3</v>
      </c>
      <c r="H929" s="39">
        <v>7.6999999999999993</v>
      </c>
      <c r="I929" s="39">
        <v>13.2</v>
      </c>
      <c r="J929" s="39"/>
    </row>
    <row r="930" spans="2:10" ht="62.25" customHeight="1" x14ac:dyDescent="0.2">
      <c r="B930" s="4" t="s">
        <v>1752</v>
      </c>
      <c r="C930" s="5" t="s">
        <v>1753</v>
      </c>
      <c r="D930" s="6" t="s">
        <v>42</v>
      </c>
      <c r="E930" s="6" t="s">
        <v>33</v>
      </c>
      <c r="F930" s="53">
        <v>576</v>
      </c>
      <c r="G930" s="42">
        <v>1.4651426576123257E-3</v>
      </c>
      <c r="H930" s="39">
        <v>140</v>
      </c>
      <c r="I930" s="39">
        <v>240</v>
      </c>
      <c r="J930" s="39"/>
    </row>
    <row r="931" spans="2:10" x14ac:dyDescent="0.2">
      <c r="B931" s="4" t="s">
        <v>1754</v>
      </c>
      <c r="C931" s="5" t="s">
        <v>1755</v>
      </c>
      <c r="D931" s="6"/>
      <c r="E931" s="6"/>
      <c r="F931" s="50"/>
      <c r="G931" s="42">
        <v>1.4651426576123257E-3</v>
      </c>
      <c r="H931" s="39" t="s">
        <v>49</v>
      </c>
      <c r="I931" s="39" t="s">
        <v>49</v>
      </c>
      <c r="J931" s="39"/>
    </row>
    <row r="932" spans="2:10" ht="51" customHeight="1" x14ac:dyDescent="0.2">
      <c r="B932" s="4" t="s">
        <v>1756</v>
      </c>
      <c r="C932" s="5" t="s">
        <v>1757</v>
      </c>
      <c r="D932" s="6" t="s">
        <v>42</v>
      </c>
      <c r="E932" s="6" t="s">
        <v>33</v>
      </c>
      <c r="F932" s="53">
        <v>55.3</v>
      </c>
      <c r="G932" s="42">
        <v>1.4651426576123257E-3</v>
      </c>
      <c r="H932" s="39">
        <v>15.588999999999999</v>
      </c>
      <c r="I932" s="39">
        <v>26.724</v>
      </c>
      <c r="J932" s="39"/>
    </row>
    <row r="933" spans="2:10" ht="25.5" x14ac:dyDescent="0.2">
      <c r="B933" s="4" t="s">
        <v>1758</v>
      </c>
      <c r="C933" s="5" t="s">
        <v>1759</v>
      </c>
      <c r="D933" s="6" t="s">
        <v>66</v>
      </c>
      <c r="E933" s="6" t="s">
        <v>33</v>
      </c>
      <c r="F933" s="53">
        <v>2073</v>
      </c>
      <c r="G933" s="42">
        <v>1.4651426576123257E-3</v>
      </c>
      <c r="H933" s="39">
        <v>584.64699999999993</v>
      </c>
      <c r="I933" s="39">
        <v>1002.252</v>
      </c>
      <c r="J933" s="39"/>
    </row>
    <row r="934" spans="2:10" ht="25.5" x14ac:dyDescent="0.2">
      <c r="B934" s="4" t="s">
        <v>1760</v>
      </c>
      <c r="C934" s="9" t="s">
        <v>1761</v>
      </c>
      <c r="D934" s="6" t="s">
        <v>66</v>
      </c>
      <c r="E934" s="6" t="s">
        <v>33</v>
      </c>
      <c r="F934" s="53">
        <v>484</v>
      </c>
      <c r="G934" s="42">
        <v>1.4651426576123257E-3</v>
      </c>
      <c r="H934" s="39">
        <v>147.077</v>
      </c>
      <c r="I934" s="39">
        <v>252.13200000000001</v>
      </c>
      <c r="J934" s="39"/>
    </row>
    <row r="935" spans="2:10" ht="52.9" customHeight="1" x14ac:dyDescent="0.2">
      <c r="B935" s="4" t="s">
        <v>1762</v>
      </c>
      <c r="C935" s="5" t="s">
        <v>1763</v>
      </c>
      <c r="D935" s="6" t="s">
        <v>66</v>
      </c>
      <c r="E935" s="6" t="s">
        <v>33</v>
      </c>
      <c r="F935" s="53">
        <v>276</v>
      </c>
      <c r="G935" s="42">
        <v>1.4651426576123257E-3</v>
      </c>
      <c r="H935" s="39">
        <v>77.951999999999998</v>
      </c>
      <c r="I935" s="39">
        <v>133.63200000000001</v>
      </c>
      <c r="J935" s="39"/>
    </row>
    <row r="936" spans="2:10" ht="25.5" x14ac:dyDescent="0.2">
      <c r="B936" s="4" t="s">
        <v>1764</v>
      </c>
      <c r="C936" s="5" t="s">
        <v>1765</v>
      </c>
      <c r="D936" s="6" t="s">
        <v>66</v>
      </c>
      <c r="E936" s="6" t="s">
        <v>33</v>
      </c>
      <c r="F936" s="53">
        <v>273</v>
      </c>
      <c r="G936" s="42">
        <v>1.4651426576123257E-3</v>
      </c>
      <c r="H936" s="39">
        <v>83.180999999999997</v>
      </c>
      <c r="I936" s="39">
        <v>142.596</v>
      </c>
      <c r="J936" s="39"/>
    </row>
    <row r="937" spans="2:10" ht="45" customHeight="1" x14ac:dyDescent="0.2">
      <c r="B937" s="4" t="s">
        <v>1766</v>
      </c>
      <c r="C937" s="5" t="s">
        <v>1767</v>
      </c>
      <c r="D937" s="6" t="s">
        <v>66</v>
      </c>
      <c r="E937" s="6" t="s">
        <v>33</v>
      </c>
      <c r="F937" s="53">
        <v>409</v>
      </c>
      <c r="G937" s="42">
        <v>1.4651426576123257E-3</v>
      </c>
      <c r="H937" s="39">
        <v>124.41099999999999</v>
      </c>
      <c r="I937" s="39">
        <v>213.27599999999998</v>
      </c>
      <c r="J937" s="39"/>
    </row>
    <row r="938" spans="2:10" ht="38.25" x14ac:dyDescent="0.2">
      <c r="B938" s="4" t="s">
        <v>1768</v>
      </c>
      <c r="C938" s="5" t="s">
        <v>1769</v>
      </c>
      <c r="D938" s="6" t="s">
        <v>66</v>
      </c>
      <c r="E938" s="6" t="s">
        <v>33</v>
      </c>
      <c r="F938" s="53">
        <v>409</v>
      </c>
      <c r="G938" s="42">
        <v>1.4651426576123257E-3</v>
      </c>
      <c r="H938" s="39">
        <v>62.363</v>
      </c>
      <c r="I938" s="39">
        <v>106.908</v>
      </c>
      <c r="J938" s="39"/>
    </row>
    <row r="939" spans="2:10" x14ac:dyDescent="0.2">
      <c r="B939" s="4" t="s">
        <v>1770</v>
      </c>
      <c r="C939" s="5" t="s">
        <v>1771</v>
      </c>
      <c r="D939" s="6" t="s">
        <v>66</v>
      </c>
      <c r="E939" s="6" t="s">
        <v>20</v>
      </c>
      <c r="F939" s="53">
        <v>87.2</v>
      </c>
      <c r="G939" s="42">
        <v>1.4651426576123257E-3</v>
      </c>
      <c r="H939" s="39">
        <v>26.516000000000002</v>
      </c>
      <c r="I939" s="39">
        <v>45.456000000000003</v>
      </c>
      <c r="J939" s="39"/>
    </row>
    <row r="940" spans="2:10" ht="78" customHeight="1" x14ac:dyDescent="0.2">
      <c r="B940" s="4" t="s">
        <v>1772</v>
      </c>
      <c r="C940" s="5" t="s">
        <v>1773</v>
      </c>
      <c r="D940" s="6" t="s">
        <v>66</v>
      </c>
      <c r="E940" s="6" t="s">
        <v>33</v>
      </c>
      <c r="F940" s="53">
        <v>553.20000000000005</v>
      </c>
      <c r="G940" s="42">
        <v>1.4651426576123257E-3</v>
      </c>
      <c r="H940" s="39">
        <v>144.459</v>
      </c>
      <c r="I940" s="39">
        <v>247.64400000000001</v>
      </c>
      <c r="J940" s="39"/>
    </row>
    <row r="941" spans="2:10" x14ac:dyDescent="0.2">
      <c r="B941" s="4" t="s">
        <v>1774</v>
      </c>
      <c r="C941" s="5" t="s">
        <v>1775</v>
      </c>
      <c r="D941" s="6" t="s">
        <v>66</v>
      </c>
      <c r="E941" s="6" t="s">
        <v>33</v>
      </c>
      <c r="F941" s="53">
        <v>138</v>
      </c>
      <c r="G941" s="42">
        <v>1.4651426576123257E-3</v>
      </c>
      <c r="H941" s="39">
        <v>105</v>
      </c>
      <c r="I941" s="39">
        <v>180</v>
      </c>
      <c r="J941" s="39"/>
    </row>
    <row r="942" spans="2:10" x14ac:dyDescent="0.2">
      <c r="B942" s="4" t="s">
        <v>1776</v>
      </c>
      <c r="C942" s="5" t="s">
        <v>1777</v>
      </c>
      <c r="D942" s="6" t="s">
        <v>66</v>
      </c>
      <c r="E942" s="6" t="s">
        <v>33</v>
      </c>
      <c r="F942" s="53">
        <v>760.3</v>
      </c>
      <c r="G942" s="42">
        <v>1.4651426576123257E-3</v>
      </c>
      <c r="H942" s="39">
        <v>230.99999999999997</v>
      </c>
      <c r="I942" s="39">
        <v>396</v>
      </c>
      <c r="J942" s="39"/>
    </row>
    <row r="943" spans="2:10" ht="25.5" x14ac:dyDescent="0.2">
      <c r="B943" s="4" t="s">
        <v>1778</v>
      </c>
      <c r="C943" s="5" t="s">
        <v>1779</v>
      </c>
      <c r="D943" s="6" t="s">
        <v>66</v>
      </c>
      <c r="E943" s="6" t="s">
        <v>33</v>
      </c>
      <c r="F943" s="53">
        <v>143.22999999999999</v>
      </c>
      <c r="G943" s="42">
        <v>1.4651426576123257E-3</v>
      </c>
      <c r="H943" s="39">
        <v>43.518999999999998</v>
      </c>
      <c r="I943" s="39">
        <v>74.603999999999999</v>
      </c>
      <c r="J943" s="39"/>
    </row>
    <row r="944" spans="2:10" x14ac:dyDescent="0.2">
      <c r="B944" s="4" t="s">
        <v>1780</v>
      </c>
      <c r="C944" s="5" t="s">
        <v>1781</v>
      </c>
      <c r="D944" s="6" t="s">
        <v>66</v>
      </c>
      <c r="E944" s="6" t="s">
        <v>33</v>
      </c>
      <c r="F944" s="53">
        <v>380</v>
      </c>
      <c r="G944" s="42">
        <v>1.4651426576123257E-3</v>
      </c>
      <c r="H944" s="39">
        <v>115.49999999999999</v>
      </c>
      <c r="I944" s="39">
        <v>198</v>
      </c>
      <c r="J944" s="39"/>
    </row>
    <row r="945" spans="2:10" ht="21.75" customHeight="1" x14ac:dyDescent="0.2">
      <c r="B945" s="4" t="s">
        <v>1782</v>
      </c>
      <c r="C945" s="5" t="s">
        <v>1783</v>
      </c>
      <c r="D945" s="6" t="s">
        <v>66</v>
      </c>
      <c r="E945" s="6" t="s">
        <v>33</v>
      </c>
      <c r="F945" s="53">
        <v>253</v>
      </c>
      <c r="G945" s="42">
        <v>1.4651426576123257E-3</v>
      </c>
      <c r="H945" s="39">
        <v>77</v>
      </c>
      <c r="I945" s="39">
        <v>132</v>
      </c>
      <c r="J945" s="39"/>
    </row>
    <row r="946" spans="2:10" x14ac:dyDescent="0.2">
      <c r="B946" s="4" t="s">
        <v>1784</v>
      </c>
      <c r="C946" s="5" t="s">
        <v>1785</v>
      </c>
      <c r="D946" s="6" t="s">
        <v>66</v>
      </c>
      <c r="E946" s="6" t="s">
        <v>33</v>
      </c>
      <c r="F946" s="53">
        <v>190</v>
      </c>
      <c r="G946" s="42">
        <v>1.4651426576123257E-3</v>
      </c>
      <c r="H946" s="39">
        <v>57.749999999999993</v>
      </c>
      <c r="I946" s="39">
        <v>99</v>
      </c>
      <c r="J946" s="39"/>
    </row>
    <row r="947" spans="2:10" ht="38.25" x14ac:dyDescent="0.2">
      <c r="B947" s="4" t="s">
        <v>1786</v>
      </c>
      <c r="C947" s="5" t="s">
        <v>1787</v>
      </c>
      <c r="D947" s="6" t="s">
        <v>66</v>
      </c>
      <c r="E947" s="6" t="s">
        <v>33</v>
      </c>
      <c r="F947" s="53">
        <v>541</v>
      </c>
      <c r="G947" s="42">
        <v>1.4651426576123257E-3</v>
      </c>
      <c r="H947" s="39">
        <v>70.699999999999989</v>
      </c>
      <c r="I947" s="39">
        <v>121.19999999999999</v>
      </c>
      <c r="J947" s="39"/>
    </row>
    <row r="948" spans="2:10" x14ac:dyDescent="0.2">
      <c r="B948" s="4" t="s">
        <v>1788</v>
      </c>
      <c r="C948" s="5" t="s">
        <v>1789</v>
      </c>
      <c r="D948" s="6" t="s">
        <v>66</v>
      </c>
      <c r="E948" s="6" t="s">
        <v>33</v>
      </c>
      <c r="F948" s="53">
        <v>541</v>
      </c>
      <c r="G948" s="42">
        <v>1.4651426576123257E-3</v>
      </c>
      <c r="H948" s="39">
        <v>164.5</v>
      </c>
      <c r="I948" s="39">
        <v>282</v>
      </c>
      <c r="J948" s="39"/>
    </row>
    <row r="949" spans="2:10" ht="51" x14ac:dyDescent="0.2">
      <c r="B949" s="4" t="s">
        <v>1790</v>
      </c>
      <c r="C949" s="12" t="s">
        <v>1791</v>
      </c>
      <c r="D949" s="6" t="s">
        <v>66</v>
      </c>
      <c r="E949" s="6" t="s">
        <v>33</v>
      </c>
      <c r="F949" s="53">
        <v>165.5</v>
      </c>
      <c r="G949" s="42">
        <v>1.4651426576123257E-3</v>
      </c>
      <c r="H949" s="39">
        <v>23.338000000000001</v>
      </c>
      <c r="I949" s="39">
        <v>40.008000000000003</v>
      </c>
      <c r="J949" s="39"/>
    </row>
    <row r="950" spans="2:10" ht="25.5" x14ac:dyDescent="0.2">
      <c r="B950" s="4" t="s">
        <v>1792</v>
      </c>
      <c r="C950" s="9" t="s">
        <v>1793</v>
      </c>
      <c r="D950" s="6" t="s">
        <v>66</v>
      </c>
      <c r="E950" s="6" t="s">
        <v>33</v>
      </c>
      <c r="F950" s="53">
        <v>138</v>
      </c>
      <c r="G950" s="42">
        <v>1.4651426576123257E-3</v>
      </c>
      <c r="H950" s="39">
        <v>38.975999999999999</v>
      </c>
      <c r="I950" s="39">
        <v>66.816000000000003</v>
      </c>
      <c r="J950" s="39"/>
    </row>
    <row r="951" spans="2:10" ht="38.25" x14ac:dyDescent="0.2">
      <c r="B951" s="4" t="s">
        <v>1794</v>
      </c>
      <c r="C951" s="5" t="s">
        <v>1795</v>
      </c>
      <c r="D951" s="6" t="s">
        <v>66</v>
      </c>
      <c r="E951" s="6" t="s">
        <v>33</v>
      </c>
      <c r="F951" s="53">
        <v>345.5</v>
      </c>
      <c r="G951" s="42">
        <v>1.4651426576123257E-3</v>
      </c>
      <c r="H951" s="39">
        <v>105.056</v>
      </c>
      <c r="I951" s="39">
        <v>180.096</v>
      </c>
      <c r="J951" s="39"/>
    </row>
    <row r="952" spans="2:10" ht="25.5" x14ac:dyDescent="0.2">
      <c r="B952" s="4" t="s">
        <v>1796</v>
      </c>
      <c r="C952" s="9" t="s">
        <v>1793</v>
      </c>
      <c r="D952" s="6" t="s">
        <v>66</v>
      </c>
      <c r="E952" s="6" t="s">
        <v>33</v>
      </c>
      <c r="F952" s="53">
        <v>276.5</v>
      </c>
      <c r="G952" s="42">
        <v>1.4651426576123257E-3</v>
      </c>
      <c r="H952" s="39">
        <v>84.042000000000002</v>
      </c>
      <c r="I952" s="39">
        <v>144.072</v>
      </c>
      <c r="J952" s="39"/>
    </row>
    <row r="953" spans="2:10" ht="25.5" x14ac:dyDescent="0.2">
      <c r="B953" s="4" t="s">
        <v>1797</v>
      </c>
      <c r="C953" s="5" t="s">
        <v>1798</v>
      </c>
      <c r="D953" s="6" t="s">
        <v>32</v>
      </c>
      <c r="E953" s="6" t="s">
        <v>33</v>
      </c>
      <c r="F953" s="53">
        <v>96.5</v>
      </c>
      <c r="G953" s="42">
        <v>1.4651426576123257E-3</v>
      </c>
      <c r="H953" s="39">
        <v>16.666999999999998</v>
      </c>
      <c r="I953" s="39">
        <v>28.571999999999999</v>
      </c>
      <c r="J953" s="39"/>
    </row>
    <row r="954" spans="2:10" x14ac:dyDescent="0.2">
      <c r="B954" s="4" t="s">
        <v>1799</v>
      </c>
      <c r="C954" s="5" t="s">
        <v>1800</v>
      </c>
      <c r="D954" s="6" t="s">
        <v>32</v>
      </c>
      <c r="E954" s="6" t="s">
        <v>33</v>
      </c>
      <c r="F954" s="53">
        <v>100</v>
      </c>
      <c r="G954" s="42">
        <v>1.4651426576123257E-3</v>
      </c>
      <c r="H954" s="39">
        <v>22.224999999999998</v>
      </c>
      <c r="I954" s="39">
        <v>38.1</v>
      </c>
      <c r="J954" s="39"/>
    </row>
    <row r="955" spans="2:10" x14ac:dyDescent="0.2">
      <c r="B955" s="4" t="s">
        <v>1801</v>
      </c>
      <c r="C955" s="5" t="s">
        <v>1802</v>
      </c>
      <c r="D955" s="6" t="s">
        <v>32</v>
      </c>
      <c r="E955" s="6" t="s">
        <v>33</v>
      </c>
      <c r="F955" s="53">
        <v>107</v>
      </c>
      <c r="G955" s="42">
        <v>1.4651426576123257E-3</v>
      </c>
      <c r="H955" s="39">
        <v>27.782999999999998</v>
      </c>
      <c r="I955" s="39">
        <v>47.627999999999993</v>
      </c>
      <c r="J955" s="39"/>
    </row>
    <row r="956" spans="2:10" ht="25.5" x14ac:dyDescent="0.2">
      <c r="B956" s="4" t="s">
        <v>1803</v>
      </c>
      <c r="C956" s="5" t="s">
        <v>1804</v>
      </c>
      <c r="D956" s="6" t="s">
        <v>42</v>
      </c>
      <c r="E956" s="6" t="s">
        <v>33</v>
      </c>
      <c r="F956" s="53">
        <v>9.1999999999999993</v>
      </c>
      <c r="G956" s="42">
        <v>1.4651426576123257E-3</v>
      </c>
      <c r="H956" s="39">
        <v>2.8</v>
      </c>
      <c r="I956" s="39">
        <v>4.8</v>
      </c>
      <c r="J956" s="39"/>
    </row>
    <row r="957" spans="2:10" ht="25.5" x14ac:dyDescent="0.2">
      <c r="B957" s="4" t="s">
        <v>1805</v>
      </c>
      <c r="C957" s="5" t="s">
        <v>1806</v>
      </c>
      <c r="D957" s="6" t="s">
        <v>42</v>
      </c>
      <c r="E957" s="6" t="s">
        <v>33</v>
      </c>
      <c r="F957" s="53">
        <v>11.5</v>
      </c>
      <c r="G957" s="42">
        <v>1.4651426576123257E-3</v>
      </c>
      <c r="H957" s="39">
        <v>3.5</v>
      </c>
      <c r="I957" s="39">
        <v>6</v>
      </c>
      <c r="J957" s="39"/>
    </row>
    <row r="958" spans="2:10" x14ac:dyDescent="0.2">
      <c r="B958" s="4" t="s">
        <v>1807</v>
      </c>
      <c r="C958" s="5" t="s">
        <v>1808</v>
      </c>
      <c r="D958" s="6" t="s">
        <v>66</v>
      </c>
      <c r="E958" s="6" t="s">
        <v>33</v>
      </c>
      <c r="F958" s="53">
        <v>18.399999999999999</v>
      </c>
      <c r="G958" s="42">
        <v>1.4651426576123257E-3</v>
      </c>
      <c r="H958" s="39">
        <v>5.6</v>
      </c>
      <c r="I958" s="39">
        <v>9.6</v>
      </c>
      <c r="J958" s="39"/>
    </row>
    <row r="959" spans="2:10" x14ac:dyDescent="0.2">
      <c r="B959" s="4" t="s">
        <v>1809</v>
      </c>
      <c r="C959" s="5" t="s">
        <v>1810</v>
      </c>
      <c r="D959" s="6" t="s">
        <v>42</v>
      </c>
      <c r="E959" s="6" t="s">
        <v>33</v>
      </c>
      <c r="F959" s="53">
        <v>25.3</v>
      </c>
      <c r="G959" s="42">
        <v>1.4651426576123257E-3</v>
      </c>
      <c r="H959" s="39">
        <v>7.6999999999999993</v>
      </c>
      <c r="I959" s="39">
        <v>13.2</v>
      </c>
      <c r="J959" s="39"/>
    </row>
    <row r="960" spans="2:10" ht="25.5" x14ac:dyDescent="0.2">
      <c r="B960" s="4" t="s">
        <v>1811</v>
      </c>
      <c r="C960" s="5" t="s">
        <v>1812</v>
      </c>
      <c r="D960" s="6" t="s">
        <v>42</v>
      </c>
      <c r="E960" s="6" t="s">
        <v>33</v>
      </c>
      <c r="F960" s="53">
        <v>236</v>
      </c>
      <c r="G960" s="42">
        <v>1.4651426576123257E-3</v>
      </c>
      <c r="H960" s="39">
        <v>71.75</v>
      </c>
      <c r="I960" s="39">
        <v>123</v>
      </c>
      <c r="J960" s="39"/>
    </row>
    <row r="961" spans="2:10" ht="38.25" x14ac:dyDescent="0.2">
      <c r="B961" s="8" t="s">
        <v>1813</v>
      </c>
      <c r="C961" s="5" t="s">
        <v>1814</v>
      </c>
      <c r="D961" s="6"/>
      <c r="E961" s="6"/>
      <c r="F961" s="50"/>
      <c r="G961" s="40" t="e">
        <f>#REF!/(COUNTA(#REF!))</f>
        <v>#REF!</v>
      </c>
      <c r="H961" s="39" t="s">
        <v>49</v>
      </c>
      <c r="I961" s="39" t="s">
        <v>49</v>
      </c>
      <c r="J961" s="39"/>
    </row>
    <row r="962" spans="2:10" x14ac:dyDescent="0.2">
      <c r="B962" s="4" t="s">
        <v>1815</v>
      </c>
      <c r="C962" s="5" t="s">
        <v>1816</v>
      </c>
      <c r="D962" s="6"/>
      <c r="E962" s="6"/>
      <c r="F962" s="50"/>
      <c r="G962" s="42">
        <v>4.1899999999999999E-4</v>
      </c>
      <c r="H962" s="39" t="s">
        <v>49</v>
      </c>
      <c r="I962" s="39" t="s">
        <v>49</v>
      </c>
      <c r="J962" s="39"/>
    </row>
    <row r="963" spans="2:10" ht="38.25" x14ac:dyDescent="0.2">
      <c r="B963" s="4" t="s">
        <v>1817</v>
      </c>
      <c r="C963" s="9" t="s">
        <v>1818</v>
      </c>
      <c r="D963" s="6" t="s">
        <v>42</v>
      </c>
      <c r="E963" s="6" t="s">
        <v>33</v>
      </c>
      <c r="F963" s="53">
        <v>19.3</v>
      </c>
      <c r="G963" s="42">
        <v>4.1899999999999999E-4</v>
      </c>
      <c r="H963" s="39">
        <v>5.88</v>
      </c>
      <c r="I963" s="39">
        <v>10.08</v>
      </c>
      <c r="J963" s="39"/>
    </row>
    <row r="964" spans="2:10" ht="38.25" x14ac:dyDescent="0.2">
      <c r="B964" s="4" t="s">
        <v>1819</v>
      </c>
      <c r="C964" s="5" t="s">
        <v>1820</v>
      </c>
      <c r="D964" s="6" t="s">
        <v>42</v>
      </c>
      <c r="E964" s="6" t="s">
        <v>33</v>
      </c>
      <c r="F964" s="53">
        <v>30</v>
      </c>
      <c r="G964" s="42">
        <v>4.1899999999999999E-4</v>
      </c>
      <c r="H964" s="39">
        <v>9.2399999999999984</v>
      </c>
      <c r="I964" s="39">
        <v>15.839999999999998</v>
      </c>
      <c r="J964" s="39"/>
    </row>
    <row r="965" spans="2:10" ht="45.75" customHeight="1" x14ac:dyDescent="0.2">
      <c r="B965" s="4" t="s">
        <v>1821</v>
      </c>
      <c r="C965" s="9" t="s">
        <v>1822</v>
      </c>
      <c r="D965" s="6" t="s">
        <v>42</v>
      </c>
      <c r="E965" s="6" t="s">
        <v>33</v>
      </c>
      <c r="F965" s="53">
        <v>17.899999999999999</v>
      </c>
      <c r="G965" s="42">
        <v>4.1899999999999999E-4</v>
      </c>
      <c r="H965" s="39">
        <v>5.4529999999999994</v>
      </c>
      <c r="I965" s="39">
        <v>9.347999999999999</v>
      </c>
      <c r="J965" s="39"/>
    </row>
    <row r="966" spans="2:10" x14ac:dyDescent="0.2">
      <c r="B966" s="4" t="s">
        <v>1823</v>
      </c>
      <c r="C966" s="5" t="s">
        <v>1824</v>
      </c>
      <c r="D966" s="6" t="s">
        <v>42</v>
      </c>
      <c r="E966" s="6" t="s">
        <v>33</v>
      </c>
      <c r="F966" s="53">
        <v>22</v>
      </c>
      <c r="G966" s="42">
        <v>4.1899999999999999E-4</v>
      </c>
      <c r="H966" s="39">
        <v>6.72</v>
      </c>
      <c r="I966" s="39">
        <v>11.52</v>
      </c>
      <c r="J966" s="39"/>
    </row>
    <row r="967" spans="2:10" x14ac:dyDescent="0.2">
      <c r="B967" s="4" t="s">
        <v>1825</v>
      </c>
      <c r="C967" s="5" t="s">
        <v>1826</v>
      </c>
      <c r="D967" s="6" t="s">
        <v>42</v>
      </c>
      <c r="E967" s="6" t="s">
        <v>33</v>
      </c>
      <c r="F967" s="53">
        <v>22</v>
      </c>
      <c r="G967" s="42">
        <v>4.1899999999999999E-4</v>
      </c>
      <c r="H967" s="39">
        <v>6.72</v>
      </c>
      <c r="I967" s="39">
        <v>11.52</v>
      </c>
      <c r="J967" s="39"/>
    </row>
    <row r="968" spans="2:10" x14ac:dyDescent="0.2">
      <c r="B968" s="4" t="s">
        <v>1827</v>
      </c>
      <c r="C968" s="5" t="s">
        <v>1828</v>
      </c>
      <c r="D968" s="6" t="s">
        <v>42</v>
      </c>
      <c r="E968" s="6" t="s">
        <v>33</v>
      </c>
      <c r="F968" s="53">
        <v>19</v>
      </c>
      <c r="G968" s="42">
        <v>4.1899999999999999E-4</v>
      </c>
      <c r="H968" s="39">
        <v>5.88</v>
      </c>
      <c r="I968" s="39">
        <v>10.08</v>
      </c>
      <c r="J968" s="39"/>
    </row>
    <row r="969" spans="2:10" x14ac:dyDescent="0.2">
      <c r="B969" s="4" t="s">
        <v>1829</v>
      </c>
      <c r="C969" s="5" t="s">
        <v>1830</v>
      </c>
      <c r="D969" s="6" t="s">
        <v>42</v>
      </c>
      <c r="E969" s="6" t="s">
        <v>33</v>
      </c>
      <c r="F969" s="53">
        <v>27</v>
      </c>
      <c r="G969" s="42">
        <v>4.1899999999999999E-4</v>
      </c>
      <c r="H969" s="39">
        <v>8.3230000000000004</v>
      </c>
      <c r="I969" s="39">
        <v>14.268000000000001</v>
      </c>
      <c r="J969" s="39"/>
    </row>
    <row r="970" spans="2:10" ht="38.25" x14ac:dyDescent="0.2">
      <c r="B970" s="4" t="s">
        <v>1831</v>
      </c>
      <c r="C970" s="9" t="s">
        <v>1832</v>
      </c>
      <c r="D970" s="6" t="s">
        <v>42</v>
      </c>
      <c r="E970" s="6" t="s">
        <v>33</v>
      </c>
      <c r="F970" s="53">
        <v>12.35</v>
      </c>
      <c r="G970" s="42">
        <v>4.1899999999999999E-4</v>
      </c>
      <c r="H970" s="39">
        <v>3.78</v>
      </c>
      <c r="I970" s="39">
        <v>6.48</v>
      </c>
      <c r="J970" s="39"/>
    </row>
    <row r="971" spans="2:10" x14ac:dyDescent="0.2">
      <c r="B971" s="4" t="s">
        <v>1833</v>
      </c>
      <c r="C971" s="5" t="s">
        <v>1824</v>
      </c>
      <c r="D971" s="6" t="s">
        <v>42</v>
      </c>
      <c r="E971" s="6" t="s">
        <v>33</v>
      </c>
      <c r="F971" s="53">
        <v>16.5</v>
      </c>
      <c r="G971" s="42">
        <v>4.1899999999999999E-4</v>
      </c>
      <c r="H971" s="39">
        <v>4.6759999999999993</v>
      </c>
      <c r="I971" s="39">
        <v>8.016</v>
      </c>
      <c r="J971" s="39"/>
    </row>
    <row r="972" spans="2:10" x14ac:dyDescent="0.2">
      <c r="B972" s="4" t="s">
        <v>1834</v>
      </c>
      <c r="C972" s="5" t="s">
        <v>1826</v>
      </c>
      <c r="D972" s="6" t="s">
        <v>42</v>
      </c>
      <c r="E972" s="6" t="s">
        <v>33</v>
      </c>
      <c r="F972" s="53">
        <v>17.350000000000001</v>
      </c>
      <c r="G972" s="42">
        <v>4.1899999999999999E-4</v>
      </c>
      <c r="H972" s="39">
        <v>5.2919999999999998</v>
      </c>
      <c r="I972" s="39">
        <v>9.0719999999999992</v>
      </c>
      <c r="J972" s="39"/>
    </row>
    <row r="973" spans="2:10" x14ac:dyDescent="0.2">
      <c r="B973" s="4" t="s">
        <v>1835</v>
      </c>
      <c r="C973" s="5" t="s">
        <v>1828</v>
      </c>
      <c r="D973" s="6" t="s">
        <v>42</v>
      </c>
      <c r="E973" s="6" t="s">
        <v>33</v>
      </c>
      <c r="F973" s="53">
        <v>13.8</v>
      </c>
      <c r="G973" s="42">
        <v>4.1899999999999999E-4</v>
      </c>
      <c r="H973" s="39">
        <v>4.1999999999999993</v>
      </c>
      <c r="I973" s="39">
        <v>7.1999999999999993</v>
      </c>
      <c r="J973" s="39"/>
    </row>
    <row r="974" spans="2:10" x14ac:dyDescent="0.2">
      <c r="B974" s="4" t="s">
        <v>1836</v>
      </c>
      <c r="C974" s="5" t="s">
        <v>1830</v>
      </c>
      <c r="D974" s="6" t="s">
        <v>42</v>
      </c>
      <c r="E974" s="6" t="s">
        <v>33</v>
      </c>
      <c r="F974" s="53">
        <v>26.5</v>
      </c>
      <c r="G974" s="42">
        <v>4.1899999999999999E-4</v>
      </c>
      <c r="H974" s="39">
        <v>6.6639999999999997</v>
      </c>
      <c r="I974" s="39">
        <v>11.423999999999999</v>
      </c>
      <c r="J974" s="39"/>
    </row>
    <row r="975" spans="2:10" x14ac:dyDescent="0.2">
      <c r="B975" s="4" t="s">
        <v>1837</v>
      </c>
      <c r="C975" s="5" t="s">
        <v>1838</v>
      </c>
      <c r="D975" s="6"/>
      <c r="E975" s="6"/>
      <c r="F975" s="50"/>
      <c r="G975" s="42">
        <v>4.1899999999999999E-4</v>
      </c>
      <c r="H975" s="39" t="s">
        <v>49</v>
      </c>
      <c r="I975" s="39" t="s">
        <v>49</v>
      </c>
      <c r="J975" s="39"/>
    </row>
    <row r="976" spans="2:10" ht="25.5" x14ac:dyDescent="0.2">
      <c r="B976" s="4" t="s">
        <v>1839</v>
      </c>
      <c r="C976" s="9" t="s">
        <v>1840</v>
      </c>
      <c r="D976" s="6" t="s">
        <v>42</v>
      </c>
      <c r="E976" s="6" t="s">
        <v>33</v>
      </c>
      <c r="F976" s="53">
        <v>27.5</v>
      </c>
      <c r="G976" s="42">
        <v>4.1899999999999999E-4</v>
      </c>
      <c r="H976" s="39">
        <v>8.407</v>
      </c>
      <c r="I976" s="39">
        <v>14.411999999999999</v>
      </c>
      <c r="J976" s="39"/>
    </row>
    <row r="977" spans="2:10" x14ac:dyDescent="0.2">
      <c r="B977" s="4" t="s">
        <v>1841</v>
      </c>
      <c r="C977" s="5" t="s">
        <v>1842</v>
      </c>
      <c r="D977" s="6" t="s">
        <v>42</v>
      </c>
      <c r="E977" s="6" t="s">
        <v>33</v>
      </c>
      <c r="F977" s="53">
        <v>19</v>
      </c>
      <c r="G977" s="42">
        <v>4.1899999999999999E-4</v>
      </c>
      <c r="H977" s="39">
        <v>5.88</v>
      </c>
      <c r="I977" s="39">
        <v>10.08</v>
      </c>
      <c r="J977" s="39"/>
    </row>
    <row r="978" spans="2:10" x14ac:dyDescent="0.2">
      <c r="B978" s="4" t="s">
        <v>1843</v>
      </c>
      <c r="C978" s="9" t="s">
        <v>1844</v>
      </c>
      <c r="D978" s="6" t="s">
        <v>42</v>
      </c>
      <c r="E978" s="6" t="s">
        <v>33</v>
      </c>
      <c r="F978" s="53">
        <v>33</v>
      </c>
      <c r="G978" s="42">
        <v>4.1899999999999999E-4</v>
      </c>
      <c r="H978" s="39">
        <v>10.087</v>
      </c>
      <c r="I978" s="39">
        <v>17.291999999999998</v>
      </c>
      <c r="J978" s="39"/>
    </row>
    <row r="979" spans="2:10" ht="25.5" x14ac:dyDescent="0.2">
      <c r="B979" s="4" t="s">
        <v>1845</v>
      </c>
      <c r="C979" s="5" t="s">
        <v>1846</v>
      </c>
      <c r="D979" s="6" t="s">
        <v>42</v>
      </c>
      <c r="E979" s="6" t="s">
        <v>33</v>
      </c>
      <c r="F979" s="53">
        <v>11</v>
      </c>
      <c r="G979" s="42">
        <v>4.1899999999999999E-4</v>
      </c>
      <c r="H979" s="39">
        <v>3.1149999999999998</v>
      </c>
      <c r="I979" s="39">
        <v>5.34</v>
      </c>
      <c r="J979" s="39"/>
    </row>
    <row r="980" spans="2:10" x14ac:dyDescent="0.2">
      <c r="B980" s="4" t="s">
        <v>1847</v>
      </c>
      <c r="C980" s="9" t="s">
        <v>1848</v>
      </c>
      <c r="D980" s="6" t="s">
        <v>42</v>
      </c>
      <c r="E980" s="6" t="s">
        <v>33</v>
      </c>
      <c r="F980" s="53">
        <v>27.5</v>
      </c>
      <c r="G980" s="42">
        <v>4.1899999999999999E-4</v>
      </c>
      <c r="H980" s="39">
        <v>8.407</v>
      </c>
      <c r="I980" s="39">
        <v>14.411999999999999</v>
      </c>
      <c r="J980" s="39"/>
    </row>
    <row r="981" spans="2:10" ht="25.5" x14ac:dyDescent="0.2">
      <c r="B981" s="4" t="s">
        <v>1849</v>
      </c>
      <c r="C981" s="19" t="s">
        <v>1850</v>
      </c>
      <c r="D981" s="6" t="s">
        <v>42</v>
      </c>
      <c r="E981" s="6" t="s">
        <v>33</v>
      </c>
      <c r="F981" s="53">
        <v>16.5</v>
      </c>
      <c r="G981" s="42">
        <v>4.1899999999999999E-4</v>
      </c>
      <c r="H981" s="39">
        <v>5.04</v>
      </c>
      <c r="I981" s="39">
        <v>8.64</v>
      </c>
      <c r="J981" s="39"/>
    </row>
    <row r="982" spans="2:10" x14ac:dyDescent="0.2">
      <c r="B982" s="4" t="s">
        <v>1851</v>
      </c>
      <c r="C982" s="5" t="s">
        <v>1852</v>
      </c>
      <c r="D982" s="6" t="s">
        <v>42</v>
      </c>
      <c r="E982" s="6" t="s">
        <v>33</v>
      </c>
      <c r="F982" s="53">
        <v>22</v>
      </c>
      <c r="G982" s="42">
        <v>4.1899999999999999E-4</v>
      </c>
      <c r="H982" s="39">
        <v>6.72</v>
      </c>
      <c r="I982" s="39">
        <v>11.52</v>
      </c>
      <c r="J982" s="39"/>
    </row>
    <row r="983" spans="2:10" x14ac:dyDescent="0.2">
      <c r="B983" s="4" t="s">
        <v>1853</v>
      </c>
      <c r="C983" s="5" t="s">
        <v>1854</v>
      </c>
      <c r="D983" s="6" t="s">
        <v>66</v>
      </c>
      <c r="E983" s="6" t="s">
        <v>33</v>
      </c>
      <c r="F983" s="53">
        <v>33.5</v>
      </c>
      <c r="G983" s="42">
        <v>4.1899999999999999E-4</v>
      </c>
      <c r="H983" s="39">
        <v>10.199</v>
      </c>
      <c r="I983" s="39">
        <v>17.483999999999998</v>
      </c>
      <c r="J983" s="39"/>
    </row>
    <row r="984" spans="2:10" ht="38.25" x14ac:dyDescent="0.2">
      <c r="B984" s="4" t="s">
        <v>1855</v>
      </c>
      <c r="C984" s="9" t="s">
        <v>1856</v>
      </c>
      <c r="D984" s="6" t="s">
        <v>42</v>
      </c>
      <c r="E984" s="6" t="s">
        <v>33</v>
      </c>
      <c r="F984" s="53">
        <v>41.3</v>
      </c>
      <c r="G984" s="42">
        <v>4.1899999999999999E-4</v>
      </c>
      <c r="H984" s="39">
        <v>12.6</v>
      </c>
      <c r="I984" s="39">
        <v>21.599999999999998</v>
      </c>
      <c r="J984" s="39"/>
    </row>
    <row r="985" spans="2:10" x14ac:dyDescent="0.2">
      <c r="B985" s="4" t="s">
        <v>1857</v>
      </c>
      <c r="C985" s="5" t="s">
        <v>1858</v>
      </c>
      <c r="D985" s="6" t="s">
        <v>42</v>
      </c>
      <c r="E985" s="6" t="s">
        <v>33</v>
      </c>
      <c r="F985" s="53">
        <v>44</v>
      </c>
      <c r="G985" s="42">
        <v>4.1899999999999999E-4</v>
      </c>
      <c r="H985" s="39">
        <v>13.44</v>
      </c>
      <c r="I985" s="39">
        <v>23.04</v>
      </c>
      <c r="J985" s="39"/>
    </row>
    <row r="986" spans="2:10" ht="38.25" x14ac:dyDescent="0.2">
      <c r="B986" s="4" t="s">
        <v>1859</v>
      </c>
      <c r="C986" s="9" t="s">
        <v>1860</v>
      </c>
      <c r="D986" s="6" t="s">
        <v>42</v>
      </c>
      <c r="E986" s="6" t="s">
        <v>33</v>
      </c>
      <c r="F986" s="53">
        <v>41.4</v>
      </c>
      <c r="G986" s="42">
        <v>4.1899999999999999E-4</v>
      </c>
      <c r="H986" s="39">
        <v>12.6</v>
      </c>
      <c r="I986" s="39">
        <v>21.599999999999998</v>
      </c>
      <c r="J986" s="39"/>
    </row>
    <row r="987" spans="2:10" x14ac:dyDescent="0.2">
      <c r="B987" s="4" t="s">
        <v>1861</v>
      </c>
      <c r="C987" s="5" t="s">
        <v>1862</v>
      </c>
      <c r="D987" s="6" t="s">
        <v>42</v>
      </c>
      <c r="E987" s="6" t="s">
        <v>33</v>
      </c>
      <c r="F987" s="53">
        <v>44</v>
      </c>
      <c r="G987" s="42">
        <v>4.1899999999999999E-4</v>
      </c>
      <c r="H987" s="39">
        <v>13.44</v>
      </c>
      <c r="I987" s="39">
        <v>23.04</v>
      </c>
      <c r="J987" s="39"/>
    </row>
    <row r="988" spans="2:10" x14ac:dyDescent="0.2">
      <c r="B988" s="4" t="s">
        <v>1863</v>
      </c>
      <c r="C988" s="5" t="s">
        <v>1864</v>
      </c>
      <c r="D988" s="6" t="s">
        <v>42</v>
      </c>
      <c r="E988" s="6" t="s">
        <v>33</v>
      </c>
      <c r="F988" s="53">
        <v>47</v>
      </c>
      <c r="G988" s="42">
        <v>4.1899999999999999E-4</v>
      </c>
      <c r="H988" s="39">
        <v>13.250999999999999</v>
      </c>
      <c r="I988" s="39">
        <v>22.715999999999998</v>
      </c>
      <c r="J988" s="39"/>
    </row>
    <row r="989" spans="2:10" ht="25.5" x14ac:dyDescent="0.2">
      <c r="B989" s="4" t="s">
        <v>1865</v>
      </c>
      <c r="C989" s="5" t="s">
        <v>1866</v>
      </c>
      <c r="D989" s="6" t="s">
        <v>42</v>
      </c>
      <c r="E989" s="6" t="s">
        <v>33</v>
      </c>
      <c r="F989" s="53">
        <v>55</v>
      </c>
      <c r="G989" s="42">
        <v>4.1899999999999999E-4</v>
      </c>
      <c r="H989" s="39">
        <v>16.806999999999999</v>
      </c>
      <c r="I989" s="39">
        <v>28.812000000000001</v>
      </c>
      <c r="J989" s="39"/>
    </row>
    <row r="990" spans="2:10" x14ac:dyDescent="0.2">
      <c r="B990" s="4" t="s">
        <v>1867</v>
      </c>
      <c r="C990" s="5" t="s">
        <v>1868</v>
      </c>
      <c r="D990" s="6"/>
      <c r="E990" s="6"/>
      <c r="F990" s="50"/>
      <c r="G990" s="42">
        <v>4.1899999999999999E-4</v>
      </c>
      <c r="H990" s="39" t="s">
        <v>49</v>
      </c>
      <c r="I990" s="39" t="s">
        <v>49</v>
      </c>
      <c r="J990" s="39"/>
    </row>
    <row r="991" spans="2:10" ht="25.5" x14ac:dyDescent="0.2">
      <c r="B991" s="4" t="s">
        <v>1869</v>
      </c>
      <c r="C991" s="5" t="s">
        <v>1870</v>
      </c>
      <c r="D991" s="6" t="s">
        <v>32</v>
      </c>
      <c r="E991" s="6" t="s">
        <v>33</v>
      </c>
      <c r="F991" s="53">
        <v>13.5</v>
      </c>
      <c r="G991" s="42">
        <v>4.1899999999999999E-4</v>
      </c>
      <c r="H991" s="39">
        <v>3.3319999999999999</v>
      </c>
      <c r="I991" s="39">
        <v>5.7119999999999997</v>
      </c>
      <c r="J991" s="39"/>
    </row>
    <row r="992" spans="2:10" x14ac:dyDescent="0.2">
      <c r="B992" s="4" t="s">
        <v>1871</v>
      </c>
      <c r="C992" s="5" t="s">
        <v>1872</v>
      </c>
      <c r="D992" s="6" t="s">
        <v>32</v>
      </c>
      <c r="E992" s="6" t="s">
        <v>33</v>
      </c>
      <c r="F992" s="53">
        <v>27.5</v>
      </c>
      <c r="G992" s="42">
        <v>4.1899999999999999E-4</v>
      </c>
      <c r="H992" s="39">
        <v>8.407</v>
      </c>
      <c r="I992" s="39">
        <v>14.411999999999999</v>
      </c>
      <c r="J992" s="39"/>
    </row>
    <row r="993" spans="2:10" ht="25.5" x14ac:dyDescent="0.2">
      <c r="B993" s="4" t="s">
        <v>1873</v>
      </c>
      <c r="C993" s="9" t="s">
        <v>1874</v>
      </c>
      <c r="D993" s="6" t="s">
        <v>42</v>
      </c>
      <c r="E993" s="6" t="s">
        <v>33</v>
      </c>
      <c r="F993" s="53">
        <v>33</v>
      </c>
      <c r="G993" s="42">
        <v>4.1899999999999999E-4</v>
      </c>
      <c r="H993" s="39">
        <v>10.087</v>
      </c>
      <c r="I993" s="39">
        <v>17.291999999999998</v>
      </c>
      <c r="J993" s="39"/>
    </row>
    <row r="994" spans="2:10" ht="25.5" x14ac:dyDescent="0.2">
      <c r="B994" s="4" t="s">
        <v>1875</v>
      </c>
      <c r="C994" s="9" t="s">
        <v>1876</v>
      </c>
      <c r="D994" s="6" t="s">
        <v>42</v>
      </c>
      <c r="E994" s="6" t="s">
        <v>33</v>
      </c>
      <c r="F994" s="53">
        <v>41</v>
      </c>
      <c r="G994" s="42">
        <v>4.1899999999999999E-4</v>
      </c>
      <c r="H994" s="39">
        <v>12.6</v>
      </c>
      <c r="I994" s="39">
        <v>21.599999999999998</v>
      </c>
      <c r="J994" s="39"/>
    </row>
    <row r="995" spans="2:10" ht="25.5" x14ac:dyDescent="0.2">
      <c r="B995" s="4" t="s">
        <v>1877</v>
      </c>
      <c r="C995" s="9" t="s">
        <v>1878</v>
      </c>
      <c r="D995" s="6" t="s">
        <v>42</v>
      </c>
      <c r="E995" s="6" t="s">
        <v>33</v>
      </c>
      <c r="F995" s="53">
        <v>47</v>
      </c>
      <c r="G995" s="42">
        <v>4.1899999999999999E-4</v>
      </c>
      <c r="H995" s="39">
        <v>14.286999999999999</v>
      </c>
      <c r="I995" s="39">
        <v>24.492000000000001</v>
      </c>
      <c r="J995" s="39"/>
    </row>
    <row r="996" spans="2:10" ht="38.25" x14ac:dyDescent="0.2">
      <c r="B996" s="4" t="s">
        <v>1879</v>
      </c>
      <c r="C996" s="9" t="s">
        <v>1880</v>
      </c>
      <c r="D996" s="6" t="s">
        <v>42</v>
      </c>
      <c r="E996" s="6" t="s">
        <v>33</v>
      </c>
      <c r="F996" s="53">
        <v>41</v>
      </c>
      <c r="G996" s="42">
        <v>4.1899999999999999E-4</v>
      </c>
      <c r="H996" s="39">
        <v>12.6</v>
      </c>
      <c r="I996" s="39">
        <v>21.599999999999998</v>
      </c>
      <c r="J996" s="39"/>
    </row>
    <row r="997" spans="2:10" ht="25.5" x14ac:dyDescent="0.2">
      <c r="B997" s="4" t="s">
        <v>1881</v>
      </c>
      <c r="C997" s="9" t="s">
        <v>1882</v>
      </c>
      <c r="D997" s="6" t="s">
        <v>42</v>
      </c>
      <c r="E997" s="6" t="s">
        <v>33</v>
      </c>
      <c r="F997" s="53">
        <v>83</v>
      </c>
      <c r="G997" s="42">
        <v>4.1899999999999999E-4</v>
      </c>
      <c r="H997" s="39">
        <v>25.214000000000002</v>
      </c>
      <c r="I997" s="39">
        <v>43.224000000000004</v>
      </c>
      <c r="J997" s="39"/>
    </row>
    <row r="998" spans="2:10" ht="25.5" x14ac:dyDescent="0.2">
      <c r="B998" s="4" t="s">
        <v>1883</v>
      </c>
      <c r="C998" s="17" t="s">
        <v>1884</v>
      </c>
      <c r="D998" s="6" t="s">
        <v>42</v>
      </c>
      <c r="E998" s="6" t="s">
        <v>33</v>
      </c>
      <c r="F998" s="53">
        <v>83</v>
      </c>
      <c r="G998" s="42">
        <v>4.1899999999999999E-4</v>
      </c>
      <c r="H998" s="39">
        <v>15.399999999999999</v>
      </c>
      <c r="I998" s="39">
        <v>26.4</v>
      </c>
      <c r="J998" s="39"/>
    </row>
    <row r="999" spans="2:10" ht="25.5" x14ac:dyDescent="0.2">
      <c r="B999" s="4" t="s">
        <v>1885</v>
      </c>
      <c r="C999" s="5" t="s">
        <v>1886</v>
      </c>
      <c r="D999" s="6" t="s">
        <v>42</v>
      </c>
      <c r="E999" s="6" t="s">
        <v>33</v>
      </c>
      <c r="F999" s="53">
        <v>83</v>
      </c>
      <c r="G999" s="42">
        <v>4.1899999999999999E-4</v>
      </c>
      <c r="H999" s="39">
        <v>38.5</v>
      </c>
      <c r="I999" s="39">
        <v>66</v>
      </c>
      <c r="J999" s="39"/>
    </row>
    <row r="1000" spans="2:10" x14ac:dyDescent="0.2">
      <c r="B1000" s="4" t="s">
        <v>1887</v>
      </c>
      <c r="C1000" s="5" t="s">
        <v>1888</v>
      </c>
      <c r="D1000" s="6"/>
      <c r="E1000" s="6"/>
      <c r="F1000" s="50"/>
      <c r="G1000" s="42">
        <v>4.1899999999999999E-4</v>
      </c>
      <c r="H1000" s="39" t="s">
        <v>49</v>
      </c>
      <c r="I1000" s="39" t="s">
        <v>49</v>
      </c>
      <c r="J1000" s="39"/>
    </row>
    <row r="1001" spans="2:10" x14ac:dyDescent="0.2">
      <c r="B1001" s="4" t="s">
        <v>1889</v>
      </c>
      <c r="C1001" s="9" t="s">
        <v>1890</v>
      </c>
      <c r="D1001" s="6" t="s">
        <v>42</v>
      </c>
      <c r="E1001" s="6" t="s">
        <v>33</v>
      </c>
      <c r="F1001" s="53">
        <v>28</v>
      </c>
      <c r="G1001" s="42">
        <v>4.1899999999999999E-4</v>
      </c>
      <c r="H1001" s="39">
        <v>8.61</v>
      </c>
      <c r="I1001" s="39">
        <v>14.76</v>
      </c>
      <c r="J1001" s="39"/>
    </row>
    <row r="1002" spans="2:10" x14ac:dyDescent="0.2">
      <c r="B1002" s="4" t="s">
        <v>1891</v>
      </c>
      <c r="C1002" s="9" t="s">
        <v>1892</v>
      </c>
      <c r="D1002" s="6" t="s">
        <v>42</v>
      </c>
      <c r="E1002" s="6" t="s">
        <v>33</v>
      </c>
      <c r="F1002" s="53">
        <v>33</v>
      </c>
      <c r="G1002" s="42">
        <v>4.1899999999999999E-4</v>
      </c>
      <c r="H1002" s="39">
        <v>8.9670000000000005</v>
      </c>
      <c r="I1002" s="39">
        <v>15.372</v>
      </c>
      <c r="J1002" s="39"/>
    </row>
    <row r="1003" spans="2:10" x14ac:dyDescent="0.2">
      <c r="B1003" s="4" t="s">
        <v>1893</v>
      </c>
      <c r="C1003" s="5" t="s">
        <v>1894</v>
      </c>
      <c r="D1003" s="6" t="s">
        <v>42</v>
      </c>
      <c r="E1003" s="6" t="s">
        <v>33</v>
      </c>
      <c r="F1003" s="53">
        <v>38.5</v>
      </c>
      <c r="G1003" s="42">
        <v>4.1899999999999999E-4</v>
      </c>
      <c r="H1003" s="39">
        <v>11.76</v>
      </c>
      <c r="I1003" s="39">
        <v>20.16</v>
      </c>
      <c r="J1003" s="39"/>
    </row>
    <row r="1004" spans="2:10" ht="25.5" x14ac:dyDescent="0.2">
      <c r="B1004" s="4" t="s">
        <v>1895</v>
      </c>
      <c r="C1004" s="5" t="s">
        <v>1896</v>
      </c>
      <c r="D1004" s="6" t="s">
        <v>42</v>
      </c>
      <c r="E1004" s="6" t="s">
        <v>20</v>
      </c>
      <c r="F1004" s="53">
        <v>33</v>
      </c>
      <c r="G1004" s="42">
        <v>4.1899999999999999E-4</v>
      </c>
      <c r="H1004" s="39">
        <v>8.9670000000000005</v>
      </c>
      <c r="I1004" s="39">
        <v>15.372</v>
      </c>
      <c r="J1004" s="39"/>
    </row>
    <row r="1005" spans="2:10" x14ac:dyDescent="0.2">
      <c r="B1005" s="4" t="s">
        <v>1897</v>
      </c>
      <c r="C1005" s="9" t="s">
        <v>1898</v>
      </c>
      <c r="D1005" s="6" t="s">
        <v>42</v>
      </c>
      <c r="E1005" s="6" t="s">
        <v>33</v>
      </c>
      <c r="F1005" s="53">
        <v>39.5</v>
      </c>
      <c r="G1005" s="42">
        <v>4.1899999999999999E-4</v>
      </c>
      <c r="H1005" s="39">
        <v>12.088999999999999</v>
      </c>
      <c r="I1005" s="39">
        <v>20.724</v>
      </c>
      <c r="J1005" s="39"/>
    </row>
    <row r="1006" spans="2:10" x14ac:dyDescent="0.2">
      <c r="B1006" s="4" t="s">
        <v>1899</v>
      </c>
      <c r="C1006" s="9" t="s">
        <v>1900</v>
      </c>
      <c r="D1006" s="6" t="s">
        <v>42</v>
      </c>
      <c r="E1006" s="6" t="s">
        <v>33</v>
      </c>
      <c r="F1006" s="53">
        <v>51.5</v>
      </c>
      <c r="G1006" s="42">
        <v>4.1899999999999999E-4</v>
      </c>
      <c r="H1006" s="39">
        <v>15.708</v>
      </c>
      <c r="I1006" s="39">
        <v>26.928000000000001</v>
      </c>
      <c r="J1006" s="39"/>
    </row>
    <row r="1007" spans="2:10" ht="25.5" x14ac:dyDescent="0.2">
      <c r="B1007" s="4" t="s">
        <v>1901</v>
      </c>
      <c r="C1007" s="9" t="s">
        <v>1902</v>
      </c>
      <c r="D1007" s="6" t="s">
        <v>42</v>
      </c>
      <c r="E1007" s="6" t="s">
        <v>33</v>
      </c>
      <c r="F1007" s="53">
        <v>23.5</v>
      </c>
      <c r="G1007" s="42">
        <v>4.1899999999999999E-4</v>
      </c>
      <c r="H1007" s="39">
        <v>7.1959999999999988</v>
      </c>
      <c r="I1007" s="39">
        <v>12.335999999999999</v>
      </c>
      <c r="J1007" s="39"/>
    </row>
    <row r="1008" spans="2:10" x14ac:dyDescent="0.2">
      <c r="B1008" s="4" t="s">
        <v>1903</v>
      </c>
      <c r="C1008" s="5" t="s">
        <v>1904</v>
      </c>
      <c r="D1008" s="6" t="s">
        <v>42</v>
      </c>
      <c r="E1008" s="6" t="s">
        <v>33</v>
      </c>
      <c r="F1008" s="53">
        <v>38</v>
      </c>
      <c r="G1008" s="42">
        <v>4.1899999999999999E-4</v>
      </c>
      <c r="H1008" s="39">
        <v>11.584999999999999</v>
      </c>
      <c r="I1008" s="39">
        <v>19.86</v>
      </c>
      <c r="J1008" s="39"/>
    </row>
    <row r="1009" spans="2:10" x14ac:dyDescent="0.2">
      <c r="B1009" s="4" t="s">
        <v>1905</v>
      </c>
      <c r="C1009" s="5" t="s">
        <v>1906</v>
      </c>
      <c r="D1009" s="6" t="s">
        <v>42</v>
      </c>
      <c r="E1009" s="6" t="s">
        <v>33</v>
      </c>
      <c r="F1009" s="53">
        <v>27.5</v>
      </c>
      <c r="G1009" s="42">
        <v>4.1899999999999999E-4</v>
      </c>
      <c r="H1009" s="39">
        <v>5.6</v>
      </c>
      <c r="I1009" s="39">
        <v>9.6</v>
      </c>
      <c r="J1009" s="39"/>
    </row>
    <row r="1010" spans="2:10" ht="25.5" x14ac:dyDescent="0.2">
      <c r="B1010" s="8" t="s">
        <v>1907</v>
      </c>
      <c r="C1010" s="5" t="s">
        <v>1908</v>
      </c>
      <c r="D1010" s="6"/>
      <c r="E1010" s="6"/>
      <c r="F1010" s="50"/>
      <c r="G1010" s="40" t="e">
        <f>#REF!/(COUNTA(#REF!))</f>
        <v>#REF!</v>
      </c>
      <c r="H1010" s="39" t="s">
        <v>49</v>
      </c>
      <c r="I1010" s="39" t="s">
        <v>49</v>
      </c>
      <c r="J1010" s="39"/>
    </row>
    <row r="1011" spans="2:10" x14ac:dyDescent="0.2">
      <c r="B1011" s="4" t="s">
        <v>1909</v>
      </c>
      <c r="C1011" s="5" t="s">
        <v>1910</v>
      </c>
      <c r="D1011" s="6"/>
      <c r="E1011" s="6"/>
      <c r="F1011" s="50"/>
      <c r="G1011" s="42">
        <v>1.672860357567498E-4</v>
      </c>
      <c r="H1011" s="39" t="s">
        <v>49</v>
      </c>
      <c r="I1011" s="39" t="s">
        <v>49</v>
      </c>
      <c r="J1011" s="39"/>
    </row>
    <row r="1012" spans="2:10" x14ac:dyDescent="0.2">
      <c r="B1012" s="4" t="s">
        <v>1911</v>
      </c>
      <c r="C1012" s="5" t="s">
        <v>1912</v>
      </c>
      <c r="D1012" s="6" t="s">
        <v>32</v>
      </c>
      <c r="E1012" s="6" t="s">
        <v>33</v>
      </c>
      <c r="F1012" s="53">
        <v>126.5</v>
      </c>
      <c r="G1012" s="42">
        <v>1.672860357567498E-4</v>
      </c>
      <c r="H1012" s="39">
        <v>46.199999999999996</v>
      </c>
      <c r="I1012" s="39">
        <v>79.2</v>
      </c>
      <c r="J1012" s="39"/>
    </row>
    <row r="1013" spans="2:10" x14ac:dyDescent="0.2">
      <c r="B1013" s="4" t="s">
        <v>1913</v>
      </c>
      <c r="C1013" s="5" t="s">
        <v>1914</v>
      </c>
      <c r="D1013" s="6" t="s">
        <v>32</v>
      </c>
      <c r="E1013" s="6" t="s">
        <v>33</v>
      </c>
      <c r="F1013" s="53">
        <v>91.5</v>
      </c>
      <c r="G1013" s="42">
        <v>1.672860357567498E-4</v>
      </c>
      <c r="H1013" s="39">
        <v>33.39</v>
      </c>
      <c r="I1013" s="39">
        <v>57.24</v>
      </c>
      <c r="J1013" s="39"/>
    </row>
    <row r="1014" spans="2:10" x14ac:dyDescent="0.2">
      <c r="B1014" s="4" t="s">
        <v>1915</v>
      </c>
      <c r="C1014" s="5" t="s">
        <v>1916</v>
      </c>
      <c r="D1014" s="6" t="s">
        <v>32</v>
      </c>
      <c r="E1014" s="6" t="s">
        <v>33</v>
      </c>
      <c r="F1014" s="53">
        <v>58</v>
      </c>
      <c r="G1014" s="42">
        <v>1.672860357567498E-4</v>
      </c>
      <c r="H1014" s="39">
        <v>21.181999999999999</v>
      </c>
      <c r="I1014" s="39">
        <v>36.311999999999998</v>
      </c>
      <c r="J1014" s="39"/>
    </row>
    <row r="1015" spans="2:10" x14ac:dyDescent="0.2">
      <c r="B1015" s="4" t="s">
        <v>1917</v>
      </c>
      <c r="C1015" s="5" t="s">
        <v>1918</v>
      </c>
      <c r="D1015" s="6" t="s">
        <v>32</v>
      </c>
      <c r="E1015" s="6" t="s">
        <v>33</v>
      </c>
      <c r="F1015" s="53">
        <v>41.5</v>
      </c>
      <c r="G1015" s="42">
        <v>1.672860357567498E-4</v>
      </c>
      <c r="H1015" s="39">
        <v>15.154999999999998</v>
      </c>
      <c r="I1015" s="39">
        <v>25.979999999999997</v>
      </c>
      <c r="J1015" s="39"/>
    </row>
    <row r="1016" spans="2:10" x14ac:dyDescent="0.2">
      <c r="B1016" s="4" t="s">
        <v>1919</v>
      </c>
      <c r="C1016" s="5" t="s">
        <v>1920</v>
      </c>
      <c r="D1016" s="6" t="s">
        <v>32</v>
      </c>
      <c r="E1016" s="6" t="s">
        <v>33</v>
      </c>
      <c r="F1016" s="53">
        <v>35.5</v>
      </c>
      <c r="G1016" s="42">
        <v>1.672860357567498E-4</v>
      </c>
      <c r="H1016" s="39">
        <v>13.048</v>
      </c>
      <c r="I1016" s="39">
        <v>22.367999999999999</v>
      </c>
      <c r="J1016" s="39"/>
    </row>
    <row r="1017" spans="2:10" x14ac:dyDescent="0.2">
      <c r="B1017" s="4" t="s">
        <v>1921</v>
      </c>
      <c r="C1017" s="5" t="s">
        <v>1922</v>
      </c>
      <c r="D1017" s="6" t="s">
        <v>32</v>
      </c>
      <c r="E1017" s="6" t="s">
        <v>33</v>
      </c>
      <c r="F1017" s="53">
        <v>28</v>
      </c>
      <c r="G1017" s="42">
        <v>1.672860357567498E-4</v>
      </c>
      <c r="H1017" s="39">
        <v>10.219999999999999</v>
      </c>
      <c r="I1017" s="39">
        <v>17.52</v>
      </c>
      <c r="J1017" s="39"/>
    </row>
    <row r="1018" spans="2:10" x14ac:dyDescent="0.2">
      <c r="B1018" s="4" t="s">
        <v>1923</v>
      </c>
      <c r="C1018" s="5" t="s">
        <v>1924</v>
      </c>
      <c r="D1018" s="6" t="s">
        <v>32</v>
      </c>
      <c r="E1018" s="6" t="s">
        <v>33</v>
      </c>
      <c r="F1018" s="53">
        <v>18.5</v>
      </c>
      <c r="G1018" s="42">
        <v>1.672860357567498E-4</v>
      </c>
      <c r="H1018" s="39">
        <v>6.867</v>
      </c>
      <c r="I1018" s="39">
        <v>11.772</v>
      </c>
      <c r="J1018" s="39"/>
    </row>
    <row r="1019" spans="2:10" x14ac:dyDescent="0.2">
      <c r="B1019" s="4" t="s">
        <v>1925</v>
      </c>
      <c r="C1019" s="5" t="s">
        <v>1926</v>
      </c>
      <c r="D1019" s="6" t="s">
        <v>32</v>
      </c>
      <c r="E1019" s="6" t="s">
        <v>33</v>
      </c>
      <c r="F1019" s="53">
        <v>15.3</v>
      </c>
      <c r="G1019" s="42">
        <v>1.672860357567498E-4</v>
      </c>
      <c r="H1019" s="39">
        <v>5.6420000000000003</v>
      </c>
      <c r="I1019" s="39">
        <v>9.6720000000000006</v>
      </c>
      <c r="J1019" s="39"/>
    </row>
    <row r="1020" spans="2:10" ht="25.5" x14ac:dyDescent="0.2">
      <c r="B1020" s="4" t="s">
        <v>1927</v>
      </c>
      <c r="C1020" s="5" t="s">
        <v>1928</v>
      </c>
      <c r="D1020" s="6" t="s">
        <v>66</v>
      </c>
      <c r="E1020" s="6" t="s">
        <v>33</v>
      </c>
      <c r="F1020" s="53">
        <v>10.5</v>
      </c>
      <c r="G1020" s="42">
        <v>1.672860357567498E-4</v>
      </c>
      <c r="H1020" s="39">
        <v>3.8499999999999996</v>
      </c>
      <c r="I1020" s="39">
        <v>6.6</v>
      </c>
      <c r="J1020" s="39"/>
    </row>
    <row r="1021" spans="2:10" x14ac:dyDescent="0.2">
      <c r="B1021" s="4" t="s">
        <v>1929</v>
      </c>
      <c r="C1021" s="5" t="s">
        <v>1930</v>
      </c>
      <c r="D1021" s="6" t="s">
        <v>66</v>
      </c>
      <c r="E1021" s="6" t="s">
        <v>33</v>
      </c>
      <c r="F1021" s="53">
        <v>10.5</v>
      </c>
      <c r="G1021" s="42">
        <v>1.672860357567498E-4</v>
      </c>
      <c r="H1021" s="39">
        <v>3.8499999999999996</v>
      </c>
      <c r="I1021" s="39">
        <v>6.6</v>
      </c>
      <c r="J1021" s="39"/>
    </row>
    <row r="1022" spans="2:10" x14ac:dyDescent="0.2">
      <c r="B1022" s="4" t="s">
        <v>1931</v>
      </c>
      <c r="C1022" s="5" t="s">
        <v>1918</v>
      </c>
      <c r="D1022" s="6" t="s">
        <v>66</v>
      </c>
      <c r="E1022" s="6" t="s">
        <v>33</v>
      </c>
      <c r="F1022" s="53">
        <v>8.4</v>
      </c>
      <c r="G1022" s="42">
        <v>1.672860357567498E-4</v>
      </c>
      <c r="H1022" s="39">
        <v>3.08</v>
      </c>
      <c r="I1022" s="39">
        <v>5.28</v>
      </c>
      <c r="J1022" s="39"/>
    </row>
    <row r="1023" spans="2:10" x14ac:dyDescent="0.2">
      <c r="B1023" s="4" t="s">
        <v>1932</v>
      </c>
      <c r="C1023" s="5" t="s">
        <v>1920</v>
      </c>
      <c r="D1023" s="6" t="s">
        <v>66</v>
      </c>
      <c r="E1023" s="6" t="s">
        <v>33</v>
      </c>
      <c r="F1023" s="53">
        <v>8.4</v>
      </c>
      <c r="G1023" s="42">
        <v>1.672860357567498E-4</v>
      </c>
      <c r="H1023" s="39">
        <v>3.08</v>
      </c>
      <c r="I1023" s="39">
        <v>5.28</v>
      </c>
      <c r="J1023" s="39"/>
    </row>
    <row r="1024" spans="2:10" x14ac:dyDescent="0.2">
      <c r="B1024" s="4" t="s">
        <v>1933</v>
      </c>
      <c r="C1024" s="5" t="s">
        <v>1922</v>
      </c>
      <c r="D1024" s="6" t="s">
        <v>66</v>
      </c>
      <c r="E1024" s="6" t="s">
        <v>33</v>
      </c>
      <c r="F1024" s="53">
        <v>6.3</v>
      </c>
      <c r="G1024" s="42">
        <v>1.672860357567498E-4</v>
      </c>
      <c r="H1024" s="39">
        <v>2.3099999999999996</v>
      </c>
      <c r="I1024" s="39">
        <v>3.9599999999999995</v>
      </c>
      <c r="J1024" s="39"/>
    </row>
    <row r="1025" spans="2:10" x14ac:dyDescent="0.2">
      <c r="B1025" s="4" t="s">
        <v>1934</v>
      </c>
      <c r="C1025" s="5" t="s">
        <v>1924</v>
      </c>
      <c r="D1025" s="6" t="s">
        <v>66</v>
      </c>
      <c r="E1025" s="6" t="s">
        <v>33</v>
      </c>
      <c r="F1025" s="53">
        <v>6.3</v>
      </c>
      <c r="G1025" s="42">
        <v>1.672860357567498E-4</v>
      </c>
      <c r="H1025" s="39">
        <v>2.3099999999999996</v>
      </c>
      <c r="I1025" s="39">
        <v>3.9599999999999995</v>
      </c>
      <c r="J1025" s="39"/>
    </row>
    <row r="1026" spans="2:10" x14ac:dyDescent="0.2">
      <c r="B1026" s="4" t="s">
        <v>1935</v>
      </c>
      <c r="C1026" s="5" t="s">
        <v>1926</v>
      </c>
      <c r="D1026" s="6" t="s">
        <v>66</v>
      </c>
      <c r="E1026" s="6" t="s">
        <v>33</v>
      </c>
      <c r="F1026" s="53">
        <v>4</v>
      </c>
      <c r="G1026" s="42">
        <v>1.672860357567498E-4</v>
      </c>
      <c r="H1026" s="39">
        <v>1.54</v>
      </c>
      <c r="I1026" s="39">
        <v>2.64</v>
      </c>
      <c r="J1026" s="39"/>
    </row>
    <row r="1027" spans="2:10" ht="25.5" x14ac:dyDescent="0.2">
      <c r="B1027" s="4" t="s">
        <v>1936</v>
      </c>
      <c r="C1027" s="5" t="s">
        <v>1937</v>
      </c>
      <c r="D1027" s="6" t="s">
        <v>32</v>
      </c>
      <c r="E1027" s="6" t="s">
        <v>33</v>
      </c>
      <c r="F1027" s="53">
        <v>20.5</v>
      </c>
      <c r="G1027" s="42">
        <v>1.672860357567498E-4</v>
      </c>
      <c r="H1027" s="39">
        <v>7.56</v>
      </c>
      <c r="I1027" s="39">
        <v>12.96</v>
      </c>
      <c r="J1027" s="39"/>
    </row>
    <row r="1028" spans="2:10" x14ac:dyDescent="0.2">
      <c r="B1028" s="4" t="s">
        <v>1938</v>
      </c>
      <c r="C1028" s="5" t="s">
        <v>1939</v>
      </c>
      <c r="D1028" s="6" t="s">
        <v>32</v>
      </c>
      <c r="E1028" s="6" t="s">
        <v>33</v>
      </c>
      <c r="F1028" s="53">
        <v>23</v>
      </c>
      <c r="G1028" s="42">
        <v>1.672860357567498E-4</v>
      </c>
      <c r="H1028" s="39">
        <v>8.407</v>
      </c>
      <c r="I1028" s="39">
        <v>14.411999999999999</v>
      </c>
      <c r="J1028" s="39"/>
    </row>
    <row r="1029" spans="2:10" x14ac:dyDescent="0.2">
      <c r="B1029" s="4" t="s">
        <v>1940</v>
      </c>
      <c r="C1029" s="5" t="s">
        <v>1941</v>
      </c>
      <c r="D1029" s="6" t="s">
        <v>32</v>
      </c>
      <c r="E1029" s="6" t="s">
        <v>33</v>
      </c>
      <c r="F1029" s="53">
        <v>25</v>
      </c>
      <c r="G1029" s="42">
        <v>1.672860357567498E-4</v>
      </c>
      <c r="H1029" s="39">
        <v>9.2469999999999999</v>
      </c>
      <c r="I1029" s="39">
        <v>15.852</v>
      </c>
      <c r="J1029" s="39"/>
    </row>
    <row r="1030" spans="2:10" x14ac:dyDescent="0.2">
      <c r="B1030" s="4" t="s">
        <v>1942</v>
      </c>
      <c r="C1030" s="5" t="s">
        <v>1943</v>
      </c>
      <c r="D1030" s="6" t="s">
        <v>32</v>
      </c>
      <c r="E1030" s="6" t="s">
        <v>33</v>
      </c>
      <c r="F1030" s="53">
        <v>27.5</v>
      </c>
      <c r="G1030" s="42">
        <v>1.672860357567498E-4</v>
      </c>
      <c r="H1030" s="39">
        <v>10.087</v>
      </c>
      <c r="I1030" s="39">
        <v>17.291999999999998</v>
      </c>
      <c r="J1030" s="39"/>
    </row>
    <row r="1031" spans="2:10" x14ac:dyDescent="0.2">
      <c r="B1031" s="4" t="s">
        <v>1944</v>
      </c>
      <c r="C1031" s="5" t="s">
        <v>1945</v>
      </c>
      <c r="D1031" s="6" t="s">
        <v>32</v>
      </c>
      <c r="E1031" s="6" t="s">
        <v>33</v>
      </c>
      <c r="F1031" s="53">
        <v>32</v>
      </c>
      <c r="G1031" s="42">
        <v>1.672860357567498E-4</v>
      </c>
      <c r="H1031" s="39">
        <v>11.76</v>
      </c>
      <c r="I1031" s="39">
        <v>20.16</v>
      </c>
      <c r="J1031" s="39"/>
    </row>
    <row r="1032" spans="2:10" ht="25.5" x14ac:dyDescent="0.2">
      <c r="B1032" s="4" t="s">
        <v>1946</v>
      </c>
      <c r="C1032" s="5" t="s">
        <v>1947</v>
      </c>
      <c r="D1032" s="6" t="s">
        <v>66</v>
      </c>
      <c r="E1032" s="6" t="s">
        <v>33</v>
      </c>
      <c r="F1032" s="53">
        <v>10.5</v>
      </c>
      <c r="G1032" s="42">
        <v>1.672860357567498E-4</v>
      </c>
      <c r="H1032" s="39">
        <v>3.8499999999999996</v>
      </c>
      <c r="I1032" s="39">
        <v>6.6</v>
      </c>
      <c r="J1032" s="39"/>
    </row>
    <row r="1033" spans="2:10" x14ac:dyDescent="0.2">
      <c r="B1033" s="4" t="s">
        <v>1948</v>
      </c>
      <c r="C1033" s="5" t="s">
        <v>1939</v>
      </c>
      <c r="D1033" s="6" t="s">
        <v>66</v>
      </c>
      <c r="E1033" s="6" t="s">
        <v>33</v>
      </c>
      <c r="F1033" s="53">
        <v>10.5</v>
      </c>
      <c r="G1033" s="42">
        <v>1.672860357567498E-4</v>
      </c>
      <c r="H1033" s="39">
        <v>3.8499999999999996</v>
      </c>
      <c r="I1033" s="39">
        <v>6.6</v>
      </c>
      <c r="J1033" s="39"/>
    </row>
    <row r="1034" spans="2:10" x14ac:dyDescent="0.2">
      <c r="B1034" s="4" t="s">
        <v>1949</v>
      </c>
      <c r="C1034" s="5" t="s">
        <v>1941</v>
      </c>
      <c r="D1034" s="6" t="s">
        <v>66</v>
      </c>
      <c r="E1034" s="6" t="s">
        <v>33</v>
      </c>
      <c r="F1034" s="53">
        <v>8</v>
      </c>
      <c r="G1034" s="42">
        <v>1.672860357567498E-4</v>
      </c>
      <c r="H1034" s="39">
        <v>3.08</v>
      </c>
      <c r="I1034" s="39">
        <v>5.28</v>
      </c>
      <c r="J1034" s="39"/>
    </row>
    <row r="1035" spans="2:10" x14ac:dyDescent="0.2">
      <c r="B1035" s="4" t="s">
        <v>1950</v>
      </c>
      <c r="C1035" s="5" t="s">
        <v>1943</v>
      </c>
      <c r="D1035" s="6" t="s">
        <v>66</v>
      </c>
      <c r="E1035" s="6" t="s">
        <v>33</v>
      </c>
      <c r="F1035" s="53">
        <v>8</v>
      </c>
      <c r="G1035" s="42">
        <v>1.672860357567498E-4</v>
      </c>
      <c r="H1035" s="39">
        <v>3.08</v>
      </c>
      <c r="I1035" s="39">
        <v>5.28</v>
      </c>
      <c r="J1035" s="39"/>
    </row>
    <row r="1036" spans="2:10" x14ac:dyDescent="0.2">
      <c r="B1036" s="4" t="s">
        <v>1951</v>
      </c>
      <c r="C1036" s="5" t="s">
        <v>1945</v>
      </c>
      <c r="D1036" s="6" t="s">
        <v>66</v>
      </c>
      <c r="E1036" s="6" t="s">
        <v>33</v>
      </c>
      <c r="F1036" s="53">
        <v>6</v>
      </c>
      <c r="G1036" s="42">
        <v>1.672860357567498E-4</v>
      </c>
      <c r="H1036" s="39">
        <v>2.3099999999999996</v>
      </c>
      <c r="I1036" s="39">
        <v>3.9599999999999995</v>
      </c>
      <c r="J1036" s="39"/>
    </row>
    <row r="1037" spans="2:10" ht="25.5" x14ac:dyDescent="0.2">
      <c r="B1037" s="4" t="s">
        <v>1952</v>
      </c>
      <c r="C1037" s="5" t="s">
        <v>1953</v>
      </c>
      <c r="D1037" s="6" t="s">
        <v>32</v>
      </c>
      <c r="E1037" s="6" t="s">
        <v>33</v>
      </c>
      <c r="F1037" s="53">
        <v>48</v>
      </c>
      <c r="G1037" s="42">
        <v>1.672860357567498E-4</v>
      </c>
      <c r="H1037" s="39">
        <v>17.646999999999998</v>
      </c>
      <c r="I1037" s="39">
        <v>30.251999999999999</v>
      </c>
      <c r="J1037" s="39"/>
    </row>
    <row r="1038" spans="2:10" x14ac:dyDescent="0.2">
      <c r="B1038" s="4" t="s">
        <v>1954</v>
      </c>
      <c r="C1038" s="5" t="s">
        <v>1955</v>
      </c>
      <c r="D1038" s="6" t="s">
        <v>32</v>
      </c>
      <c r="E1038" s="6" t="s">
        <v>33</v>
      </c>
      <c r="F1038" s="53">
        <v>19.5</v>
      </c>
      <c r="G1038" s="42">
        <v>1.672860357567498E-4</v>
      </c>
      <c r="H1038" s="39">
        <v>7.1119999999999992</v>
      </c>
      <c r="I1038" s="39">
        <v>12.192</v>
      </c>
      <c r="J1038" s="39"/>
    </row>
    <row r="1039" spans="2:10" x14ac:dyDescent="0.2">
      <c r="B1039" s="4" t="s">
        <v>1956</v>
      </c>
      <c r="C1039" s="5" t="s">
        <v>1957</v>
      </c>
      <c r="D1039" s="6" t="s">
        <v>32</v>
      </c>
      <c r="E1039" s="6" t="s">
        <v>33</v>
      </c>
      <c r="F1039" s="53">
        <v>22.5</v>
      </c>
      <c r="G1039" s="42">
        <v>1.672860357567498E-4</v>
      </c>
      <c r="H1039" s="39">
        <v>8.2249999999999996</v>
      </c>
      <c r="I1039" s="39">
        <v>14.1</v>
      </c>
      <c r="J1039" s="39"/>
    </row>
    <row r="1040" spans="2:10" x14ac:dyDescent="0.2">
      <c r="B1040" s="4" t="s">
        <v>1958</v>
      </c>
      <c r="C1040" s="5" t="s">
        <v>1959</v>
      </c>
      <c r="D1040" s="6" t="s">
        <v>32</v>
      </c>
      <c r="E1040" s="6" t="s">
        <v>33</v>
      </c>
      <c r="F1040" s="53">
        <v>50.5</v>
      </c>
      <c r="G1040" s="42">
        <v>1.672860357567498E-4</v>
      </c>
      <c r="H1040" s="39">
        <v>18.486999999999998</v>
      </c>
      <c r="I1040" s="39">
        <v>31.692</v>
      </c>
      <c r="J1040" s="39"/>
    </row>
    <row r="1041" spans="2:10" x14ac:dyDescent="0.2">
      <c r="B1041" s="4" t="s">
        <v>1960</v>
      </c>
      <c r="C1041" s="5" t="s">
        <v>1961</v>
      </c>
      <c r="D1041" s="6" t="s">
        <v>32</v>
      </c>
      <c r="E1041" s="6" t="s">
        <v>33</v>
      </c>
      <c r="F1041" s="53">
        <v>39.5</v>
      </c>
      <c r="G1041" s="42">
        <v>1.672860357567498E-4</v>
      </c>
      <c r="H1041" s="39">
        <v>14.510999999999999</v>
      </c>
      <c r="I1041" s="39">
        <v>24.876000000000001</v>
      </c>
      <c r="J1041" s="39"/>
    </row>
    <row r="1042" spans="2:10" x14ac:dyDescent="0.2">
      <c r="B1042" s="4" t="s">
        <v>1962</v>
      </c>
      <c r="C1042" s="5" t="s">
        <v>1963</v>
      </c>
      <c r="D1042" s="6" t="s">
        <v>32</v>
      </c>
      <c r="E1042" s="6" t="s">
        <v>33</v>
      </c>
      <c r="F1042" s="53">
        <v>33.5</v>
      </c>
      <c r="G1042" s="42">
        <v>1.672860357567498E-4</v>
      </c>
      <c r="H1042" s="39">
        <v>12.222</v>
      </c>
      <c r="I1042" s="39">
        <v>20.952000000000002</v>
      </c>
      <c r="J1042" s="39"/>
    </row>
    <row r="1043" spans="2:10" x14ac:dyDescent="0.2">
      <c r="B1043" s="4" t="s">
        <v>1964</v>
      </c>
      <c r="C1043" s="5" t="s">
        <v>1965</v>
      </c>
      <c r="D1043" s="6" t="s">
        <v>32</v>
      </c>
      <c r="E1043" s="6" t="s">
        <v>33</v>
      </c>
      <c r="F1043" s="53">
        <v>22.5</v>
      </c>
      <c r="G1043" s="42">
        <v>1.672860357567498E-4</v>
      </c>
      <c r="H1043" s="39">
        <v>8.2249999999999996</v>
      </c>
      <c r="I1043" s="39">
        <v>14.1</v>
      </c>
      <c r="J1043" s="39"/>
    </row>
    <row r="1044" spans="2:10" ht="25.5" x14ac:dyDescent="0.2">
      <c r="B1044" s="4" t="s">
        <v>1966</v>
      </c>
      <c r="C1044" s="5" t="s">
        <v>1967</v>
      </c>
      <c r="D1044" s="6" t="s">
        <v>66</v>
      </c>
      <c r="E1044" s="6" t="s">
        <v>33</v>
      </c>
      <c r="F1044" s="53">
        <v>10.5</v>
      </c>
      <c r="G1044" s="42">
        <v>1.672860357567498E-4</v>
      </c>
      <c r="H1044" s="39">
        <v>3.8499999999999996</v>
      </c>
      <c r="I1044" s="39">
        <v>6.6</v>
      </c>
      <c r="J1044" s="39"/>
    </row>
    <row r="1045" spans="2:10" x14ac:dyDescent="0.2">
      <c r="B1045" s="4" t="s">
        <v>1968</v>
      </c>
      <c r="C1045" s="5" t="s">
        <v>1969</v>
      </c>
      <c r="D1045" s="6" t="s">
        <v>66</v>
      </c>
      <c r="E1045" s="6" t="s">
        <v>33</v>
      </c>
      <c r="F1045" s="53">
        <v>8.1999999999999993</v>
      </c>
      <c r="G1045" s="42">
        <v>1.672860357567498E-4</v>
      </c>
      <c r="H1045" s="39">
        <v>3.08</v>
      </c>
      <c r="I1045" s="39">
        <v>5.28</v>
      </c>
      <c r="J1045" s="39"/>
    </row>
    <row r="1046" spans="2:10" x14ac:dyDescent="0.2">
      <c r="B1046" s="4" t="s">
        <v>1970</v>
      </c>
      <c r="C1046" s="5" t="s">
        <v>1971</v>
      </c>
      <c r="D1046" s="6" t="s">
        <v>66</v>
      </c>
      <c r="E1046" s="6" t="s">
        <v>33</v>
      </c>
      <c r="F1046" s="53">
        <v>6.2</v>
      </c>
      <c r="G1046" s="42">
        <v>1.672860357567498E-4</v>
      </c>
      <c r="H1046" s="39">
        <v>2.3099999999999996</v>
      </c>
      <c r="I1046" s="39">
        <v>3.9599999999999995</v>
      </c>
      <c r="J1046" s="39"/>
    </row>
    <row r="1047" spans="2:10" x14ac:dyDescent="0.2">
      <c r="B1047" s="4" t="s">
        <v>1972</v>
      </c>
      <c r="C1047" s="5" t="s">
        <v>1973</v>
      </c>
      <c r="D1047" s="6" t="s">
        <v>66</v>
      </c>
      <c r="E1047" s="6" t="s">
        <v>33</v>
      </c>
      <c r="F1047" s="53">
        <v>8.1999999999999993</v>
      </c>
      <c r="G1047" s="42">
        <v>1.672860357567498E-4</v>
      </c>
      <c r="H1047" s="39">
        <v>3.08</v>
      </c>
      <c r="I1047" s="39">
        <v>5.28</v>
      </c>
      <c r="J1047" s="39"/>
    </row>
    <row r="1048" spans="2:10" x14ac:dyDescent="0.2">
      <c r="B1048" s="4" t="s">
        <v>1974</v>
      </c>
      <c r="C1048" s="5" t="s">
        <v>1975</v>
      </c>
      <c r="D1048" s="6" t="s">
        <v>66</v>
      </c>
      <c r="E1048" s="6" t="s">
        <v>33</v>
      </c>
      <c r="F1048" s="53">
        <v>6.2</v>
      </c>
      <c r="G1048" s="42">
        <v>1.672860357567498E-4</v>
      </c>
      <c r="H1048" s="39">
        <v>2.3099999999999996</v>
      </c>
      <c r="I1048" s="39">
        <v>3.9599999999999995</v>
      </c>
      <c r="J1048" s="39"/>
    </row>
    <row r="1049" spans="2:10" x14ac:dyDescent="0.2">
      <c r="B1049" s="4" t="s">
        <v>1976</v>
      </c>
      <c r="C1049" s="5" t="s">
        <v>1977</v>
      </c>
      <c r="D1049" s="6" t="s">
        <v>66</v>
      </c>
      <c r="E1049" s="6" t="s">
        <v>33</v>
      </c>
      <c r="F1049" s="53">
        <v>4</v>
      </c>
      <c r="G1049" s="42">
        <v>1.672860357567498E-4</v>
      </c>
      <c r="H1049" s="39">
        <v>1.54</v>
      </c>
      <c r="I1049" s="39">
        <v>2.64</v>
      </c>
      <c r="J1049" s="39"/>
    </row>
    <row r="1050" spans="2:10" x14ac:dyDescent="0.2">
      <c r="B1050" s="4" t="s">
        <v>1978</v>
      </c>
      <c r="C1050" s="5" t="s">
        <v>1979</v>
      </c>
      <c r="D1050" s="6" t="s">
        <v>66</v>
      </c>
      <c r="E1050" s="6" t="s">
        <v>33</v>
      </c>
      <c r="F1050" s="53">
        <v>4</v>
      </c>
      <c r="G1050" s="42">
        <v>1.672860357567498E-4</v>
      </c>
      <c r="H1050" s="39">
        <v>1.54</v>
      </c>
      <c r="I1050" s="39">
        <v>2.64</v>
      </c>
      <c r="J1050" s="39"/>
    </row>
    <row r="1051" spans="2:10" x14ac:dyDescent="0.2">
      <c r="B1051" s="4" t="s">
        <v>1980</v>
      </c>
      <c r="C1051" s="5" t="s">
        <v>1981</v>
      </c>
      <c r="D1051" s="6" t="s">
        <v>32</v>
      </c>
      <c r="E1051" s="6" t="s">
        <v>33</v>
      </c>
      <c r="F1051" s="53">
        <v>46</v>
      </c>
      <c r="G1051" s="42">
        <v>1.672860357567498E-4</v>
      </c>
      <c r="H1051" s="39">
        <v>16.806999999999999</v>
      </c>
      <c r="I1051" s="39">
        <v>28.812000000000001</v>
      </c>
      <c r="J1051" s="39"/>
    </row>
    <row r="1052" spans="2:10" x14ac:dyDescent="0.2">
      <c r="B1052" s="4" t="s">
        <v>1982</v>
      </c>
      <c r="C1052" s="5" t="s">
        <v>1983</v>
      </c>
      <c r="D1052" s="6" t="s">
        <v>32</v>
      </c>
      <c r="E1052" s="6" t="s">
        <v>33</v>
      </c>
      <c r="F1052" s="53">
        <v>28</v>
      </c>
      <c r="G1052" s="42">
        <v>1.672860357567498E-4</v>
      </c>
      <c r="H1052" s="39">
        <v>10.219999999999999</v>
      </c>
      <c r="I1052" s="39">
        <v>17.52</v>
      </c>
      <c r="J1052" s="39"/>
    </row>
    <row r="1053" spans="2:10" x14ac:dyDescent="0.2">
      <c r="B1053" s="4" t="s">
        <v>1984</v>
      </c>
      <c r="C1053" s="5" t="s">
        <v>1985</v>
      </c>
      <c r="D1053" s="6" t="s">
        <v>32</v>
      </c>
      <c r="E1053" s="6" t="s">
        <v>33</v>
      </c>
      <c r="F1053" s="53">
        <v>19.5</v>
      </c>
      <c r="G1053" s="42">
        <v>1.672860357567498E-4</v>
      </c>
      <c r="H1053" s="39">
        <v>7.1119999999999992</v>
      </c>
      <c r="I1053" s="39">
        <v>12.192</v>
      </c>
      <c r="J1053" s="39"/>
    </row>
    <row r="1054" spans="2:10" x14ac:dyDescent="0.2">
      <c r="B1054" s="4" t="s">
        <v>1986</v>
      </c>
      <c r="C1054" s="5" t="s">
        <v>1987</v>
      </c>
      <c r="D1054" s="6" t="s">
        <v>32</v>
      </c>
      <c r="E1054" s="6" t="s">
        <v>33</v>
      </c>
      <c r="F1054" s="53">
        <v>16.45</v>
      </c>
      <c r="G1054" s="42">
        <v>1.672860357567498E-4</v>
      </c>
      <c r="H1054" s="39">
        <v>5.9989999999999997</v>
      </c>
      <c r="I1054" s="39">
        <v>10.284000000000001</v>
      </c>
      <c r="J1054" s="39"/>
    </row>
    <row r="1055" spans="2:10" x14ac:dyDescent="0.2">
      <c r="B1055" s="4" t="s">
        <v>1988</v>
      </c>
      <c r="C1055" s="5" t="s">
        <v>1989</v>
      </c>
      <c r="D1055" s="6" t="s">
        <v>32</v>
      </c>
      <c r="E1055" s="6" t="s">
        <v>33</v>
      </c>
      <c r="F1055" s="53">
        <v>9</v>
      </c>
      <c r="G1055" s="42">
        <v>1.672860357567498E-4</v>
      </c>
      <c r="H1055" s="39">
        <v>3.3319999999999999</v>
      </c>
      <c r="I1055" s="39">
        <v>5.7119999999999997</v>
      </c>
      <c r="J1055" s="39"/>
    </row>
    <row r="1056" spans="2:10" ht="25.5" x14ac:dyDescent="0.2">
      <c r="B1056" s="4" t="s">
        <v>1990</v>
      </c>
      <c r="C1056" s="5" t="s">
        <v>1991</v>
      </c>
      <c r="D1056" s="6" t="s">
        <v>66</v>
      </c>
      <c r="E1056" s="6" t="s">
        <v>33</v>
      </c>
      <c r="F1056" s="53">
        <v>10.5</v>
      </c>
      <c r="G1056" s="42">
        <v>1.672860357567498E-4</v>
      </c>
      <c r="H1056" s="39">
        <v>3.8499999999999996</v>
      </c>
      <c r="I1056" s="39">
        <v>6.6</v>
      </c>
      <c r="J1056" s="39"/>
    </row>
    <row r="1057" spans="2:10" x14ac:dyDescent="0.2">
      <c r="B1057" s="4" t="s">
        <v>1992</v>
      </c>
      <c r="C1057" s="5" t="s">
        <v>1983</v>
      </c>
      <c r="D1057" s="6" t="s">
        <v>66</v>
      </c>
      <c r="E1057" s="6" t="s">
        <v>33</v>
      </c>
      <c r="F1057" s="53">
        <v>10.5</v>
      </c>
      <c r="G1057" s="42">
        <v>1.672860357567498E-4</v>
      </c>
      <c r="H1057" s="39">
        <v>3.8499999999999996</v>
      </c>
      <c r="I1057" s="39">
        <v>6.6</v>
      </c>
      <c r="J1057" s="39"/>
    </row>
    <row r="1058" spans="2:10" x14ac:dyDescent="0.2">
      <c r="B1058" s="4" t="s">
        <v>1993</v>
      </c>
      <c r="C1058" s="5" t="s">
        <v>1985</v>
      </c>
      <c r="D1058" s="6" t="s">
        <v>66</v>
      </c>
      <c r="E1058" s="6" t="s">
        <v>33</v>
      </c>
      <c r="F1058" s="53">
        <v>8.4</v>
      </c>
      <c r="G1058" s="42">
        <v>1.672860357567498E-4</v>
      </c>
      <c r="H1058" s="39">
        <v>3.08</v>
      </c>
      <c r="I1058" s="39">
        <v>5.28</v>
      </c>
      <c r="J1058" s="39"/>
    </row>
    <row r="1059" spans="2:10" x14ac:dyDescent="0.2">
      <c r="B1059" s="4" t="s">
        <v>1994</v>
      </c>
      <c r="C1059" s="5" t="s">
        <v>1987</v>
      </c>
      <c r="D1059" s="6" t="s">
        <v>66</v>
      </c>
      <c r="E1059" s="6" t="s">
        <v>33</v>
      </c>
      <c r="F1059" s="53">
        <v>8.4</v>
      </c>
      <c r="G1059" s="42">
        <v>1.672860357567498E-4</v>
      </c>
      <c r="H1059" s="39">
        <v>3.08</v>
      </c>
      <c r="I1059" s="39">
        <v>5.28</v>
      </c>
      <c r="J1059" s="39"/>
    </row>
    <row r="1060" spans="2:10" x14ac:dyDescent="0.2">
      <c r="B1060" s="4" t="s">
        <v>1995</v>
      </c>
      <c r="C1060" s="5" t="s">
        <v>1989</v>
      </c>
      <c r="D1060" s="6" t="s">
        <v>66</v>
      </c>
      <c r="E1060" s="6" t="s">
        <v>33</v>
      </c>
      <c r="F1060" s="53">
        <v>6.2</v>
      </c>
      <c r="G1060" s="42">
        <v>1.672860357567498E-4</v>
      </c>
      <c r="H1060" s="39">
        <v>2.3099999999999996</v>
      </c>
      <c r="I1060" s="39">
        <v>3.9599999999999995</v>
      </c>
      <c r="J1060" s="39"/>
    </row>
    <row r="1061" spans="2:10" x14ac:dyDescent="0.2">
      <c r="B1061" s="4" t="s">
        <v>1996</v>
      </c>
      <c r="C1061" s="5" t="s">
        <v>1997</v>
      </c>
      <c r="D1061" s="6" t="s">
        <v>32</v>
      </c>
      <c r="E1061" s="6" t="s">
        <v>33</v>
      </c>
      <c r="F1061" s="53">
        <v>25.5</v>
      </c>
      <c r="G1061" s="42">
        <v>1.672860357567498E-4</v>
      </c>
      <c r="H1061" s="39">
        <v>9.379999999999999</v>
      </c>
      <c r="I1061" s="39">
        <v>16.079999999999998</v>
      </c>
      <c r="J1061" s="39"/>
    </row>
    <row r="1062" spans="2:10" x14ac:dyDescent="0.2">
      <c r="B1062" s="4" t="s">
        <v>1998</v>
      </c>
      <c r="C1062" s="5" t="s">
        <v>1999</v>
      </c>
      <c r="D1062" s="6" t="s">
        <v>32</v>
      </c>
      <c r="E1062" s="6" t="s">
        <v>33</v>
      </c>
      <c r="F1062" s="53">
        <v>23</v>
      </c>
      <c r="G1062" s="42">
        <v>1.672860357567498E-4</v>
      </c>
      <c r="H1062" s="39">
        <v>8.4350000000000005</v>
      </c>
      <c r="I1062" s="39">
        <v>14.46</v>
      </c>
      <c r="J1062" s="39"/>
    </row>
    <row r="1063" spans="2:10" x14ac:dyDescent="0.2">
      <c r="B1063" s="4" t="s">
        <v>2000</v>
      </c>
      <c r="C1063" s="5" t="s">
        <v>1985</v>
      </c>
      <c r="D1063" s="6" t="s">
        <v>32</v>
      </c>
      <c r="E1063" s="6" t="s">
        <v>33</v>
      </c>
      <c r="F1063" s="53">
        <v>21</v>
      </c>
      <c r="G1063" s="42">
        <v>1.672860357567498E-4</v>
      </c>
      <c r="H1063" s="39">
        <v>7.8119999999999994</v>
      </c>
      <c r="I1063" s="39">
        <v>13.391999999999999</v>
      </c>
      <c r="J1063" s="39"/>
    </row>
    <row r="1064" spans="2:10" x14ac:dyDescent="0.2">
      <c r="B1064" s="4" t="s">
        <v>2001</v>
      </c>
      <c r="C1064" s="5" t="s">
        <v>1987</v>
      </c>
      <c r="D1064" s="6" t="s">
        <v>32</v>
      </c>
      <c r="E1064" s="6" t="s">
        <v>33</v>
      </c>
      <c r="F1064" s="53">
        <v>18</v>
      </c>
      <c r="G1064" s="42">
        <v>1.672860357567498E-4</v>
      </c>
      <c r="H1064" s="39">
        <v>6.72</v>
      </c>
      <c r="I1064" s="39">
        <v>11.52</v>
      </c>
      <c r="J1064" s="39"/>
    </row>
    <row r="1065" spans="2:10" x14ac:dyDescent="0.2">
      <c r="B1065" s="4" t="s">
        <v>2002</v>
      </c>
      <c r="C1065" s="5" t="s">
        <v>1989</v>
      </c>
      <c r="D1065" s="6" t="s">
        <v>32</v>
      </c>
      <c r="E1065" s="6" t="s">
        <v>33</v>
      </c>
      <c r="F1065" s="53">
        <v>20</v>
      </c>
      <c r="G1065" s="42">
        <v>1.672860357567498E-4</v>
      </c>
      <c r="H1065" s="39">
        <v>7.56</v>
      </c>
      <c r="I1065" s="39">
        <v>12.96</v>
      </c>
      <c r="J1065" s="39"/>
    </row>
    <row r="1066" spans="2:10" ht="25.5" x14ac:dyDescent="0.2">
      <c r="B1066" s="4" t="s">
        <v>2003</v>
      </c>
      <c r="C1066" s="5" t="s">
        <v>2004</v>
      </c>
      <c r="D1066" s="6" t="s">
        <v>66</v>
      </c>
      <c r="E1066" s="6" t="s">
        <v>33</v>
      </c>
      <c r="F1066" s="53">
        <v>10.5</v>
      </c>
      <c r="G1066" s="42">
        <v>1.672860357567498E-4</v>
      </c>
      <c r="H1066" s="39">
        <v>3.8499999999999996</v>
      </c>
      <c r="I1066" s="39">
        <v>6.6</v>
      </c>
      <c r="J1066" s="39"/>
    </row>
    <row r="1067" spans="2:10" x14ac:dyDescent="0.2">
      <c r="B1067" s="4" t="s">
        <v>2005</v>
      </c>
      <c r="C1067" s="5" t="s">
        <v>1999</v>
      </c>
      <c r="D1067" s="6" t="s">
        <v>66</v>
      </c>
      <c r="E1067" s="6" t="s">
        <v>33</v>
      </c>
      <c r="F1067" s="53">
        <v>10.5</v>
      </c>
      <c r="G1067" s="42">
        <v>1.672860357567498E-4</v>
      </c>
      <c r="H1067" s="39">
        <v>3.8499999999999996</v>
      </c>
      <c r="I1067" s="39">
        <v>6.6</v>
      </c>
      <c r="J1067" s="39"/>
    </row>
    <row r="1068" spans="2:10" x14ac:dyDescent="0.2">
      <c r="B1068" s="4" t="s">
        <v>2006</v>
      </c>
      <c r="C1068" s="5" t="s">
        <v>1985</v>
      </c>
      <c r="D1068" s="6" t="s">
        <v>66</v>
      </c>
      <c r="E1068" s="6" t="s">
        <v>33</v>
      </c>
      <c r="F1068" s="53">
        <v>8.4</v>
      </c>
      <c r="G1068" s="42">
        <v>1.672860357567498E-4</v>
      </c>
      <c r="H1068" s="39">
        <v>3.08</v>
      </c>
      <c r="I1068" s="39">
        <v>5.28</v>
      </c>
      <c r="J1068" s="39"/>
    </row>
    <row r="1069" spans="2:10" x14ac:dyDescent="0.2">
      <c r="B1069" s="4" t="s">
        <v>2007</v>
      </c>
      <c r="C1069" s="5" t="s">
        <v>1987</v>
      </c>
      <c r="D1069" s="6" t="s">
        <v>66</v>
      </c>
      <c r="E1069" s="6" t="s">
        <v>33</v>
      </c>
      <c r="F1069" s="53">
        <v>8.4</v>
      </c>
      <c r="G1069" s="42">
        <v>1.672860357567498E-4</v>
      </c>
      <c r="H1069" s="39">
        <v>3.08</v>
      </c>
      <c r="I1069" s="39">
        <v>5.28</v>
      </c>
      <c r="J1069" s="39"/>
    </row>
    <row r="1070" spans="2:10" x14ac:dyDescent="0.2">
      <c r="B1070" s="4" t="s">
        <v>2008</v>
      </c>
      <c r="C1070" s="5" t="s">
        <v>1989</v>
      </c>
      <c r="D1070" s="6" t="s">
        <v>66</v>
      </c>
      <c r="E1070" s="6" t="s">
        <v>33</v>
      </c>
      <c r="F1070" s="53">
        <v>6.3</v>
      </c>
      <c r="G1070" s="42">
        <v>1.672860357567498E-4</v>
      </c>
      <c r="H1070" s="39">
        <v>2.3099999999999996</v>
      </c>
      <c r="I1070" s="39">
        <v>3.9599999999999995</v>
      </c>
      <c r="J1070" s="39"/>
    </row>
    <row r="1071" spans="2:10" ht="25.5" x14ac:dyDescent="0.2">
      <c r="B1071" s="4" t="s">
        <v>2009</v>
      </c>
      <c r="C1071" s="5" t="s">
        <v>2010</v>
      </c>
      <c r="D1071" s="6" t="s">
        <v>32</v>
      </c>
      <c r="E1071" s="6" t="s">
        <v>33</v>
      </c>
      <c r="F1071" s="53">
        <v>16.100000000000001</v>
      </c>
      <c r="G1071" s="42">
        <v>1.672860357567498E-4</v>
      </c>
      <c r="H1071" s="39">
        <v>5.88</v>
      </c>
      <c r="I1071" s="39">
        <v>10.08</v>
      </c>
      <c r="J1071" s="39"/>
    </row>
    <row r="1072" spans="2:10" x14ac:dyDescent="0.2">
      <c r="B1072" s="4" t="s">
        <v>2011</v>
      </c>
      <c r="C1072" s="5" t="s">
        <v>2012</v>
      </c>
      <c r="D1072" s="6" t="s">
        <v>32</v>
      </c>
      <c r="E1072" s="6" t="s">
        <v>33</v>
      </c>
      <c r="F1072" s="53">
        <v>18.399999999999999</v>
      </c>
      <c r="G1072" s="42">
        <v>1.672860357567498E-4</v>
      </c>
      <c r="H1072" s="39">
        <v>6.72</v>
      </c>
      <c r="I1072" s="39">
        <v>11.52</v>
      </c>
      <c r="J1072" s="39"/>
    </row>
    <row r="1073" spans="2:10" x14ac:dyDescent="0.2">
      <c r="B1073" s="4" t="s">
        <v>2013</v>
      </c>
      <c r="C1073" s="5" t="s">
        <v>2014</v>
      </c>
      <c r="D1073" s="6" t="s">
        <v>32</v>
      </c>
      <c r="E1073" s="6" t="s">
        <v>33</v>
      </c>
      <c r="F1073" s="53">
        <v>20.5</v>
      </c>
      <c r="G1073" s="42">
        <v>1.672860357567498E-4</v>
      </c>
      <c r="H1073" s="39">
        <v>7.56</v>
      </c>
      <c r="I1073" s="39">
        <v>12.96</v>
      </c>
      <c r="J1073" s="39"/>
    </row>
    <row r="1074" spans="2:10" x14ac:dyDescent="0.2">
      <c r="B1074" s="4" t="s">
        <v>2015</v>
      </c>
      <c r="C1074" s="5" t="s">
        <v>2016</v>
      </c>
      <c r="D1074" s="6" t="s">
        <v>32</v>
      </c>
      <c r="E1074" s="6" t="s">
        <v>33</v>
      </c>
      <c r="F1074" s="53">
        <v>23</v>
      </c>
      <c r="G1074" s="42">
        <v>1.672860357567498E-4</v>
      </c>
      <c r="H1074" s="39">
        <v>8.407</v>
      </c>
      <c r="I1074" s="39">
        <v>14.411999999999999</v>
      </c>
      <c r="J1074" s="39"/>
    </row>
    <row r="1075" spans="2:10" x14ac:dyDescent="0.2">
      <c r="B1075" s="4" t="s">
        <v>2017</v>
      </c>
      <c r="C1075" s="5" t="s">
        <v>2018</v>
      </c>
      <c r="D1075" s="6" t="s">
        <v>32</v>
      </c>
      <c r="E1075" s="6" t="s">
        <v>33</v>
      </c>
      <c r="F1075" s="53">
        <v>27.5</v>
      </c>
      <c r="G1075" s="42">
        <v>1.672860357567498E-4</v>
      </c>
      <c r="H1075" s="39">
        <v>10.087</v>
      </c>
      <c r="I1075" s="39">
        <v>17.291999999999998</v>
      </c>
      <c r="J1075" s="39"/>
    </row>
    <row r="1076" spans="2:10" ht="25.5" x14ac:dyDescent="0.2">
      <c r="B1076" s="4" t="s">
        <v>2019</v>
      </c>
      <c r="C1076" s="5" t="s">
        <v>2020</v>
      </c>
      <c r="D1076" s="6" t="s">
        <v>66</v>
      </c>
      <c r="E1076" s="6" t="s">
        <v>33</v>
      </c>
      <c r="F1076" s="53">
        <v>10.5</v>
      </c>
      <c r="G1076" s="42">
        <v>1.672860357567498E-4</v>
      </c>
      <c r="H1076" s="39">
        <v>3.8499999999999996</v>
      </c>
      <c r="I1076" s="39">
        <v>6.6</v>
      </c>
      <c r="J1076" s="39"/>
    </row>
    <row r="1077" spans="2:10" x14ac:dyDescent="0.2">
      <c r="B1077" s="4" t="s">
        <v>2021</v>
      </c>
      <c r="C1077" s="5" t="s">
        <v>2012</v>
      </c>
      <c r="D1077" s="6" t="s">
        <v>66</v>
      </c>
      <c r="E1077" s="6" t="s">
        <v>33</v>
      </c>
      <c r="F1077" s="53">
        <v>8.4</v>
      </c>
      <c r="G1077" s="42">
        <v>1.672860357567498E-4</v>
      </c>
      <c r="H1077" s="39">
        <v>3.08</v>
      </c>
      <c r="I1077" s="39">
        <v>5.28</v>
      </c>
      <c r="J1077" s="39"/>
    </row>
    <row r="1078" spans="2:10" x14ac:dyDescent="0.2">
      <c r="B1078" s="4" t="s">
        <v>2022</v>
      </c>
      <c r="C1078" s="5" t="s">
        <v>2014</v>
      </c>
      <c r="D1078" s="6" t="s">
        <v>66</v>
      </c>
      <c r="E1078" s="6" t="s">
        <v>33</v>
      </c>
      <c r="F1078" s="53">
        <v>6.3</v>
      </c>
      <c r="G1078" s="42">
        <v>1.672860357567498E-4</v>
      </c>
      <c r="H1078" s="39">
        <v>2.3099999999999996</v>
      </c>
      <c r="I1078" s="39">
        <v>3.9599999999999995</v>
      </c>
      <c r="J1078" s="39"/>
    </row>
    <row r="1079" spans="2:10" x14ac:dyDescent="0.2">
      <c r="B1079" s="4" t="s">
        <v>2023</v>
      </c>
      <c r="C1079" s="5" t="s">
        <v>2016</v>
      </c>
      <c r="D1079" s="6" t="s">
        <v>66</v>
      </c>
      <c r="E1079" s="6" t="s">
        <v>33</v>
      </c>
      <c r="F1079" s="53">
        <v>4.2</v>
      </c>
      <c r="G1079" s="42">
        <v>1.672860357567498E-4</v>
      </c>
      <c r="H1079" s="39">
        <v>1.54</v>
      </c>
      <c r="I1079" s="39">
        <v>2.64</v>
      </c>
      <c r="J1079" s="39"/>
    </row>
    <row r="1080" spans="2:10" x14ac:dyDescent="0.2">
      <c r="B1080" s="4" t="s">
        <v>2024</v>
      </c>
      <c r="C1080" s="5" t="s">
        <v>2018</v>
      </c>
      <c r="D1080" s="6" t="s">
        <v>66</v>
      </c>
      <c r="E1080" s="6" t="s">
        <v>33</v>
      </c>
      <c r="F1080" s="53">
        <v>4.2</v>
      </c>
      <c r="G1080" s="42">
        <v>1.672860357567498E-4</v>
      </c>
      <c r="H1080" s="39">
        <v>1.54</v>
      </c>
      <c r="I1080" s="39">
        <v>2.64</v>
      </c>
      <c r="J1080" s="39"/>
    </row>
    <row r="1081" spans="2:10" ht="25.5" x14ac:dyDescent="0.2">
      <c r="B1081" s="4" t="s">
        <v>2025</v>
      </c>
      <c r="C1081" s="5" t="s">
        <v>2026</v>
      </c>
      <c r="D1081" s="6" t="s">
        <v>32</v>
      </c>
      <c r="E1081" s="6" t="s">
        <v>33</v>
      </c>
      <c r="F1081" s="53">
        <v>18</v>
      </c>
      <c r="G1081" s="42">
        <v>1.672860357567498E-4</v>
      </c>
      <c r="H1081" s="39">
        <v>6.72</v>
      </c>
      <c r="I1081" s="39">
        <v>11.52</v>
      </c>
      <c r="J1081" s="39"/>
    </row>
    <row r="1082" spans="2:10" x14ac:dyDescent="0.2">
      <c r="B1082" s="4" t="s">
        <v>2027</v>
      </c>
      <c r="C1082" s="5" t="s">
        <v>2012</v>
      </c>
      <c r="D1082" s="6" t="s">
        <v>32</v>
      </c>
      <c r="E1082" s="6" t="s">
        <v>33</v>
      </c>
      <c r="F1082" s="53">
        <v>20.5</v>
      </c>
      <c r="G1082" s="42">
        <v>1.672860357567498E-4</v>
      </c>
      <c r="H1082" s="39">
        <v>7.56</v>
      </c>
      <c r="I1082" s="39">
        <v>12.96</v>
      </c>
      <c r="J1082" s="39"/>
    </row>
    <row r="1083" spans="2:10" x14ac:dyDescent="0.2">
      <c r="B1083" s="4" t="s">
        <v>2028</v>
      </c>
      <c r="C1083" s="5" t="s">
        <v>2014</v>
      </c>
      <c r="D1083" s="6" t="s">
        <v>32</v>
      </c>
      <c r="E1083" s="6" t="s">
        <v>33</v>
      </c>
      <c r="F1083" s="53">
        <v>23</v>
      </c>
      <c r="G1083" s="42">
        <v>1.672860357567498E-4</v>
      </c>
      <c r="H1083" s="39">
        <v>8.407</v>
      </c>
      <c r="I1083" s="39">
        <v>14.411999999999999</v>
      </c>
      <c r="J1083" s="39"/>
    </row>
    <row r="1084" spans="2:10" x14ac:dyDescent="0.2">
      <c r="B1084" s="4" t="s">
        <v>2029</v>
      </c>
      <c r="C1084" s="5" t="s">
        <v>2030</v>
      </c>
      <c r="D1084" s="6" t="s">
        <v>32</v>
      </c>
      <c r="E1084" s="6" t="s">
        <v>33</v>
      </c>
      <c r="F1084" s="53">
        <v>25</v>
      </c>
      <c r="G1084" s="42">
        <v>1.672860357567498E-4</v>
      </c>
      <c r="H1084" s="39">
        <v>9.2469999999999999</v>
      </c>
      <c r="I1084" s="39">
        <v>15.852</v>
      </c>
      <c r="J1084" s="39"/>
    </row>
    <row r="1085" spans="2:10" x14ac:dyDescent="0.2">
      <c r="B1085" s="4" t="s">
        <v>2031</v>
      </c>
      <c r="C1085" s="5" t="s">
        <v>2018</v>
      </c>
      <c r="D1085" s="6" t="s">
        <v>32</v>
      </c>
      <c r="E1085" s="6" t="s">
        <v>33</v>
      </c>
      <c r="F1085" s="53">
        <v>27.5</v>
      </c>
      <c r="G1085" s="42">
        <v>1.672860357567498E-4</v>
      </c>
      <c r="H1085" s="39">
        <v>10.087</v>
      </c>
      <c r="I1085" s="39">
        <v>17.291999999999998</v>
      </c>
      <c r="J1085" s="39"/>
    </row>
    <row r="1086" spans="2:10" ht="25.5" x14ac:dyDescent="0.2">
      <c r="B1086" s="4" t="s">
        <v>2032</v>
      </c>
      <c r="C1086" s="5" t="s">
        <v>2033</v>
      </c>
      <c r="D1086" s="6" t="s">
        <v>66</v>
      </c>
      <c r="E1086" s="6" t="s">
        <v>33</v>
      </c>
      <c r="F1086" s="53">
        <v>6.2</v>
      </c>
      <c r="G1086" s="42">
        <v>1.672860357567498E-4</v>
      </c>
      <c r="H1086" s="39">
        <v>2.3099999999999996</v>
      </c>
      <c r="I1086" s="39">
        <v>3.9599999999999995</v>
      </c>
      <c r="J1086" s="39"/>
    </row>
    <row r="1087" spans="2:10" x14ac:dyDescent="0.2">
      <c r="B1087" s="4" t="s">
        <v>2034</v>
      </c>
      <c r="C1087" s="5" t="s">
        <v>2012</v>
      </c>
      <c r="D1087" s="6" t="s">
        <v>66</v>
      </c>
      <c r="E1087" s="6" t="s">
        <v>33</v>
      </c>
      <c r="F1087" s="53">
        <v>8.4</v>
      </c>
      <c r="G1087" s="42">
        <v>1.672860357567498E-4</v>
      </c>
      <c r="H1087" s="39">
        <v>3.08</v>
      </c>
      <c r="I1087" s="39">
        <v>5.28</v>
      </c>
      <c r="J1087" s="39"/>
    </row>
    <row r="1088" spans="2:10" x14ac:dyDescent="0.2">
      <c r="B1088" s="4" t="s">
        <v>2035</v>
      </c>
      <c r="C1088" s="5" t="s">
        <v>2014</v>
      </c>
      <c r="D1088" s="6" t="s">
        <v>66</v>
      </c>
      <c r="E1088" s="6" t="s">
        <v>33</v>
      </c>
      <c r="F1088" s="53">
        <v>8.4</v>
      </c>
      <c r="G1088" s="42">
        <v>1.672860357567498E-4</v>
      </c>
      <c r="H1088" s="39">
        <v>3.08</v>
      </c>
      <c r="I1088" s="39">
        <v>5.28</v>
      </c>
      <c r="J1088" s="39"/>
    </row>
    <row r="1089" spans="2:10" x14ac:dyDescent="0.2">
      <c r="B1089" s="4" t="s">
        <v>2036</v>
      </c>
      <c r="C1089" s="5" t="s">
        <v>2030</v>
      </c>
      <c r="D1089" s="6" t="s">
        <v>66</v>
      </c>
      <c r="E1089" s="6" t="s">
        <v>33</v>
      </c>
      <c r="F1089" s="53">
        <v>10.5</v>
      </c>
      <c r="G1089" s="42">
        <v>1.672860357567498E-4</v>
      </c>
      <c r="H1089" s="39">
        <v>3.8499999999999996</v>
      </c>
      <c r="I1089" s="39">
        <v>6.6</v>
      </c>
      <c r="J1089" s="39"/>
    </row>
    <row r="1090" spans="2:10" x14ac:dyDescent="0.2">
      <c r="B1090" s="4" t="s">
        <v>2037</v>
      </c>
      <c r="C1090" s="5" t="s">
        <v>2018</v>
      </c>
      <c r="D1090" s="6" t="s">
        <v>66</v>
      </c>
      <c r="E1090" s="6" t="s">
        <v>33</v>
      </c>
      <c r="F1090" s="53">
        <v>10.5</v>
      </c>
      <c r="G1090" s="42">
        <v>1.672860357567498E-4</v>
      </c>
      <c r="H1090" s="39">
        <v>3.8499999999999996</v>
      </c>
      <c r="I1090" s="39">
        <v>6.6</v>
      </c>
      <c r="J1090" s="39"/>
    </row>
    <row r="1091" spans="2:10" ht="38.25" x14ac:dyDescent="0.2">
      <c r="B1091" s="4" t="s">
        <v>2038</v>
      </c>
      <c r="C1091" s="5" t="s">
        <v>2039</v>
      </c>
      <c r="D1091" s="6" t="s">
        <v>66</v>
      </c>
      <c r="E1091" s="6" t="s">
        <v>33</v>
      </c>
      <c r="F1091" s="53">
        <v>61.4</v>
      </c>
      <c r="G1091" s="42">
        <v>1.672860357567498E-4</v>
      </c>
      <c r="H1091" s="39">
        <v>22.4</v>
      </c>
      <c r="I1091" s="39">
        <v>38.4</v>
      </c>
      <c r="J1091" s="39"/>
    </row>
    <row r="1092" spans="2:10" x14ac:dyDescent="0.2">
      <c r="B1092" s="4" t="s">
        <v>2040</v>
      </c>
      <c r="C1092" s="5" t="s">
        <v>2041</v>
      </c>
      <c r="D1092" s="6" t="s">
        <v>66</v>
      </c>
      <c r="E1092" s="6" t="s">
        <v>33</v>
      </c>
      <c r="F1092" s="53">
        <v>74.8</v>
      </c>
      <c r="G1092" s="42">
        <v>1.672860357567498E-4</v>
      </c>
      <c r="H1092" s="39">
        <v>27.299999999999997</v>
      </c>
      <c r="I1092" s="39">
        <v>46.8</v>
      </c>
      <c r="J1092" s="39"/>
    </row>
    <row r="1093" spans="2:10" x14ac:dyDescent="0.2">
      <c r="B1093" s="4" t="s">
        <v>2042</v>
      </c>
      <c r="C1093" s="5" t="s">
        <v>2043</v>
      </c>
      <c r="D1093" s="6" t="s">
        <v>66</v>
      </c>
      <c r="E1093" s="6" t="s">
        <v>33</v>
      </c>
      <c r="F1093" s="53">
        <v>92.1</v>
      </c>
      <c r="G1093" s="42">
        <v>1.672860357567498E-4</v>
      </c>
      <c r="H1093" s="39">
        <v>33.599999999999994</v>
      </c>
      <c r="I1093" s="39">
        <v>57.599999999999994</v>
      </c>
      <c r="J1093" s="39"/>
    </row>
    <row r="1094" spans="2:10" ht="51" x14ac:dyDescent="0.2">
      <c r="B1094" s="4" t="s">
        <v>2044</v>
      </c>
      <c r="C1094" s="5" t="s">
        <v>2045</v>
      </c>
      <c r="D1094" s="6" t="s">
        <v>66</v>
      </c>
      <c r="E1094" s="6" t="s">
        <v>33</v>
      </c>
      <c r="F1094" s="53">
        <v>119</v>
      </c>
      <c r="G1094" s="42">
        <v>1.672860357567498E-4</v>
      </c>
      <c r="H1094" s="39">
        <v>43.4</v>
      </c>
      <c r="I1094" s="39">
        <v>74.399999999999991</v>
      </c>
      <c r="J1094" s="39"/>
    </row>
    <row r="1095" spans="2:10" ht="63.75" x14ac:dyDescent="0.2">
      <c r="B1095" s="4" t="s">
        <v>2046</v>
      </c>
      <c r="C1095" s="5" t="s">
        <v>2047</v>
      </c>
      <c r="D1095" s="6" t="s">
        <v>32</v>
      </c>
      <c r="E1095" s="6" t="s">
        <v>33</v>
      </c>
      <c r="F1095" s="53">
        <v>11.5</v>
      </c>
      <c r="G1095" s="42">
        <v>1.672860357567498E-4</v>
      </c>
      <c r="H1095" s="39">
        <v>4.1999999999999993</v>
      </c>
      <c r="I1095" s="39">
        <v>7.1999999999999993</v>
      </c>
      <c r="J1095" s="39"/>
    </row>
    <row r="1096" spans="2:10" ht="25.5" x14ac:dyDescent="0.2">
      <c r="B1096" s="4" t="s">
        <v>2048</v>
      </c>
      <c r="C1096" s="5" t="s">
        <v>2049</v>
      </c>
      <c r="D1096" s="6" t="s">
        <v>32</v>
      </c>
      <c r="E1096" s="6" t="s">
        <v>33</v>
      </c>
      <c r="F1096" s="53">
        <v>14</v>
      </c>
      <c r="G1096" s="42">
        <v>1.672860357567498E-4</v>
      </c>
      <c r="H1096" s="39">
        <v>5.25</v>
      </c>
      <c r="I1096" s="39">
        <v>9</v>
      </c>
      <c r="J1096" s="39"/>
    </row>
    <row r="1097" spans="2:10" ht="63.75" x14ac:dyDescent="0.2">
      <c r="B1097" s="4" t="s">
        <v>2050</v>
      </c>
      <c r="C1097" s="5" t="s">
        <v>2051</v>
      </c>
      <c r="D1097" s="6" t="s">
        <v>32</v>
      </c>
      <c r="E1097" s="6" t="s">
        <v>33</v>
      </c>
      <c r="F1097" s="53">
        <v>16.2</v>
      </c>
      <c r="G1097" s="42">
        <v>1.672860357567498E-4</v>
      </c>
      <c r="H1097" s="39">
        <v>5.9499999999999993</v>
      </c>
      <c r="I1097" s="39">
        <v>10.199999999999999</v>
      </c>
      <c r="J1097" s="39"/>
    </row>
    <row r="1098" spans="2:10" x14ac:dyDescent="0.2">
      <c r="B1098" s="4" t="s">
        <v>2052</v>
      </c>
      <c r="C1098" s="5" t="s">
        <v>2053</v>
      </c>
      <c r="D1098" s="6"/>
      <c r="E1098" s="6"/>
      <c r="F1098" s="50"/>
      <c r="G1098" s="42">
        <v>1.672860357567498E-4</v>
      </c>
      <c r="H1098" s="39" t="s">
        <v>49</v>
      </c>
      <c r="I1098" s="39" t="s">
        <v>49</v>
      </c>
      <c r="J1098" s="39"/>
    </row>
    <row r="1099" spans="2:10" ht="25.5" x14ac:dyDescent="0.2">
      <c r="B1099" s="4" t="s">
        <v>2054</v>
      </c>
      <c r="C1099" s="5" t="s">
        <v>2055</v>
      </c>
      <c r="D1099" s="6" t="s">
        <v>32</v>
      </c>
      <c r="E1099" s="6" t="s">
        <v>33</v>
      </c>
      <c r="F1099" s="53">
        <v>18.2</v>
      </c>
      <c r="G1099" s="42">
        <v>1.672860357567498E-4</v>
      </c>
      <c r="H1099" s="39">
        <v>6.72</v>
      </c>
      <c r="I1099" s="39">
        <v>11.52</v>
      </c>
      <c r="J1099" s="39"/>
    </row>
    <row r="1100" spans="2:10" x14ac:dyDescent="0.2">
      <c r="B1100" s="4" t="s">
        <v>2056</v>
      </c>
      <c r="C1100" s="5" t="s">
        <v>2057</v>
      </c>
      <c r="D1100" s="6" t="s">
        <v>32</v>
      </c>
      <c r="E1100" s="6" t="s">
        <v>33</v>
      </c>
      <c r="F1100" s="53">
        <v>20.5</v>
      </c>
      <c r="G1100" s="42">
        <v>1.672860357567498E-4</v>
      </c>
      <c r="H1100" s="39">
        <v>7.56</v>
      </c>
      <c r="I1100" s="39">
        <v>12.96</v>
      </c>
      <c r="J1100" s="39"/>
    </row>
    <row r="1101" spans="2:10" x14ac:dyDescent="0.2">
      <c r="B1101" s="4" t="s">
        <v>2058</v>
      </c>
      <c r="C1101" s="5" t="s">
        <v>2059</v>
      </c>
      <c r="D1101" s="6" t="s">
        <v>32</v>
      </c>
      <c r="E1101" s="6" t="s">
        <v>33</v>
      </c>
      <c r="F1101" s="53">
        <v>21.5</v>
      </c>
      <c r="G1101" s="42">
        <v>1.672860357567498E-4</v>
      </c>
      <c r="H1101" s="39">
        <v>7.9799999999999995</v>
      </c>
      <c r="I1101" s="39">
        <v>13.68</v>
      </c>
      <c r="J1101" s="39"/>
    </row>
    <row r="1102" spans="2:10" x14ac:dyDescent="0.2">
      <c r="B1102" s="4" t="s">
        <v>2060</v>
      </c>
      <c r="C1102" s="5" t="s">
        <v>2061</v>
      </c>
      <c r="D1102" s="6" t="s">
        <v>32</v>
      </c>
      <c r="E1102" s="6" t="s">
        <v>33</v>
      </c>
      <c r="F1102" s="53">
        <v>25</v>
      </c>
      <c r="G1102" s="42">
        <v>1.672860357567498E-4</v>
      </c>
      <c r="H1102" s="39">
        <v>9.2469999999999999</v>
      </c>
      <c r="I1102" s="39">
        <v>15.852</v>
      </c>
      <c r="J1102" s="39"/>
    </row>
    <row r="1103" spans="2:10" x14ac:dyDescent="0.2">
      <c r="B1103" s="4" t="s">
        <v>2062</v>
      </c>
      <c r="C1103" s="5" t="s">
        <v>2063</v>
      </c>
      <c r="D1103" s="6" t="s">
        <v>32</v>
      </c>
      <c r="E1103" s="6" t="s">
        <v>33</v>
      </c>
      <c r="F1103" s="53">
        <v>27.5</v>
      </c>
      <c r="G1103" s="42">
        <v>1.672860357567498E-4</v>
      </c>
      <c r="H1103" s="39">
        <v>10.087</v>
      </c>
      <c r="I1103" s="39">
        <v>17.291999999999998</v>
      </c>
      <c r="J1103" s="39"/>
    </row>
    <row r="1104" spans="2:10" x14ac:dyDescent="0.2">
      <c r="B1104" s="4" t="s">
        <v>2064</v>
      </c>
      <c r="C1104" s="5" t="s">
        <v>2065</v>
      </c>
      <c r="D1104" s="6" t="s">
        <v>32</v>
      </c>
      <c r="E1104" s="6" t="s">
        <v>33</v>
      </c>
      <c r="F1104" s="53">
        <v>30</v>
      </c>
      <c r="G1104" s="42">
        <v>1.672860357567498E-4</v>
      </c>
      <c r="H1104" s="39">
        <v>10.989999999999998</v>
      </c>
      <c r="I1104" s="39">
        <v>18.84</v>
      </c>
      <c r="J1104" s="39"/>
    </row>
    <row r="1105" spans="2:10" x14ac:dyDescent="0.2">
      <c r="B1105" s="4" t="s">
        <v>2066</v>
      </c>
      <c r="C1105" s="5" t="s">
        <v>2067</v>
      </c>
      <c r="D1105" s="6" t="s">
        <v>32</v>
      </c>
      <c r="E1105" s="6" t="s">
        <v>33</v>
      </c>
      <c r="F1105" s="53">
        <v>31.5</v>
      </c>
      <c r="G1105" s="42">
        <v>1.672860357567498E-4</v>
      </c>
      <c r="H1105" s="39">
        <v>11.613</v>
      </c>
      <c r="I1105" s="39">
        <v>19.907999999999998</v>
      </c>
      <c r="J1105" s="39"/>
    </row>
    <row r="1106" spans="2:10" x14ac:dyDescent="0.2">
      <c r="B1106" s="4" t="s">
        <v>2068</v>
      </c>
      <c r="C1106" s="5" t="s">
        <v>2069</v>
      </c>
      <c r="D1106" s="6" t="s">
        <v>32</v>
      </c>
      <c r="E1106" s="6" t="s">
        <v>33</v>
      </c>
      <c r="F1106" s="53">
        <v>39</v>
      </c>
      <c r="G1106" s="42">
        <v>1.672860357567498E-4</v>
      </c>
      <c r="H1106" s="39">
        <v>14.286999999999999</v>
      </c>
      <c r="I1106" s="39">
        <v>24.492000000000001</v>
      </c>
      <c r="J1106" s="39"/>
    </row>
    <row r="1107" spans="2:10" x14ac:dyDescent="0.2">
      <c r="B1107" s="4" t="s">
        <v>2070</v>
      </c>
      <c r="C1107" s="5" t="s">
        <v>2071</v>
      </c>
      <c r="D1107" s="6" t="s">
        <v>32</v>
      </c>
      <c r="E1107" s="6" t="s">
        <v>33</v>
      </c>
      <c r="F1107" s="53">
        <v>46</v>
      </c>
      <c r="G1107" s="42">
        <v>1.672860357567498E-4</v>
      </c>
      <c r="H1107" s="39">
        <v>16.806999999999999</v>
      </c>
      <c r="I1107" s="39">
        <v>28.812000000000001</v>
      </c>
      <c r="J1107" s="39"/>
    </row>
    <row r="1108" spans="2:10" ht="25.5" x14ac:dyDescent="0.2">
      <c r="B1108" s="4" t="s">
        <v>2072</v>
      </c>
      <c r="C1108" s="5" t="s">
        <v>2073</v>
      </c>
      <c r="D1108" s="6" t="s">
        <v>66</v>
      </c>
      <c r="E1108" s="6" t="s">
        <v>33</v>
      </c>
      <c r="F1108" s="53">
        <v>4.2</v>
      </c>
      <c r="G1108" s="42">
        <v>1.672860357567498E-4</v>
      </c>
      <c r="H1108" s="39">
        <v>1.54</v>
      </c>
      <c r="I1108" s="39">
        <v>2.64</v>
      </c>
      <c r="J1108" s="39"/>
    </row>
    <row r="1109" spans="2:10" x14ac:dyDescent="0.2">
      <c r="B1109" s="4" t="s">
        <v>2074</v>
      </c>
      <c r="C1109" s="5" t="s">
        <v>2057</v>
      </c>
      <c r="D1109" s="6" t="s">
        <v>66</v>
      </c>
      <c r="E1109" s="6" t="s">
        <v>33</v>
      </c>
      <c r="F1109" s="53">
        <v>4.2</v>
      </c>
      <c r="G1109" s="42">
        <v>1.672860357567498E-4</v>
      </c>
      <c r="H1109" s="39">
        <v>1.54</v>
      </c>
      <c r="I1109" s="39">
        <v>2.64</v>
      </c>
      <c r="J1109" s="39"/>
    </row>
    <row r="1110" spans="2:10" x14ac:dyDescent="0.2">
      <c r="B1110" s="4" t="s">
        <v>2075</v>
      </c>
      <c r="C1110" s="5" t="s">
        <v>2059</v>
      </c>
      <c r="D1110" s="6" t="s">
        <v>66</v>
      </c>
      <c r="E1110" s="6" t="s">
        <v>33</v>
      </c>
      <c r="F1110" s="53">
        <v>6.3</v>
      </c>
      <c r="G1110" s="42">
        <v>1.672860357567498E-4</v>
      </c>
      <c r="H1110" s="39">
        <v>2.3099999999999996</v>
      </c>
      <c r="I1110" s="39">
        <v>3.9599999999999995</v>
      </c>
      <c r="J1110" s="39"/>
    </row>
    <row r="1111" spans="2:10" x14ac:dyDescent="0.2">
      <c r="B1111" s="4" t="s">
        <v>2076</v>
      </c>
      <c r="C1111" s="5" t="s">
        <v>2077</v>
      </c>
      <c r="D1111" s="6" t="s">
        <v>66</v>
      </c>
      <c r="E1111" s="6" t="s">
        <v>33</v>
      </c>
      <c r="F1111" s="53">
        <v>6.3</v>
      </c>
      <c r="G1111" s="42">
        <v>1.672860357567498E-4</v>
      </c>
      <c r="H1111" s="39">
        <v>2.3099999999999996</v>
      </c>
      <c r="I1111" s="39">
        <v>3.9599999999999995</v>
      </c>
      <c r="J1111" s="39"/>
    </row>
    <row r="1112" spans="2:10" x14ac:dyDescent="0.2">
      <c r="B1112" s="4" t="s">
        <v>2078</v>
      </c>
      <c r="C1112" s="5" t="s">
        <v>2079</v>
      </c>
      <c r="D1112" s="6" t="s">
        <v>66</v>
      </c>
      <c r="E1112" s="6" t="s">
        <v>33</v>
      </c>
      <c r="F1112" s="53">
        <v>8.4</v>
      </c>
      <c r="G1112" s="42">
        <v>1.672860357567498E-4</v>
      </c>
      <c r="H1112" s="39">
        <v>3.08</v>
      </c>
      <c r="I1112" s="39">
        <v>5.28</v>
      </c>
      <c r="J1112" s="39"/>
    </row>
    <row r="1113" spans="2:10" x14ac:dyDescent="0.2">
      <c r="B1113" s="4" t="s">
        <v>2080</v>
      </c>
      <c r="C1113" s="5" t="s">
        <v>2065</v>
      </c>
      <c r="D1113" s="6" t="s">
        <v>66</v>
      </c>
      <c r="E1113" s="6" t="s">
        <v>33</v>
      </c>
      <c r="F1113" s="53">
        <v>8.4</v>
      </c>
      <c r="G1113" s="42">
        <v>1.672860357567498E-4</v>
      </c>
      <c r="H1113" s="39">
        <v>3.08</v>
      </c>
      <c r="I1113" s="39">
        <v>5.28</v>
      </c>
      <c r="J1113" s="39"/>
    </row>
    <row r="1114" spans="2:10" x14ac:dyDescent="0.2">
      <c r="B1114" s="4" t="s">
        <v>2081</v>
      </c>
      <c r="C1114" s="5" t="s">
        <v>2067</v>
      </c>
      <c r="D1114" s="6" t="s">
        <v>66</v>
      </c>
      <c r="E1114" s="6" t="s">
        <v>33</v>
      </c>
      <c r="F1114" s="53">
        <v>10.5</v>
      </c>
      <c r="G1114" s="42">
        <v>1.672860357567498E-4</v>
      </c>
      <c r="H1114" s="39">
        <v>3.8499999999999996</v>
      </c>
      <c r="I1114" s="39">
        <v>6.6</v>
      </c>
      <c r="J1114" s="39"/>
    </row>
    <row r="1115" spans="2:10" x14ac:dyDescent="0.2">
      <c r="B1115" s="4" t="s">
        <v>2082</v>
      </c>
      <c r="C1115" s="5" t="s">
        <v>2069</v>
      </c>
      <c r="D1115" s="6" t="s">
        <v>66</v>
      </c>
      <c r="E1115" s="6" t="s">
        <v>33</v>
      </c>
      <c r="F1115" s="53">
        <v>10.5</v>
      </c>
      <c r="G1115" s="42">
        <v>1.672860357567498E-4</v>
      </c>
      <c r="H1115" s="39">
        <v>3.8499999999999996</v>
      </c>
      <c r="I1115" s="39">
        <v>6.6</v>
      </c>
      <c r="J1115" s="39"/>
    </row>
    <row r="1116" spans="2:10" x14ac:dyDescent="0.2">
      <c r="B1116" s="4" t="s">
        <v>2083</v>
      </c>
      <c r="C1116" s="5" t="s">
        <v>2071</v>
      </c>
      <c r="D1116" s="6" t="s">
        <v>66</v>
      </c>
      <c r="E1116" s="6" t="s">
        <v>33</v>
      </c>
      <c r="F1116" s="53">
        <v>12.5</v>
      </c>
      <c r="G1116" s="42">
        <v>1.672860357567498E-4</v>
      </c>
      <c r="H1116" s="39">
        <v>4.6199999999999992</v>
      </c>
      <c r="I1116" s="39">
        <v>7.919999999999999</v>
      </c>
      <c r="J1116" s="39"/>
    </row>
    <row r="1117" spans="2:10" ht="25.5" x14ac:dyDescent="0.2">
      <c r="B1117" s="4" t="s">
        <v>2084</v>
      </c>
      <c r="C1117" s="5" t="s">
        <v>2085</v>
      </c>
      <c r="D1117" s="6" t="s">
        <v>32</v>
      </c>
      <c r="E1117" s="6" t="s">
        <v>33</v>
      </c>
      <c r="F1117" s="53">
        <v>24</v>
      </c>
      <c r="G1117" s="42">
        <v>1.672860357567498E-4</v>
      </c>
      <c r="H1117" s="39">
        <v>8.8899999999999988</v>
      </c>
      <c r="I1117" s="39">
        <v>15.239999999999998</v>
      </c>
      <c r="J1117" s="39"/>
    </row>
    <row r="1118" spans="2:10" x14ac:dyDescent="0.2">
      <c r="B1118" s="4" t="s">
        <v>2086</v>
      </c>
      <c r="C1118" s="5" t="s">
        <v>1939</v>
      </c>
      <c r="D1118" s="6" t="s">
        <v>32</v>
      </c>
      <c r="E1118" s="6" t="s">
        <v>33</v>
      </c>
      <c r="F1118" s="53">
        <v>9.1999999999999993</v>
      </c>
      <c r="G1118" s="42">
        <v>1.672860357567498E-4</v>
      </c>
      <c r="H1118" s="39">
        <v>3.36</v>
      </c>
      <c r="I1118" s="39">
        <v>5.76</v>
      </c>
      <c r="J1118" s="39"/>
    </row>
    <row r="1119" spans="2:10" x14ac:dyDescent="0.2">
      <c r="B1119" s="4" t="s">
        <v>2087</v>
      </c>
      <c r="C1119" s="5" t="s">
        <v>1941</v>
      </c>
      <c r="D1119" s="6" t="s">
        <v>32</v>
      </c>
      <c r="E1119" s="6" t="s">
        <v>33</v>
      </c>
      <c r="F1119" s="53">
        <v>11.5</v>
      </c>
      <c r="G1119" s="42">
        <v>1.672860357567498E-4</v>
      </c>
      <c r="H1119" s="39">
        <v>4.1999999999999993</v>
      </c>
      <c r="I1119" s="39">
        <v>7.1999999999999993</v>
      </c>
      <c r="J1119" s="39"/>
    </row>
    <row r="1120" spans="2:10" x14ac:dyDescent="0.2">
      <c r="B1120" s="4" t="s">
        <v>2088</v>
      </c>
      <c r="C1120" s="5" t="s">
        <v>1945</v>
      </c>
      <c r="D1120" s="6" t="s">
        <v>32</v>
      </c>
      <c r="E1120" s="6" t="s">
        <v>33</v>
      </c>
      <c r="F1120" s="53">
        <v>13.5</v>
      </c>
      <c r="G1120" s="42">
        <v>1.672860357567498E-4</v>
      </c>
      <c r="H1120" s="39">
        <v>5.04</v>
      </c>
      <c r="I1120" s="39">
        <v>8.64</v>
      </c>
      <c r="J1120" s="39"/>
    </row>
    <row r="1121" spans="2:10" x14ac:dyDescent="0.2">
      <c r="B1121" s="4" t="s">
        <v>2089</v>
      </c>
      <c r="C1121" s="5" t="s">
        <v>2090</v>
      </c>
      <c r="D1121" s="6" t="s">
        <v>32</v>
      </c>
      <c r="E1121" s="6" t="s">
        <v>33</v>
      </c>
      <c r="F1121" s="53">
        <v>16</v>
      </c>
      <c r="G1121" s="42">
        <v>1.672860357567498E-4</v>
      </c>
      <c r="H1121" s="39">
        <v>5.88</v>
      </c>
      <c r="I1121" s="39">
        <v>10.08</v>
      </c>
      <c r="J1121" s="39"/>
    </row>
    <row r="1122" spans="2:10" x14ac:dyDescent="0.2">
      <c r="B1122" s="4" t="s">
        <v>2091</v>
      </c>
      <c r="C1122" s="5" t="s">
        <v>2092</v>
      </c>
      <c r="D1122" s="6" t="s">
        <v>32</v>
      </c>
      <c r="E1122" s="6" t="s">
        <v>33</v>
      </c>
      <c r="F1122" s="53">
        <v>23</v>
      </c>
      <c r="G1122" s="42">
        <v>1.672860357567498E-4</v>
      </c>
      <c r="H1122" s="39">
        <v>8.407</v>
      </c>
      <c r="I1122" s="39">
        <v>14.411999999999999</v>
      </c>
      <c r="J1122" s="39"/>
    </row>
    <row r="1123" spans="2:10" x14ac:dyDescent="0.2">
      <c r="B1123" s="4" t="s">
        <v>2093</v>
      </c>
      <c r="C1123" s="5" t="s">
        <v>2094</v>
      </c>
      <c r="D1123" s="6" t="s">
        <v>32</v>
      </c>
      <c r="E1123" s="6" t="s">
        <v>33</v>
      </c>
      <c r="F1123" s="53">
        <v>31</v>
      </c>
      <c r="G1123" s="42">
        <v>1.672860357567498E-4</v>
      </c>
      <c r="H1123" s="39">
        <v>11.304999999999998</v>
      </c>
      <c r="I1123" s="39">
        <v>19.38</v>
      </c>
      <c r="J1123" s="39"/>
    </row>
    <row r="1124" spans="2:10" x14ac:dyDescent="0.2">
      <c r="B1124" s="4" t="s">
        <v>2095</v>
      </c>
      <c r="C1124" s="5" t="s">
        <v>2096</v>
      </c>
      <c r="D1124" s="6" t="s">
        <v>32</v>
      </c>
      <c r="E1124" s="6" t="s">
        <v>33</v>
      </c>
      <c r="F1124" s="53">
        <v>46</v>
      </c>
      <c r="G1124" s="42">
        <v>1.672860357567498E-4</v>
      </c>
      <c r="H1124" s="39">
        <v>16.806999999999999</v>
      </c>
      <c r="I1124" s="39">
        <v>28.812000000000001</v>
      </c>
      <c r="J1124" s="39"/>
    </row>
    <row r="1125" spans="2:10" x14ac:dyDescent="0.2">
      <c r="B1125" s="4" t="s">
        <v>2097</v>
      </c>
      <c r="C1125" s="5" t="s">
        <v>2098</v>
      </c>
      <c r="D1125" s="6" t="s">
        <v>32</v>
      </c>
      <c r="E1125" s="6" t="s">
        <v>33</v>
      </c>
      <c r="F1125" s="53">
        <v>69</v>
      </c>
      <c r="G1125" s="42">
        <v>1.672860357567498E-4</v>
      </c>
      <c r="H1125" s="39">
        <v>25.214000000000002</v>
      </c>
      <c r="I1125" s="39">
        <v>43.224000000000004</v>
      </c>
      <c r="J1125" s="39"/>
    </row>
    <row r="1126" spans="2:10" x14ac:dyDescent="0.2">
      <c r="B1126" s="4" t="s">
        <v>2099</v>
      </c>
      <c r="C1126" s="5" t="s">
        <v>2100</v>
      </c>
      <c r="D1126" s="6" t="s">
        <v>32</v>
      </c>
      <c r="E1126" s="6" t="s">
        <v>33</v>
      </c>
      <c r="F1126" s="53">
        <v>448</v>
      </c>
      <c r="G1126" s="42">
        <v>1.672860357567498E-4</v>
      </c>
      <c r="H1126" s="39">
        <v>163.352</v>
      </c>
      <c r="I1126" s="39">
        <v>280.03199999999998</v>
      </c>
      <c r="J1126" s="39"/>
    </row>
    <row r="1127" spans="2:10" x14ac:dyDescent="0.2">
      <c r="B1127" s="4" t="s">
        <v>2101</v>
      </c>
      <c r="C1127" s="5" t="s">
        <v>2102</v>
      </c>
      <c r="D1127" s="6" t="s">
        <v>32</v>
      </c>
      <c r="E1127" s="6" t="s">
        <v>33</v>
      </c>
      <c r="F1127" s="53">
        <v>179.5</v>
      </c>
      <c r="G1127" s="42">
        <v>1.672860357567498E-4</v>
      </c>
      <c r="H1127" s="39">
        <v>65.561999999999998</v>
      </c>
      <c r="I1127" s="39">
        <v>112.392</v>
      </c>
      <c r="J1127" s="39"/>
    </row>
    <row r="1128" spans="2:10" x14ac:dyDescent="0.2">
      <c r="B1128" s="4" t="s">
        <v>2103</v>
      </c>
      <c r="C1128" s="5" t="s">
        <v>2104</v>
      </c>
      <c r="D1128" s="6" t="s">
        <v>32</v>
      </c>
      <c r="E1128" s="6" t="s">
        <v>33</v>
      </c>
      <c r="F1128" s="53">
        <v>131.5</v>
      </c>
      <c r="G1128" s="42">
        <v>1.672860357567498E-4</v>
      </c>
      <c r="H1128" s="39">
        <v>48.005999999999993</v>
      </c>
      <c r="I1128" s="39">
        <v>82.295999999999992</v>
      </c>
      <c r="J1128" s="39"/>
    </row>
    <row r="1129" spans="2:10" x14ac:dyDescent="0.2">
      <c r="B1129" s="4" t="s">
        <v>2105</v>
      </c>
      <c r="C1129" s="5" t="s">
        <v>2106</v>
      </c>
      <c r="D1129" s="6" t="s">
        <v>32</v>
      </c>
      <c r="E1129" s="6" t="s">
        <v>33</v>
      </c>
      <c r="F1129" s="53">
        <v>115.5</v>
      </c>
      <c r="G1129" s="42">
        <v>1.672860357567498E-4</v>
      </c>
      <c r="H1129" s="39">
        <v>42.223999999999997</v>
      </c>
      <c r="I1129" s="39">
        <v>72.384</v>
      </c>
      <c r="J1129" s="39"/>
    </row>
    <row r="1130" spans="2:10" x14ac:dyDescent="0.2">
      <c r="B1130" s="4" t="s">
        <v>2107</v>
      </c>
      <c r="C1130" s="5" t="s">
        <v>2108</v>
      </c>
      <c r="D1130" s="6" t="s">
        <v>32</v>
      </c>
      <c r="E1130" s="6" t="s">
        <v>33</v>
      </c>
      <c r="F1130" s="53">
        <v>102</v>
      </c>
      <c r="G1130" s="42">
        <v>1.672860357567498E-4</v>
      </c>
      <c r="H1130" s="39">
        <v>37.225999999999999</v>
      </c>
      <c r="I1130" s="39">
        <v>63.815999999999995</v>
      </c>
      <c r="J1130" s="39"/>
    </row>
    <row r="1131" spans="2:10" x14ac:dyDescent="0.2">
      <c r="B1131" s="4" t="s">
        <v>2109</v>
      </c>
      <c r="C1131" s="5" t="s">
        <v>2110</v>
      </c>
      <c r="D1131" s="6" t="s">
        <v>32</v>
      </c>
      <c r="E1131" s="6" t="s">
        <v>33</v>
      </c>
      <c r="F1131" s="53">
        <v>90.5</v>
      </c>
      <c r="G1131" s="42">
        <v>1.672860357567498E-4</v>
      </c>
      <c r="H1131" s="39">
        <v>33.116999999999997</v>
      </c>
      <c r="I1131" s="39">
        <v>56.771999999999998</v>
      </c>
      <c r="J1131" s="39"/>
    </row>
    <row r="1132" spans="2:10" x14ac:dyDescent="0.2">
      <c r="B1132" s="4" t="s">
        <v>2111</v>
      </c>
      <c r="C1132" s="5" t="s">
        <v>2112</v>
      </c>
      <c r="D1132" s="6" t="s">
        <v>32</v>
      </c>
      <c r="E1132" s="6" t="s">
        <v>33</v>
      </c>
      <c r="F1132" s="53">
        <v>80</v>
      </c>
      <c r="G1132" s="42">
        <v>1.672860357567498E-4</v>
      </c>
      <c r="H1132" s="39">
        <v>29.224999999999998</v>
      </c>
      <c r="I1132" s="39">
        <v>50.1</v>
      </c>
      <c r="J1132" s="39"/>
    </row>
    <row r="1133" spans="2:10" x14ac:dyDescent="0.2">
      <c r="B1133" s="4" t="s">
        <v>2113</v>
      </c>
      <c r="C1133" s="5" t="s">
        <v>2114</v>
      </c>
      <c r="D1133" s="6"/>
      <c r="E1133" s="6"/>
      <c r="F1133" s="50"/>
      <c r="G1133" s="42">
        <v>1.672860357567498E-4</v>
      </c>
      <c r="H1133" s="39" t="s">
        <v>49</v>
      </c>
      <c r="I1133" s="39" t="s">
        <v>49</v>
      </c>
      <c r="J1133" s="39"/>
    </row>
    <row r="1134" spans="2:10" x14ac:dyDescent="0.2">
      <c r="B1134" s="4" t="s">
        <v>2115</v>
      </c>
      <c r="C1134" s="5" t="s">
        <v>2116</v>
      </c>
      <c r="D1134" s="6" t="s">
        <v>66</v>
      </c>
      <c r="E1134" s="6" t="s">
        <v>33</v>
      </c>
      <c r="F1134" s="53">
        <v>76</v>
      </c>
      <c r="G1134" s="42">
        <v>1.672860357567498E-4</v>
      </c>
      <c r="H1134" s="39">
        <v>27.824999999999999</v>
      </c>
      <c r="I1134" s="39">
        <v>47.699999999999996</v>
      </c>
      <c r="J1134" s="39"/>
    </row>
    <row r="1135" spans="2:10" x14ac:dyDescent="0.2">
      <c r="B1135" s="4" t="s">
        <v>2117</v>
      </c>
      <c r="C1135" s="5" t="s">
        <v>1914</v>
      </c>
      <c r="D1135" s="6" t="s">
        <v>66</v>
      </c>
      <c r="E1135" s="6" t="s">
        <v>33</v>
      </c>
      <c r="F1135" s="53">
        <v>115</v>
      </c>
      <c r="G1135" s="42">
        <v>1.672860357567498E-4</v>
      </c>
      <c r="H1135" s="39">
        <v>42.021000000000001</v>
      </c>
      <c r="I1135" s="39">
        <v>72.036000000000001</v>
      </c>
      <c r="J1135" s="39"/>
    </row>
    <row r="1136" spans="2:10" x14ac:dyDescent="0.2">
      <c r="B1136" s="4" t="s">
        <v>2118</v>
      </c>
      <c r="C1136" s="5" t="s">
        <v>1918</v>
      </c>
      <c r="D1136" s="6" t="s">
        <v>66</v>
      </c>
      <c r="E1136" s="6" t="s">
        <v>33</v>
      </c>
      <c r="F1136" s="53">
        <v>55</v>
      </c>
      <c r="G1136" s="42">
        <v>1.672860357567498E-4</v>
      </c>
      <c r="H1136" s="39">
        <v>20.09</v>
      </c>
      <c r="I1136" s="39">
        <v>34.44</v>
      </c>
      <c r="J1136" s="39"/>
    </row>
    <row r="1137" spans="2:10" x14ac:dyDescent="0.2">
      <c r="B1137" s="4" t="s">
        <v>2119</v>
      </c>
      <c r="C1137" s="5" t="s">
        <v>1922</v>
      </c>
      <c r="D1137" s="6" t="s">
        <v>66</v>
      </c>
      <c r="E1137" s="6" t="s">
        <v>33</v>
      </c>
      <c r="F1137" s="53">
        <v>37</v>
      </c>
      <c r="G1137" s="42">
        <v>1.672860357567498E-4</v>
      </c>
      <c r="H1137" s="39">
        <v>13.545</v>
      </c>
      <c r="I1137" s="39">
        <v>23.220000000000002</v>
      </c>
      <c r="J1137" s="39"/>
    </row>
    <row r="1138" spans="2:10" x14ac:dyDescent="0.2">
      <c r="B1138" s="4" t="s">
        <v>2120</v>
      </c>
      <c r="C1138" s="5" t="s">
        <v>1924</v>
      </c>
      <c r="D1138" s="6" t="s">
        <v>66</v>
      </c>
      <c r="E1138" s="6" t="s">
        <v>33</v>
      </c>
      <c r="F1138" s="53">
        <v>29</v>
      </c>
      <c r="G1138" s="42">
        <v>1.672860357567498E-4</v>
      </c>
      <c r="H1138" s="39">
        <v>10.702999999999999</v>
      </c>
      <c r="I1138" s="39">
        <v>18.347999999999999</v>
      </c>
      <c r="J1138" s="39"/>
    </row>
    <row r="1139" spans="2:10" x14ac:dyDescent="0.2">
      <c r="B1139" s="4" t="s">
        <v>2121</v>
      </c>
      <c r="C1139" s="5" t="s">
        <v>2122</v>
      </c>
      <c r="D1139" s="6" t="s">
        <v>66</v>
      </c>
      <c r="E1139" s="6" t="s">
        <v>33</v>
      </c>
      <c r="F1139" s="53">
        <v>25</v>
      </c>
      <c r="G1139" s="42">
        <v>1.672860357567498E-4</v>
      </c>
      <c r="H1139" s="39">
        <v>9.282</v>
      </c>
      <c r="I1139" s="39">
        <v>15.911999999999999</v>
      </c>
      <c r="J1139" s="39"/>
    </row>
    <row r="1140" spans="2:10" x14ac:dyDescent="0.2">
      <c r="B1140" s="4" t="s">
        <v>2123</v>
      </c>
      <c r="C1140" s="5" t="s">
        <v>2124</v>
      </c>
      <c r="D1140" s="6" t="s">
        <v>66</v>
      </c>
      <c r="E1140" s="6" t="s">
        <v>33</v>
      </c>
      <c r="F1140" s="53">
        <v>29</v>
      </c>
      <c r="G1140" s="42">
        <v>1.672860357567498E-4</v>
      </c>
      <c r="H1140" s="39">
        <v>10.702999999999999</v>
      </c>
      <c r="I1140" s="39">
        <v>18.347999999999999</v>
      </c>
      <c r="J1140" s="39"/>
    </row>
    <row r="1141" spans="2:10" x14ac:dyDescent="0.2">
      <c r="B1141" s="4" t="s">
        <v>2125</v>
      </c>
      <c r="C1141" s="5" t="s">
        <v>2126</v>
      </c>
      <c r="D1141" s="6" t="s">
        <v>66</v>
      </c>
      <c r="E1141" s="6" t="s">
        <v>33</v>
      </c>
      <c r="F1141" s="53">
        <v>25</v>
      </c>
      <c r="G1141" s="42">
        <v>1.672860357567498E-4</v>
      </c>
      <c r="H1141" s="39">
        <v>9.282</v>
      </c>
      <c r="I1141" s="39">
        <v>15.911999999999999</v>
      </c>
      <c r="J1141" s="39"/>
    </row>
    <row r="1142" spans="2:10" x14ac:dyDescent="0.2">
      <c r="B1142" s="4" t="s">
        <v>2127</v>
      </c>
      <c r="C1142" s="5" t="s">
        <v>2128</v>
      </c>
      <c r="D1142" s="6" t="s">
        <v>66</v>
      </c>
      <c r="E1142" s="6" t="s">
        <v>33</v>
      </c>
      <c r="F1142" s="53">
        <v>75</v>
      </c>
      <c r="G1142" s="42">
        <v>1.672860357567498E-4</v>
      </c>
      <c r="H1142" s="39">
        <v>27.824999999999999</v>
      </c>
      <c r="I1142" s="39">
        <v>47.699999999999996</v>
      </c>
      <c r="J1142" s="39"/>
    </row>
    <row r="1143" spans="2:10" x14ac:dyDescent="0.2">
      <c r="B1143" s="4" t="s">
        <v>2129</v>
      </c>
      <c r="C1143" s="5" t="s">
        <v>2130</v>
      </c>
      <c r="D1143" s="6" t="s">
        <v>66</v>
      </c>
      <c r="E1143" s="6" t="s">
        <v>33</v>
      </c>
      <c r="F1143" s="53">
        <v>55</v>
      </c>
      <c r="G1143" s="42">
        <v>1.672860357567498E-4</v>
      </c>
      <c r="H1143" s="39">
        <v>20.09</v>
      </c>
      <c r="I1143" s="39">
        <v>34.44</v>
      </c>
      <c r="J1143" s="39"/>
    </row>
    <row r="1144" spans="2:10" x14ac:dyDescent="0.2">
      <c r="B1144" s="4" t="s">
        <v>2131</v>
      </c>
      <c r="C1144" s="5" t="s">
        <v>2132</v>
      </c>
      <c r="D1144" s="6" t="s">
        <v>66</v>
      </c>
      <c r="E1144" s="6" t="s">
        <v>33</v>
      </c>
      <c r="F1144" s="53">
        <v>37</v>
      </c>
      <c r="G1144" s="42">
        <v>1.672860357567498E-4</v>
      </c>
      <c r="H1144" s="39">
        <v>13.545</v>
      </c>
      <c r="I1144" s="39">
        <v>23.220000000000002</v>
      </c>
      <c r="J1144" s="39"/>
    </row>
    <row r="1145" spans="2:10" x14ac:dyDescent="0.2">
      <c r="B1145" s="4" t="s">
        <v>2133</v>
      </c>
      <c r="C1145" s="5" t="s">
        <v>2134</v>
      </c>
      <c r="D1145" s="6" t="s">
        <v>66</v>
      </c>
      <c r="E1145" s="6" t="s">
        <v>33</v>
      </c>
      <c r="F1145" s="53">
        <v>29</v>
      </c>
      <c r="G1145" s="42">
        <v>1.672860357567498E-4</v>
      </c>
      <c r="H1145" s="39">
        <v>10.702999999999999</v>
      </c>
      <c r="I1145" s="39">
        <v>18.347999999999999</v>
      </c>
      <c r="J1145" s="39"/>
    </row>
    <row r="1146" spans="2:10" x14ac:dyDescent="0.2">
      <c r="B1146" s="4" t="s">
        <v>2135</v>
      </c>
      <c r="C1146" s="5" t="s">
        <v>2136</v>
      </c>
      <c r="D1146" s="6" t="s">
        <v>66</v>
      </c>
      <c r="E1146" s="6" t="s">
        <v>33</v>
      </c>
      <c r="F1146" s="53">
        <v>25</v>
      </c>
      <c r="G1146" s="42">
        <v>1.672860357567498E-4</v>
      </c>
      <c r="H1146" s="39">
        <v>9.282</v>
      </c>
      <c r="I1146" s="39">
        <v>15.911999999999999</v>
      </c>
      <c r="J1146" s="39"/>
    </row>
    <row r="1147" spans="2:10" x14ac:dyDescent="0.2">
      <c r="B1147" s="4" t="s">
        <v>2137</v>
      </c>
      <c r="C1147" s="5" t="s">
        <v>2138</v>
      </c>
      <c r="D1147" s="6" t="s">
        <v>66</v>
      </c>
      <c r="E1147" s="6" t="s">
        <v>33</v>
      </c>
      <c r="F1147" s="53">
        <v>70</v>
      </c>
      <c r="G1147" s="42">
        <v>1.672860357567498E-4</v>
      </c>
      <c r="H1147" s="39">
        <v>25.556999999999999</v>
      </c>
      <c r="I1147" s="39">
        <v>43.811999999999998</v>
      </c>
      <c r="J1147" s="39"/>
    </row>
    <row r="1148" spans="2:10" x14ac:dyDescent="0.2">
      <c r="B1148" s="4" t="s">
        <v>2139</v>
      </c>
      <c r="C1148" s="5" t="s">
        <v>2140</v>
      </c>
      <c r="D1148" s="6" t="s">
        <v>66</v>
      </c>
      <c r="E1148" s="6" t="s">
        <v>33</v>
      </c>
      <c r="F1148" s="53">
        <v>36.5</v>
      </c>
      <c r="G1148" s="42">
        <v>1.672860357567498E-4</v>
      </c>
      <c r="H1148" s="39">
        <v>13.44</v>
      </c>
      <c r="I1148" s="39">
        <v>23.04</v>
      </c>
      <c r="J1148" s="39"/>
    </row>
    <row r="1149" spans="2:10" x14ac:dyDescent="0.2">
      <c r="B1149" s="4" t="s">
        <v>2141</v>
      </c>
      <c r="C1149" s="5" t="s">
        <v>1985</v>
      </c>
      <c r="D1149" s="6" t="s">
        <v>66</v>
      </c>
      <c r="E1149" s="6" t="s">
        <v>33</v>
      </c>
      <c r="F1149" s="53">
        <v>20.5</v>
      </c>
      <c r="G1149" s="42">
        <v>1.672860357567498E-4</v>
      </c>
      <c r="H1149" s="39">
        <v>7.56</v>
      </c>
      <c r="I1149" s="39">
        <v>12.96</v>
      </c>
      <c r="J1149" s="39"/>
    </row>
    <row r="1150" spans="2:10" x14ac:dyDescent="0.2">
      <c r="B1150" s="4" t="s">
        <v>2142</v>
      </c>
      <c r="C1150" s="5" t="s">
        <v>1987</v>
      </c>
      <c r="D1150" s="6" t="s">
        <v>66</v>
      </c>
      <c r="E1150" s="6" t="s">
        <v>33</v>
      </c>
      <c r="F1150" s="53">
        <v>11</v>
      </c>
      <c r="G1150" s="42">
        <v>1.672860357567498E-4</v>
      </c>
      <c r="H1150" s="39">
        <v>4.1999999999999993</v>
      </c>
      <c r="I1150" s="39">
        <v>7.1999999999999993</v>
      </c>
      <c r="J1150" s="39"/>
    </row>
    <row r="1151" spans="2:10" ht="25.5" x14ac:dyDescent="0.2">
      <c r="B1151" s="4" t="s">
        <v>2143</v>
      </c>
      <c r="C1151" s="5" t="s">
        <v>2144</v>
      </c>
      <c r="D1151" s="6" t="s">
        <v>66</v>
      </c>
      <c r="E1151" s="6" t="s">
        <v>33</v>
      </c>
      <c r="F1151" s="53">
        <v>62.5</v>
      </c>
      <c r="G1151" s="42">
        <v>1.672860357567498E-4</v>
      </c>
      <c r="H1151" s="39">
        <v>22.833999999999996</v>
      </c>
      <c r="I1151" s="39">
        <v>39.143999999999998</v>
      </c>
      <c r="J1151" s="39"/>
    </row>
    <row r="1152" spans="2:10" x14ac:dyDescent="0.2">
      <c r="B1152" s="4" t="s">
        <v>2145</v>
      </c>
      <c r="C1152" s="5" t="s">
        <v>2146</v>
      </c>
      <c r="D1152" s="6" t="s">
        <v>66</v>
      </c>
      <c r="E1152" s="6" t="s">
        <v>33</v>
      </c>
      <c r="F1152" s="53">
        <v>39.5</v>
      </c>
      <c r="G1152" s="42">
        <v>1.672860357567498E-4</v>
      </c>
      <c r="H1152" s="39">
        <v>14.447999999999999</v>
      </c>
      <c r="I1152" s="39">
        <v>24.768000000000001</v>
      </c>
      <c r="J1152" s="39"/>
    </row>
    <row r="1153" spans="2:10" x14ac:dyDescent="0.2">
      <c r="B1153" s="4" t="s">
        <v>2147</v>
      </c>
      <c r="C1153" s="5" t="s">
        <v>1922</v>
      </c>
      <c r="D1153" s="6" t="s">
        <v>66</v>
      </c>
      <c r="E1153" s="6" t="s">
        <v>33</v>
      </c>
      <c r="F1153" s="53">
        <v>19</v>
      </c>
      <c r="G1153" s="42">
        <v>1.672860357567498E-4</v>
      </c>
      <c r="H1153" s="39">
        <v>7.0350000000000001</v>
      </c>
      <c r="I1153" s="39">
        <v>12.06</v>
      </c>
      <c r="J1153" s="39"/>
    </row>
    <row r="1154" spans="2:10" x14ac:dyDescent="0.2">
      <c r="B1154" s="4" t="s">
        <v>2148</v>
      </c>
      <c r="C1154" s="5" t="s">
        <v>1924</v>
      </c>
      <c r="D1154" s="6" t="s">
        <v>66</v>
      </c>
      <c r="E1154" s="6" t="s">
        <v>33</v>
      </c>
      <c r="F1154" s="53">
        <v>14</v>
      </c>
      <c r="G1154" s="42">
        <v>1.672860357567498E-4</v>
      </c>
      <c r="H1154" s="39">
        <v>5.18</v>
      </c>
      <c r="I1154" s="39">
        <v>8.8800000000000008</v>
      </c>
      <c r="J1154" s="39"/>
    </row>
    <row r="1155" spans="2:10" ht="25.5" x14ac:dyDescent="0.2">
      <c r="B1155" s="4" t="s">
        <v>2149</v>
      </c>
      <c r="C1155" s="5" t="s">
        <v>2150</v>
      </c>
      <c r="D1155" s="6" t="s">
        <v>66</v>
      </c>
      <c r="E1155" s="6" t="s">
        <v>33</v>
      </c>
      <c r="F1155" s="53">
        <v>92</v>
      </c>
      <c r="G1155" s="42">
        <v>1.672860357567498E-4</v>
      </c>
      <c r="H1155" s="39">
        <v>33.613999999999997</v>
      </c>
      <c r="I1155" s="39">
        <v>57.624000000000002</v>
      </c>
      <c r="J1155" s="39"/>
    </row>
    <row r="1156" spans="2:10" ht="25.5" x14ac:dyDescent="0.2">
      <c r="B1156" s="4" t="s">
        <v>2151</v>
      </c>
      <c r="C1156" s="5" t="s">
        <v>2152</v>
      </c>
      <c r="D1156" s="6" t="s">
        <v>66</v>
      </c>
      <c r="E1156" s="6" t="s">
        <v>33</v>
      </c>
      <c r="F1156" s="53">
        <v>78</v>
      </c>
      <c r="G1156" s="42">
        <v>1.672860357567498E-4</v>
      </c>
      <c r="H1156" s="39">
        <v>28.447999999999997</v>
      </c>
      <c r="I1156" s="39">
        <v>48.768000000000001</v>
      </c>
      <c r="J1156" s="39"/>
    </row>
    <row r="1157" spans="2:10" ht="25.5" x14ac:dyDescent="0.2">
      <c r="B1157" s="4" t="s">
        <v>2153</v>
      </c>
      <c r="C1157" s="5" t="s">
        <v>2154</v>
      </c>
      <c r="D1157" s="6" t="s">
        <v>66</v>
      </c>
      <c r="E1157" s="6" t="s">
        <v>33</v>
      </c>
      <c r="F1157" s="53">
        <v>576</v>
      </c>
      <c r="G1157" s="42">
        <v>1.672860357567498E-4</v>
      </c>
      <c r="H1157" s="39">
        <v>210.11199999999999</v>
      </c>
      <c r="I1157" s="39">
        <v>360.19200000000001</v>
      </c>
      <c r="J1157" s="39"/>
    </row>
    <row r="1158" spans="2:10" ht="25.5" x14ac:dyDescent="0.2">
      <c r="B1158" s="4" t="s">
        <v>2155</v>
      </c>
      <c r="C1158" s="5" t="s">
        <v>2156</v>
      </c>
      <c r="D1158" s="6" t="s">
        <v>66</v>
      </c>
      <c r="E1158" s="6" t="s">
        <v>33</v>
      </c>
      <c r="F1158" s="53">
        <v>480</v>
      </c>
      <c r="G1158" s="42">
        <v>1.672860357567498E-4</v>
      </c>
      <c r="H1158" s="39">
        <v>175.02799999999999</v>
      </c>
      <c r="I1158" s="39">
        <v>300.048</v>
      </c>
      <c r="J1158" s="39"/>
    </row>
    <row r="1159" spans="2:10" ht="51" x14ac:dyDescent="0.2">
      <c r="B1159" s="4" t="s">
        <v>2157</v>
      </c>
      <c r="C1159" s="5" t="s">
        <v>2158</v>
      </c>
      <c r="D1159" s="6" t="s">
        <v>66</v>
      </c>
      <c r="E1159" s="6" t="s">
        <v>33</v>
      </c>
      <c r="F1159" s="53">
        <v>518.5</v>
      </c>
      <c r="G1159" s="42">
        <v>1.672860357567498E-4</v>
      </c>
      <c r="H1159" s="39">
        <v>189.09799999999998</v>
      </c>
      <c r="I1159" s="39">
        <v>324.16799999999995</v>
      </c>
      <c r="J1159" s="39"/>
    </row>
    <row r="1160" spans="2:10" ht="25.5" x14ac:dyDescent="0.2">
      <c r="B1160" s="4" t="s">
        <v>2159</v>
      </c>
      <c r="C1160" s="5" t="s">
        <v>2160</v>
      </c>
      <c r="D1160" s="6" t="s">
        <v>66</v>
      </c>
      <c r="E1160" s="6" t="s">
        <v>33</v>
      </c>
      <c r="F1160" s="53">
        <v>64</v>
      </c>
      <c r="G1160" s="42">
        <v>1.672860357567498E-4</v>
      </c>
      <c r="H1160" s="39">
        <v>23.471</v>
      </c>
      <c r="I1160" s="39">
        <v>40.235999999999997</v>
      </c>
      <c r="J1160" s="39"/>
    </row>
    <row r="1161" spans="2:10" x14ac:dyDescent="0.2">
      <c r="B1161" s="4" t="s">
        <v>2161</v>
      </c>
      <c r="C1161" s="5" t="s">
        <v>2140</v>
      </c>
      <c r="D1161" s="6" t="s">
        <v>66</v>
      </c>
      <c r="E1161" s="6" t="s">
        <v>33</v>
      </c>
      <c r="F1161" s="53">
        <v>41.5</v>
      </c>
      <c r="G1161" s="42">
        <v>1.672860357567498E-4</v>
      </c>
      <c r="H1161" s="39">
        <v>15.280999999999997</v>
      </c>
      <c r="I1161" s="39">
        <v>26.195999999999998</v>
      </c>
      <c r="J1161" s="39"/>
    </row>
    <row r="1162" spans="2:10" x14ac:dyDescent="0.2">
      <c r="B1162" s="4" t="s">
        <v>2162</v>
      </c>
      <c r="C1162" s="5" t="s">
        <v>1985</v>
      </c>
      <c r="D1162" s="6" t="s">
        <v>66</v>
      </c>
      <c r="E1162" s="6" t="s">
        <v>33</v>
      </c>
      <c r="F1162" s="53">
        <v>41</v>
      </c>
      <c r="G1162" s="42">
        <v>1.672860357567498E-4</v>
      </c>
      <c r="H1162" s="39">
        <v>14.986999999999998</v>
      </c>
      <c r="I1162" s="39">
        <v>25.692</v>
      </c>
      <c r="J1162" s="39"/>
    </row>
    <row r="1163" spans="2:10" x14ac:dyDescent="0.2">
      <c r="B1163" s="4" t="s">
        <v>2163</v>
      </c>
      <c r="C1163" s="5" t="s">
        <v>1987</v>
      </c>
      <c r="D1163" s="6" t="s">
        <v>66</v>
      </c>
      <c r="E1163" s="6" t="s">
        <v>33</v>
      </c>
      <c r="F1163" s="53">
        <v>38.5</v>
      </c>
      <c r="G1163" s="42">
        <v>1.672860357567498E-4</v>
      </c>
      <c r="H1163" s="39">
        <v>14.035</v>
      </c>
      <c r="I1163" s="39">
        <v>24.06</v>
      </c>
      <c r="J1163" s="39"/>
    </row>
    <row r="1164" spans="2:10" x14ac:dyDescent="0.2">
      <c r="B1164" s="4" t="s">
        <v>2164</v>
      </c>
      <c r="C1164" s="5" t="s">
        <v>1989</v>
      </c>
      <c r="D1164" s="6" t="s">
        <v>66</v>
      </c>
      <c r="E1164" s="6" t="s">
        <v>33</v>
      </c>
      <c r="F1164" s="53">
        <v>23</v>
      </c>
      <c r="G1164" s="42">
        <v>1.672860357567498E-4</v>
      </c>
      <c r="H1164" s="39">
        <v>8.407</v>
      </c>
      <c r="I1164" s="39">
        <v>14.411999999999999</v>
      </c>
      <c r="J1164" s="39"/>
    </row>
    <row r="1165" spans="2:10" ht="25.5" x14ac:dyDescent="0.2">
      <c r="B1165" s="4" t="s">
        <v>2165</v>
      </c>
      <c r="C1165" s="5" t="s">
        <v>2166</v>
      </c>
      <c r="D1165" s="6" t="s">
        <v>66</v>
      </c>
      <c r="E1165" s="6" t="s">
        <v>33</v>
      </c>
      <c r="F1165" s="53">
        <v>106.5</v>
      </c>
      <c r="G1165" s="42">
        <v>1.672860357567498E-4</v>
      </c>
      <c r="H1165" s="39">
        <v>38.891999999999996</v>
      </c>
      <c r="I1165" s="39">
        <v>66.671999999999997</v>
      </c>
      <c r="J1165" s="39"/>
    </row>
    <row r="1166" spans="2:10" x14ac:dyDescent="0.2">
      <c r="B1166" s="4" t="s">
        <v>2167</v>
      </c>
      <c r="C1166" s="5" t="s">
        <v>2168</v>
      </c>
      <c r="D1166" s="6" t="s">
        <v>66</v>
      </c>
      <c r="E1166" s="6" t="s">
        <v>33</v>
      </c>
      <c r="F1166" s="53">
        <v>164.5</v>
      </c>
      <c r="G1166" s="42">
        <v>1.672860357567498E-4</v>
      </c>
      <c r="H1166" s="39">
        <v>60.003999999999998</v>
      </c>
      <c r="I1166" s="39">
        <v>102.86399999999999</v>
      </c>
      <c r="J1166" s="39"/>
    </row>
    <row r="1167" spans="2:10" x14ac:dyDescent="0.2">
      <c r="B1167" s="4" t="s">
        <v>2169</v>
      </c>
      <c r="C1167" s="5" t="s">
        <v>2170</v>
      </c>
      <c r="D1167" s="6" t="s">
        <v>66</v>
      </c>
      <c r="E1167" s="6" t="s">
        <v>33</v>
      </c>
      <c r="F1167" s="53">
        <v>260.5</v>
      </c>
      <c r="G1167" s="42">
        <v>1.672860357567498E-4</v>
      </c>
      <c r="H1167" s="39">
        <v>95.066999999999993</v>
      </c>
      <c r="I1167" s="39">
        <v>162.97200000000001</v>
      </c>
      <c r="J1167" s="39"/>
    </row>
    <row r="1168" spans="2:10" x14ac:dyDescent="0.2">
      <c r="B1168" s="4" t="s">
        <v>2171</v>
      </c>
      <c r="C1168" s="5" t="s">
        <v>2172</v>
      </c>
      <c r="D1168" s="6" t="s">
        <v>66</v>
      </c>
      <c r="E1168" s="6" t="s">
        <v>33</v>
      </c>
      <c r="F1168" s="53">
        <v>530.20000000000005</v>
      </c>
      <c r="G1168" s="42">
        <v>1.672860357567498E-4</v>
      </c>
      <c r="H1168" s="39">
        <v>193.30499999999998</v>
      </c>
      <c r="I1168" s="39">
        <v>331.37999999999994</v>
      </c>
      <c r="J1168" s="39"/>
    </row>
    <row r="1169" spans="2:10" ht="25.5" x14ac:dyDescent="0.2">
      <c r="B1169" s="4" t="s">
        <v>2173</v>
      </c>
      <c r="C1169" s="5" t="s">
        <v>2174</v>
      </c>
      <c r="D1169" s="6" t="s">
        <v>66</v>
      </c>
      <c r="E1169" s="6" t="s">
        <v>33</v>
      </c>
      <c r="F1169" s="53">
        <v>414.5</v>
      </c>
      <c r="G1169" s="42">
        <v>1.672860357567498E-4</v>
      </c>
      <c r="H1169" s="39">
        <v>151.27699999999999</v>
      </c>
      <c r="I1169" s="39">
        <v>259.33199999999999</v>
      </c>
      <c r="J1169" s="39"/>
    </row>
    <row r="1170" spans="2:10" x14ac:dyDescent="0.2">
      <c r="B1170" s="4" t="s">
        <v>2175</v>
      </c>
      <c r="C1170" s="5" t="s">
        <v>2168</v>
      </c>
      <c r="D1170" s="6" t="s">
        <v>66</v>
      </c>
      <c r="E1170" s="6" t="s">
        <v>33</v>
      </c>
      <c r="F1170" s="53">
        <v>484</v>
      </c>
      <c r="G1170" s="42">
        <v>1.672860357567498E-4</v>
      </c>
      <c r="H1170" s="39">
        <v>176.49799999999999</v>
      </c>
      <c r="I1170" s="39">
        <v>302.56799999999998</v>
      </c>
      <c r="J1170" s="39"/>
    </row>
    <row r="1171" spans="2:10" x14ac:dyDescent="0.2">
      <c r="B1171" s="4" t="s">
        <v>2176</v>
      </c>
      <c r="C1171" s="5" t="s">
        <v>2170</v>
      </c>
      <c r="D1171" s="6" t="s">
        <v>66</v>
      </c>
      <c r="E1171" s="6" t="s">
        <v>33</v>
      </c>
      <c r="F1171" s="53">
        <v>530</v>
      </c>
      <c r="G1171" s="42">
        <v>1.672860357567498E-4</v>
      </c>
      <c r="H1171" s="39">
        <v>193.30499999999998</v>
      </c>
      <c r="I1171" s="39">
        <v>331.37999999999994</v>
      </c>
      <c r="J1171" s="39"/>
    </row>
    <row r="1172" spans="2:10" x14ac:dyDescent="0.2">
      <c r="B1172" s="4" t="s">
        <v>2177</v>
      </c>
      <c r="C1172" s="5" t="s">
        <v>2172</v>
      </c>
      <c r="D1172" s="6" t="s">
        <v>66</v>
      </c>
      <c r="E1172" s="6" t="s">
        <v>33</v>
      </c>
      <c r="F1172" s="53">
        <v>656.5</v>
      </c>
      <c r="G1172" s="42">
        <v>1.672860357567498E-4</v>
      </c>
      <c r="H1172" s="39">
        <v>239.52599999999998</v>
      </c>
      <c r="I1172" s="39">
        <v>410.61599999999999</v>
      </c>
      <c r="J1172" s="39"/>
    </row>
    <row r="1173" spans="2:10" x14ac:dyDescent="0.2">
      <c r="B1173" s="4" t="s">
        <v>2178</v>
      </c>
      <c r="C1173" s="5" t="s">
        <v>2179</v>
      </c>
      <c r="D1173" s="6" t="s">
        <v>66</v>
      </c>
      <c r="E1173" s="6" t="s">
        <v>33</v>
      </c>
      <c r="F1173" s="53">
        <v>1324.5</v>
      </c>
      <c r="G1173" s="42">
        <v>1.672860357567498E-4</v>
      </c>
      <c r="H1173" s="39">
        <v>482.99999999999994</v>
      </c>
      <c r="I1173" s="39">
        <v>828</v>
      </c>
      <c r="J1173" s="39"/>
    </row>
    <row r="1174" spans="2:10" ht="25.5" x14ac:dyDescent="0.2">
      <c r="B1174" s="4" t="s">
        <v>2180</v>
      </c>
      <c r="C1174" s="5" t="s">
        <v>2181</v>
      </c>
      <c r="D1174" s="6" t="s">
        <v>66</v>
      </c>
      <c r="E1174" s="6" t="s">
        <v>33</v>
      </c>
      <c r="F1174" s="53">
        <v>23</v>
      </c>
      <c r="G1174" s="42">
        <v>1.672860357567498E-4</v>
      </c>
      <c r="H1174" s="39">
        <v>8.407</v>
      </c>
      <c r="I1174" s="39">
        <v>14.411999999999999</v>
      </c>
      <c r="J1174" s="39"/>
    </row>
    <row r="1175" spans="2:10" ht="25.5" x14ac:dyDescent="0.2">
      <c r="B1175" s="4" t="s">
        <v>2182</v>
      </c>
      <c r="C1175" s="5" t="s">
        <v>2183</v>
      </c>
      <c r="D1175" s="6" t="s">
        <v>32</v>
      </c>
      <c r="E1175" s="6" t="s">
        <v>33</v>
      </c>
      <c r="F1175" s="53">
        <v>15.2</v>
      </c>
      <c r="G1175" s="42">
        <v>1.672860357567498E-4</v>
      </c>
      <c r="H1175" s="39">
        <v>5.5579999999999998</v>
      </c>
      <c r="I1175" s="39">
        <v>9.5280000000000005</v>
      </c>
      <c r="J1175" s="39"/>
    </row>
    <row r="1176" spans="2:10" ht="38.25" x14ac:dyDescent="0.2">
      <c r="B1176" s="4" t="s">
        <v>2184</v>
      </c>
      <c r="C1176" s="5" t="s">
        <v>2185</v>
      </c>
      <c r="D1176" s="6" t="s">
        <v>66</v>
      </c>
      <c r="E1176" s="6" t="s">
        <v>33</v>
      </c>
      <c r="F1176" s="53">
        <v>15.2</v>
      </c>
      <c r="G1176" s="42">
        <v>1.672860357567498E-4</v>
      </c>
      <c r="H1176" s="39">
        <v>5.5579999999999998</v>
      </c>
      <c r="I1176" s="39">
        <v>9.5280000000000005</v>
      </c>
      <c r="J1176" s="39"/>
    </row>
    <row r="1177" spans="2:10" ht="25.5" x14ac:dyDescent="0.2">
      <c r="B1177" s="4" t="s">
        <v>2186</v>
      </c>
      <c r="C1177" s="5" t="s">
        <v>2187</v>
      </c>
      <c r="D1177" s="6" t="s">
        <v>66</v>
      </c>
      <c r="E1177" s="6" t="s">
        <v>33</v>
      </c>
      <c r="F1177" s="53">
        <v>36.5</v>
      </c>
      <c r="G1177" s="42">
        <v>1.672860357567498E-4</v>
      </c>
      <c r="H1177" s="39">
        <v>13.475</v>
      </c>
      <c r="I1177" s="39">
        <v>23.099999999999998</v>
      </c>
      <c r="J1177" s="39"/>
    </row>
    <row r="1178" spans="2:10" x14ac:dyDescent="0.2">
      <c r="B1178" s="4" t="s">
        <v>2188</v>
      </c>
      <c r="C1178" s="5" t="s">
        <v>1987</v>
      </c>
      <c r="D1178" s="6" t="s">
        <v>66</v>
      </c>
      <c r="E1178" s="6" t="s">
        <v>33</v>
      </c>
      <c r="F1178" s="53">
        <v>31.5</v>
      </c>
      <c r="G1178" s="42">
        <v>1.672860357567498E-4</v>
      </c>
      <c r="H1178" s="39">
        <v>11.549999999999999</v>
      </c>
      <c r="I1178" s="39">
        <v>19.8</v>
      </c>
      <c r="J1178" s="39"/>
    </row>
    <row r="1179" spans="2:10" x14ac:dyDescent="0.2">
      <c r="B1179" s="4" t="s">
        <v>2189</v>
      </c>
      <c r="C1179" s="5" t="s">
        <v>2190</v>
      </c>
      <c r="D1179" s="6"/>
      <c r="E1179" s="6"/>
      <c r="F1179" s="50"/>
      <c r="G1179" s="42">
        <v>1.672860357567498E-4</v>
      </c>
      <c r="H1179" s="39" t="s">
        <v>49</v>
      </c>
      <c r="I1179" s="39" t="s">
        <v>49</v>
      </c>
      <c r="J1179" s="39"/>
    </row>
    <row r="1180" spans="2:10" ht="25.5" x14ac:dyDescent="0.2">
      <c r="B1180" s="4" t="s">
        <v>2191</v>
      </c>
      <c r="C1180" s="5" t="s">
        <v>2192</v>
      </c>
      <c r="D1180" s="6" t="s">
        <v>66</v>
      </c>
      <c r="E1180" s="6" t="s">
        <v>33</v>
      </c>
      <c r="F1180" s="53">
        <v>137</v>
      </c>
      <c r="G1180" s="42">
        <v>1.672860357567498E-4</v>
      </c>
      <c r="H1180" s="39">
        <v>50.007999999999996</v>
      </c>
      <c r="I1180" s="39">
        <v>85.727999999999994</v>
      </c>
      <c r="J1180" s="39"/>
    </row>
    <row r="1181" spans="2:10" x14ac:dyDescent="0.2">
      <c r="B1181" s="4" t="s">
        <v>2193</v>
      </c>
      <c r="C1181" s="5" t="s">
        <v>2194</v>
      </c>
      <c r="D1181" s="6" t="s">
        <v>66</v>
      </c>
      <c r="E1181" s="6" t="s">
        <v>33</v>
      </c>
      <c r="F1181" s="53">
        <v>137</v>
      </c>
      <c r="G1181" s="42">
        <v>1.672860357567498E-4</v>
      </c>
      <c r="H1181" s="39">
        <v>50.007999999999996</v>
      </c>
      <c r="I1181" s="39">
        <v>85.727999999999994</v>
      </c>
      <c r="J1181" s="39"/>
    </row>
    <row r="1182" spans="2:10" x14ac:dyDescent="0.2">
      <c r="B1182" s="4" t="s">
        <v>2195</v>
      </c>
      <c r="C1182" s="5" t="s">
        <v>2196</v>
      </c>
      <c r="D1182" s="6" t="s">
        <v>66</v>
      </c>
      <c r="E1182" s="6" t="s">
        <v>33</v>
      </c>
      <c r="F1182" s="53">
        <v>137</v>
      </c>
      <c r="G1182" s="42">
        <v>1.672860357567498E-4</v>
      </c>
      <c r="H1182" s="39">
        <v>50.007999999999996</v>
      </c>
      <c r="I1182" s="39">
        <v>85.727999999999994</v>
      </c>
      <c r="J1182" s="39"/>
    </row>
    <row r="1183" spans="2:10" x14ac:dyDescent="0.2">
      <c r="B1183" s="4" t="s">
        <v>2197</v>
      </c>
      <c r="C1183" s="5" t="s">
        <v>2198</v>
      </c>
      <c r="D1183" s="6" t="s">
        <v>66</v>
      </c>
      <c r="E1183" s="6" t="s">
        <v>33</v>
      </c>
      <c r="F1183" s="53">
        <v>137</v>
      </c>
      <c r="G1183" s="42">
        <v>1.672860357567498E-4</v>
      </c>
      <c r="H1183" s="39">
        <v>50.007999999999996</v>
      </c>
      <c r="I1183" s="39">
        <v>85.727999999999994</v>
      </c>
      <c r="J1183" s="39"/>
    </row>
    <row r="1184" spans="2:10" x14ac:dyDescent="0.2">
      <c r="B1184" s="4" t="s">
        <v>2199</v>
      </c>
      <c r="C1184" s="5" t="s">
        <v>2200</v>
      </c>
      <c r="D1184" s="6" t="s">
        <v>66</v>
      </c>
      <c r="E1184" s="6" t="s">
        <v>33</v>
      </c>
      <c r="F1184" s="53">
        <v>80.5</v>
      </c>
      <c r="G1184" s="42">
        <v>1.672860357567498E-4</v>
      </c>
      <c r="H1184" s="39">
        <v>29.414000000000001</v>
      </c>
      <c r="I1184" s="39">
        <v>50.423999999999999</v>
      </c>
      <c r="J1184" s="39"/>
    </row>
    <row r="1185" spans="2:10" x14ac:dyDescent="0.2">
      <c r="B1185" s="4" t="s">
        <v>2201</v>
      </c>
      <c r="C1185" s="5" t="s">
        <v>2202</v>
      </c>
      <c r="D1185" s="6" t="s">
        <v>66</v>
      </c>
      <c r="E1185" s="6" t="s">
        <v>33</v>
      </c>
      <c r="F1185" s="53">
        <v>105</v>
      </c>
      <c r="G1185" s="42">
        <v>1.672860357567498E-4</v>
      </c>
      <c r="H1185" s="39">
        <v>38.891999999999996</v>
      </c>
      <c r="I1185" s="39">
        <v>66.671999999999997</v>
      </c>
      <c r="J1185" s="39"/>
    </row>
    <row r="1186" spans="2:10" ht="25.5" x14ac:dyDescent="0.2">
      <c r="B1186" s="4" t="s">
        <v>2203</v>
      </c>
      <c r="C1186" s="5" t="s">
        <v>2204</v>
      </c>
      <c r="D1186" s="6" t="s">
        <v>66</v>
      </c>
      <c r="E1186" s="6" t="s">
        <v>33</v>
      </c>
      <c r="F1186" s="53">
        <v>184</v>
      </c>
      <c r="G1186" s="42">
        <v>1.672860357567498E-4</v>
      </c>
      <c r="H1186" s="39">
        <v>67.234999999999999</v>
      </c>
      <c r="I1186" s="39">
        <v>115.25999999999999</v>
      </c>
      <c r="J1186" s="39"/>
    </row>
    <row r="1187" spans="2:10" ht="38.25" x14ac:dyDescent="0.2">
      <c r="B1187" s="4" t="s">
        <v>2205</v>
      </c>
      <c r="C1187" s="5" t="s">
        <v>2206</v>
      </c>
      <c r="D1187" s="6" t="s">
        <v>66</v>
      </c>
      <c r="E1187" s="6" t="s">
        <v>33</v>
      </c>
      <c r="F1187" s="53">
        <v>34.5</v>
      </c>
      <c r="G1187" s="42">
        <v>1.672860357567498E-4</v>
      </c>
      <c r="H1187" s="39">
        <v>12.6</v>
      </c>
      <c r="I1187" s="39">
        <v>21.599999999999998</v>
      </c>
      <c r="J1187" s="39"/>
    </row>
    <row r="1188" spans="2:10" ht="25.5" x14ac:dyDescent="0.2">
      <c r="B1188" s="4" t="s">
        <v>2207</v>
      </c>
      <c r="C1188" s="5" t="s">
        <v>2208</v>
      </c>
      <c r="D1188" s="6" t="s">
        <v>66</v>
      </c>
      <c r="E1188" s="6" t="s">
        <v>33</v>
      </c>
      <c r="F1188" s="53">
        <v>37</v>
      </c>
      <c r="G1188" s="42">
        <v>1.672860357567498E-4</v>
      </c>
      <c r="H1188" s="39">
        <v>24.443999999999999</v>
      </c>
      <c r="I1188" s="39">
        <v>41.904000000000003</v>
      </c>
      <c r="J1188" s="39"/>
    </row>
    <row r="1189" spans="2:10" ht="25.5" x14ac:dyDescent="0.2">
      <c r="B1189" s="4" t="s">
        <v>2209</v>
      </c>
      <c r="C1189" s="5" t="s">
        <v>2210</v>
      </c>
      <c r="D1189" s="6" t="s">
        <v>66</v>
      </c>
      <c r="E1189" s="6" t="s">
        <v>33</v>
      </c>
      <c r="F1189" s="53">
        <v>34.5</v>
      </c>
      <c r="G1189" s="42">
        <v>1.672860357567498E-4</v>
      </c>
      <c r="H1189" s="39">
        <v>12.6</v>
      </c>
      <c r="I1189" s="39">
        <v>21.599999999999998</v>
      </c>
      <c r="J1189" s="39"/>
    </row>
    <row r="1190" spans="2:10" ht="25.5" x14ac:dyDescent="0.2">
      <c r="B1190" s="4" t="s">
        <v>2211</v>
      </c>
      <c r="C1190" s="5" t="s">
        <v>2212</v>
      </c>
      <c r="D1190" s="6" t="s">
        <v>66</v>
      </c>
      <c r="E1190" s="6" t="s">
        <v>33</v>
      </c>
      <c r="F1190" s="53">
        <v>345.5</v>
      </c>
      <c r="G1190" s="42">
        <v>1.672860357567498E-4</v>
      </c>
      <c r="H1190" s="39">
        <v>126.07</v>
      </c>
      <c r="I1190" s="39">
        <v>216.11999999999998</v>
      </c>
      <c r="J1190" s="39"/>
    </row>
    <row r="1191" spans="2:10" ht="25.5" x14ac:dyDescent="0.2">
      <c r="B1191" s="4" t="s">
        <v>2213</v>
      </c>
      <c r="C1191" s="5" t="s">
        <v>2214</v>
      </c>
      <c r="D1191" s="6" t="s">
        <v>66</v>
      </c>
      <c r="E1191" s="6" t="s">
        <v>33</v>
      </c>
      <c r="F1191" s="53">
        <v>480</v>
      </c>
      <c r="G1191" s="42">
        <v>1.672860357567498E-4</v>
      </c>
      <c r="H1191" s="39">
        <v>222.25</v>
      </c>
      <c r="I1191" s="39">
        <v>381</v>
      </c>
      <c r="J1191" s="39"/>
    </row>
    <row r="1192" spans="2:10" ht="25.5" x14ac:dyDescent="0.2">
      <c r="B1192" s="4" t="s">
        <v>2215</v>
      </c>
      <c r="C1192" s="5" t="s">
        <v>2216</v>
      </c>
      <c r="D1192" s="6" t="s">
        <v>66</v>
      </c>
      <c r="E1192" s="6" t="s">
        <v>33</v>
      </c>
      <c r="F1192" s="53">
        <v>288</v>
      </c>
      <c r="G1192" s="42">
        <v>1.672860357567498E-4</v>
      </c>
      <c r="H1192" s="39">
        <v>105</v>
      </c>
      <c r="I1192" s="39">
        <v>180</v>
      </c>
      <c r="J1192" s="39"/>
    </row>
    <row r="1193" spans="2:10" ht="25.5" x14ac:dyDescent="0.2">
      <c r="B1193" s="4" t="s">
        <v>2217</v>
      </c>
      <c r="C1193" s="5" t="s">
        <v>2218</v>
      </c>
      <c r="D1193" s="6" t="s">
        <v>66</v>
      </c>
      <c r="E1193" s="6" t="s">
        <v>33</v>
      </c>
      <c r="F1193" s="53">
        <v>805</v>
      </c>
      <c r="G1193" s="42">
        <v>1.672860357567498E-4</v>
      </c>
      <c r="H1193" s="39">
        <v>294.161</v>
      </c>
      <c r="I1193" s="39">
        <v>504.27600000000001</v>
      </c>
      <c r="J1193" s="39"/>
    </row>
    <row r="1194" spans="2:10" ht="25.5" x14ac:dyDescent="0.2">
      <c r="B1194" s="4" t="s">
        <v>2219</v>
      </c>
      <c r="C1194" s="5" t="s">
        <v>2220</v>
      </c>
      <c r="D1194" s="6" t="s">
        <v>66</v>
      </c>
      <c r="E1194" s="6" t="s">
        <v>33</v>
      </c>
      <c r="F1194" s="53">
        <v>829.5</v>
      </c>
      <c r="G1194" s="42">
        <v>1.672860357567498E-4</v>
      </c>
      <c r="H1194" s="39">
        <v>302.56099999999998</v>
      </c>
      <c r="I1194" s="39">
        <v>518.67600000000004</v>
      </c>
      <c r="J1194" s="39"/>
    </row>
    <row r="1195" spans="2:10" ht="25.5" x14ac:dyDescent="0.2">
      <c r="B1195" s="4" t="s">
        <v>2221</v>
      </c>
      <c r="C1195" s="5" t="s">
        <v>2222</v>
      </c>
      <c r="D1195" s="6" t="s">
        <v>66</v>
      </c>
      <c r="E1195" s="6" t="s">
        <v>33</v>
      </c>
      <c r="F1195" s="53">
        <v>403</v>
      </c>
      <c r="G1195" s="42">
        <v>1.672860357567498E-4</v>
      </c>
      <c r="H1195" s="39">
        <v>147.077</v>
      </c>
      <c r="I1195" s="39">
        <v>252.13200000000001</v>
      </c>
      <c r="J1195" s="39"/>
    </row>
    <row r="1196" spans="2:10" ht="25.5" x14ac:dyDescent="0.2">
      <c r="B1196" s="4" t="s">
        <v>2223</v>
      </c>
      <c r="C1196" s="5" t="s">
        <v>2224</v>
      </c>
      <c r="D1196" s="6" t="s">
        <v>66</v>
      </c>
      <c r="E1196" s="6" t="s">
        <v>33</v>
      </c>
      <c r="F1196" s="53">
        <v>86</v>
      </c>
      <c r="G1196" s="42">
        <v>1.672860357567498E-4</v>
      </c>
      <c r="H1196" s="39">
        <v>21.007000000000001</v>
      </c>
      <c r="I1196" s="39">
        <v>36.012</v>
      </c>
      <c r="J1196" s="39"/>
    </row>
    <row r="1197" spans="2:10" ht="25.5" x14ac:dyDescent="0.2">
      <c r="B1197" s="4" t="s">
        <v>2225</v>
      </c>
      <c r="C1197" s="5" t="s">
        <v>2226</v>
      </c>
      <c r="D1197" s="6" t="s">
        <v>66</v>
      </c>
      <c r="E1197" s="6" t="s">
        <v>33</v>
      </c>
      <c r="F1197" s="53">
        <v>76.5</v>
      </c>
      <c r="G1197" s="42">
        <v>1.672860357567498E-4</v>
      </c>
      <c r="H1197" s="39">
        <v>16.806999999999999</v>
      </c>
      <c r="I1197" s="39">
        <v>28.812000000000001</v>
      </c>
      <c r="J1197" s="39"/>
    </row>
    <row r="1198" spans="2:10" ht="25.5" x14ac:dyDescent="0.2">
      <c r="B1198" s="4" t="s">
        <v>2227</v>
      </c>
      <c r="C1198" s="5" t="s">
        <v>2228</v>
      </c>
      <c r="D1198" s="6" t="s">
        <v>66</v>
      </c>
      <c r="E1198" s="6" t="s">
        <v>33</v>
      </c>
      <c r="F1198" s="53">
        <v>92</v>
      </c>
      <c r="G1198" s="42">
        <v>1.672860357567498E-4</v>
      </c>
      <c r="H1198" s="39">
        <v>33.613999999999997</v>
      </c>
      <c r="I1198" s="39">
        <v>57.624000000000002</v>
      </c>
      <c r="J1198" s="39"/>
    </row>
    <row r="1199" spans="2:10" x14ac:dyDescent="0.2">
      <c r="B1199" s="4" t="s">
        <v>2229</v>
      </c>
      <c r="C1199" s="5" t="s">
        <v>2230</v>
      </c>
      <c r="D1199" s="6"/>
      <c r="E1199" s="6"/>
      <c r="F1199" s="50"/>
      <c r="G1199" s="42">
        <v>1.672860357567498E-4</v>
      </c>
      <c r="H1199" s="39" t="s">
        <v>49</v>
      </c>
      <c r="I1199" s="39" t="s">
        <v>49</v>
      </c>
      <c r="J1199" s="39"/>
    </row>
    <row r="1200" spans="2:10" x14ac:dyDescent="0.2">
      <c r="B1200" s="4" t="s">
        <v>2231</v>
      </c>
      <c r="C1200" s="5" t="s">
        <v>2232</v>
      </c>
      <c r="D1200" s="6" t="s">
        <v>66</v>
      </c>
      <c r="E1200" s="6" t="s">
        <v>33</v>
      </c>
      <c r="F1200" s="53">
        <v>137</v>
      </c>
      <c r="G1200" s="42">
        <v>1.672860357567498E-4</v>
      </c>
      <c r="H1200" s="39">
        <v>50.007999999999996</v>
      </c>
      <c r="I1200" s="39">
        <v>85.727999999999994</v>
      </c>
      <c r="J1200" s="39"/>
    </row>
    <row r="1201" spans="2:10" x14ac:dyDescent="0.2">
      <c r="B1201" s="4" t="s">
        <v>2233</v>
      </c>
      <c r="C1201" s="5" t="s">
        <v>2234</v>
      </c>
      <c r="D1201" s="6" t="s">
        <v>66</v>
      </c>
      <c r="E1201" s="6" t="s">
        <v>33</v>
      </c>
      <c r="F1201" s="53">
        <v>53</v>
      </c>
      <c r="G1201" s="42">
        <v>1.672860357567498E-4</v>
      </c>
      <c r="H1201" s="39">
        <v>19.488</v>
      </c>
      <c r="I1201" s="39">
        <v>33.408000000000001</v>
      </c>
      <c r="J1201" s="39"/>
    </row>
    <row r="1202" spans="2:10" x14ac:dyDescent="0.2">
      <c r="B1202" s="4" t="s">
        <v>2235</v>
      </c>
      <c r="C1202" s="5" t="s">
        <v>2236</v>
      </c>
      <c r="D1202" s="6" t="s">
        <v>66</v>
      </c>
      <c r="E1202" s="6" t="s">
        <v>33</v>
      </c>
      <c r="F1202" s="53">
        <v>137</v>
      </c>
      <c r="G1202" s="42">
        <v>1.672860357567498E-4</v>
      </c>
      <c r="H1202" s="39">
        <v>50.007999999999996</v>
      </c>
      <c r="I1202" s="39">
        <v>85.727999999999994</v>
      </c>
      <c r="J1202" s="39"/>
    </row>
    <row r="1203" spans="2:10" x14ac:dyDescent="0.2">
      <c r="B1203" s="4" t="s">
        <v>2237</v>
      </c>
      <c r="C1203" s="5" t="s">
        <v>2238</v>
      </c>
      <c r="D1203" s="6" t="s">
        <v>66</v>
      </c>
      <c r="E1203" s="6" t="s">
        <v>33</v>
      </c>
      <c r="F1203" s="53">
        <v>30</v>
      </c>
      <c r="G1203" s="42">
        <v>1.672860357567498E-4</v>
      </c>
      <c r="H1203" s="39">
        <v>11.108999999999998</v>
      </c>
      <c r="I1203" s="39">
        <v>19.043999999999997</v>
      </c>
      <c r="J1203" s="39"/>
    </row>
    <row r="1204" spans="2:10" ht="25.5" x14ac:dyDescent="0.2">
      <c r="B1204" s="4" t="s">
        <v>2239</v>
      </c>
      <c r="C1204" s="5" t="s">
        <v>2240</v>
      </c>
      <c r="D1204" s="6" t="s">
        <v>66</v>
      </c>
      <c r="E1204" s="6" t="s">
        <v>33</v>
      </c>
      <c r="F1204" s="53">
        <v>97.5</v>
      </c>
      <c r="G1204" s="42">
        <v>1.672860357567498E-4</v>
      </c>
      <c r="H1204" s="39">
        <v>35.559999999999995</v>
      </c>
      <c r="I1204" s="39">
        <v>60.959999999999994</v>
      </c>
      <c r="J1204" s="39"/>
    </row>
    <row r="1205" spans="2:10" x14ac:dyDescent="0.2">
      <c r="B1205" s="4" t="s">
        <v>2241</v>
      </c>
      <c r="C1205" s="5" t="s">
        <v>2242</v>
      </c>
      <c r="D1205" s="6" t="s">
        <v>66</v>
      </c>
      <c r="E1205" s="6" t="s">
        <v>33</v>
      </c>
      <c r="F1205" s="53">
        <v>345.7</v>
      </c>
      <c r="G1205" s="42">
        <v>1.672860357567498E-4</v>
      </c>
      <c r="H1205" s="39">
        <v>126.07</v>
      </c>
      <c r="I1205" s="39">
        <v>216.11999999999998</v>
      </c>
      <c r="J1205" s="39"/>
    </row>
    <row r="1206" spans="2:10" x14ac:dyDescent="0.2">
      <c r="B1206" s="4" t="s">
        <v>2243</v>
      </c>
      <c r="C1206" s="5" t="s">
        <v>2244</v>
      </c>
      <c r="D1206" s="6" t="s">
        <v>66</v>
      </c>
      <c r="E1206" s="6" t="s">
        <v>33</v>
      </c>
      <c r="F1206" s="53">
        <v>461</v>
      </c>
      <c r="G1206" s="42">
        <v>1.672860357567498E-4</v>
      </c>
      <c r="H1206" s="39">
        <v>168.09099999999998</v>
      </c>
      <c r="I1206" s="39">
        <v>288.15600000000001</v>
      </c>
      <c r="J1206" s="39"/>
    </row>
    <row r="1207" spans="2:10" ht="38.25" x14ac:dyDescent="0.2">
      <c r="B1207" s="4" t="s">
        <v>2245</v>
      </c>
      <c r="C1207" s="5" t="s">
        <v>2246</v>
      </c>
      <c r="D1207" s="6" t="s">
        <v>66</v>
      </c>
      <c r="E1207" s="6" t="s">
        <v>33</v>
      </c>
      <c r="F1207" s="53">
        <v>115</v>
      </c>
      <c r="G1207" s="42">
        <v>1.672860357567498E-4</v>
      </c>
      <c r="H1207" s="39">
        <v>42</v>
      </c>
      <c r="I1207" s="39">
        <v>72</v>
      </c>
      <c r="J1207" s="39"/>
    </row>
    <row r="1208" spans="2:10" x14ac:dyDescent="0.2">
      <c r="B1208" s="4" t="s">
        <v>2247</v>
      </c>
      <c r="C1208" s="5" t="s">
        <v>2248</v>
      </c>
      <c r="D1208" s="6" t="s">
        <v>66</v>
      </c>
      <c r="E1208" s="6" t="s">
        <v>33</v>
      </c>
      <c r="F1208" s="53">
        <v>80.5</v>
      </c>
      <c r="G1208" s="42">
        <v>1.672860357567498E-4</v>
      </c>
      <c r="H1208" s="39">
        <v>29.414000000000001</v>
      </c>
      <c r="I1208" s="39">
        <v>50.423999999999999</v>
      </c>
      <c r="J1208" s="39"/>
    </row>
    <row r="1209" spans="2:10" x14ac:dyDescent="0.2">
      <c r="B1209" s="4" t="s">
        <v>2249</v>
      </c>
      <c r="C1209" s="5" t="s">
        <v>2250</v>
      </c>
      <c r="D1209" s="6" t="s">
        <v>66</v>
      </c>
      <c r="E1209" s="6" t="s">
        <v>33</v>
      </c>
      <c r="F1209" s="53">
        <v>69.099999999999994</v>
      </c>
      <c r="G1209" s="42">
        <v>1.672860357567498E-4</v>
      </c>
      <c r="H1209" s="39">
        <v>25.214000000000002</v>
      </c>
      <c r="I1209" s="39">
        <v>43.224000000000004</v>
      </c>
      <c r="J1209" s="39"/>
    </row>
    <row r="1210" spans="2:10" x14ac:dyDescent="0.2">
      <c r="B1210" s="4" t="s">
        <v>2251</v>
      </c>
      <c r="C1210" s="5" t="s">
        <v>2252</v>
      </c>
      <c r="D1210" s="6" t="s">
        <v>66</v>
      </c>
      <c r="E1210" s="6" t="s">
        <v>33</v>
      </c>
      <c r="F1210" s="53">
        <v>152</v>
      </c>
      <c r="G1210" s="42">
        <v>1.672860357567498E-4</v>
      </c>
      <c r="H1210" s="39">
        <v>55.426000000000002</v>
      </c>
      <c r="I1210" s="39">
        <v>95.016000000000005</v>
      </c>
      <c r="J1210" s="39"/>
    </row>
    <row r="1211" spans="2:10" x14ac:dyDescent="0.2">
      <c r="B1211" s="4" t="s">
        <v>2253</v>
      </c>
      <c r="C1211" s="5" t="s">
        <v>2254</v>
      </c>
      <c r="D1211" s="6" t="s">
        <v>66</v>
      </c>
      <c r="E1211" s="6" t="s">
        <v>33</v>
      </c>
      <c r="F1211" s="53">
        <v>285</v>
      </c>
      <c r="G1211" s="42">
        <v>1.672860357567498E-4</v>
      </c>
      <c r="H1211" s="39">
        <v>103.94999999999999</v>
      </c>
      <c r="I1211" s="39">
        <v>178.2</v>
      </c>
      <c r="J1211" s="39"/>
    </row>
    <row r="1212" spans="2:10" x14ac:dyDescent="0.2">
      <c r="B1212" s="4" t="s">
        <v>2255</v>
      </c>
      <c r="C1212" s="5" t="s">
        <v>2256</v>
      </c>
      <c r="D1212" s="6" t="s">
        <v>66</v>
      </c>
      <c r="E1212" s="6" t="s">
        <v>33</v>
      </c>
      <c r="F1212" s="53">
        <v>149.5</v>
      </c>
      <c r="G1212" s="42">
        <v>1.672860357567498E-4</v>
      </c>
      <c r="H1212" s="39">
        <v>54.628</v>
      </c>
      <c r="I1212" s="39">
        <v>93.64800000000001</v>
      </c>
      <c r="J1212" s="39"/>
    </row>
    <row r="1213" spans="2:10" x14ac:dyDescent="0.2">
      <c r="B1213" s="4" t="s">
        <v>2257</v>
      </c>
      <c r="C1213" s="5" t="s">
        <v>2258</v>
      </c>
      <c r="D1213" s="6" t="s">
        <v>66</v>
      </c>
      <c r="E1213" s="6" t="s">
        <v>33</v>
      </c>
      <c r="F1213" s="53">
        <v>161</v>
      </c>
      <c r="G1213" s="42">
        <v>1.672860357567498E-4</v>
      </c>
      <c r="H1213" s="39">
        <v>58.834999999999994</v>
      </c>
      <c r="I1213" s="39">
        <v>100.86</v>
      </c>
      <c r="J1213" s="39"/>
    </row>
    <row r="1214" spans="2:10" x14ac:dyDescent="0.2">
      <c r="B1214" s="4" t="s">
        <v>2259</v>
      </c>
      <c r="C1214" s="5" t="s">
        <v>2260</v>
      </c>
      <c r="D1214" s="6" t="s">
        <v>66</v>
      </c>
      <c r="E1214" s="6" t="s">
        <v>33</v>
      </c>
      <c r="F1214" s="53">
        <v>184</v>
      </c>
      <c r="G1214" s="42">
        <v>1.672860357567498E-4</v>
      </c>
      <c r="H1214" s="39">
        <v>67.234999999999999</v>
      </c>
      <c r="I1214" s="39">
        <v>115.25999999999999</v>
      </c>
      <c r="J1214" s="39"/>
    </row>
    <row r="1215" spans="2:10" x14ac:dyDescent="0.2">
      <c r="B1215" s="4" t="s">
        <v>2261</v>
      </c>
      <c r="C1215" s="5" t="s">
        <v>2262</v>
      </c>
      <c r="D1215" s="6" t="s">
        <v>66</v>
      </c>
      <c r="E1215" s="6" t="s">
        <v>33</v>
      </c>
      <c r="F1215" s="53">
        <v>230</v>
      </c>
      <c r="G1215" s="42">
        <v>1.672860357567498E-4</v>
      </c>
      <c r="H1215" s="39">
        <v>84.042000000000002</v>
      </c>
      <c r="I1215" s="39">
        <v>144.072</v>
      </c>
      <c r="J1215" s="39"/>
    </row>
    <row r="1216" spans="2:10" x14ac:dyDescent="0.2">
      <c r="B1216" s="4" t="s">
        <v>2263</v>
      </c>
      <c r="C1216" s="5" t="s">
        <v>2264</v>
      </c>
      <c r="D1216" s="6" t="s">
        <v>66</v>
      </c>
      <c r="E1216" s="6" t="s">
        <v>33</v>
      </c>
      <c r="F1216" s="53">
        <v>735</v>
      </c>
      <c r="G1216" s="42">
        <v>1.672860357567498E-4</v>
      </c>
      <c r="H1216" s="39">
        <v>269.5</v>
      </c>
      <c r="I1216" s="39">
        <v>462</v>
      </c>
      <c r="J1216" s="39"/>
    </row>
    <row r="1217" spans="2:10" x14ac:dyDescent="0.2">
      <c r="B1217" s="4" t="s">
        <v>2265</v>
      </c>
      <c r="C1217" s="5" t="s">
        <v>2266</v>
      </c>
      <c r="D1217" s="6" t="s">
        <v>66</v>
      </c>
      <c r="E1217" s="6" t="s">
        <v>33</v>
      </c>
      <c r="F1217" s="53">
        <v>148</v>
      </c>
      <c r="G1217" s="42">
        <v>1.672860357567498E-4</v>
      </c>
      <c r="H1217" s="39">
        <v>54.628</v>
      </c>
      <c r="I1217" s="39">
        <v>93.64800000000001</v>
      </c>
      <c r="J1217" s="39"/>
    </row>
    <row r="1218" spans="2:10" x14ac:dyDescent="0.2">
      <c r="B1218" s="4" t="s">
        <v>2267</v>
      </c>
      <c r="C1218" s="5" t="s">
        <v>2268</v>
      </c>
      <c r="D1218" s="6" t="s">
        <v>66</v>
      </c>
      <c r="E1218" s="6" t="s">
        <v>33</v>
      </c>
      <c r="F1218" s="53">
        <v>168</v>
      </c>
      <c r="G1218" s="42">
        <v>1.672860357567498E-4</v>
      </c>
      <c r="H1218" s="39">
        <v>61.347999999999999</v>
      </c>
      <c r="I1218" s="39">
        <v>105.16799999999999</v>
      </c>
      <c r="J1218" s="39"/>
    </row>
    <row r="1219" spans="2:10" x14ac:dyDescent="0.2">
      <c r="B1219" s="4" t="s">
        <v>2269</v>
      </c>
      <c r="C1219" s="5" t="s">
        <v>2270</v>
      </c>
      <c r="D1219" s="6" t="s">
        <v>66</v>
      </c>
      <c r="E1219" s="6" t="s">
        <v>33</v>
      </c>
      <c r="F1219" s="53">
        <v>207</v>
      </c>
      <c r="G1219" s="42">
        <v>1.672860357567498E-4</v>
      </c>
      <c r="H1219" s="39">
        <v>75.641999999999996</v>
      </c>
      <c r="I1219" s="39">
        <v>129.672</v>
      </c>
      <c r="J1219" s="39"/>
    </row>
    <row r="1220" spans="2:10" ht="25.5" x14ac:dyDescent="0.2">
      <c r="B1220" s="4" t="s">
        <v>2271</v>
      </c>
      <c r="C1220" s="5" t="s">
        <v>2272</v>
      </c>
      <c r="D1220" s="6" t="s">
        <v>66</v>
      </c>
      <c r="E1220" s="6" t="s">
        <v>33</v>
      </c>
      <c r="F1220" s="53">
        <v>470.5</v>
      </c>
      <c r="G1220" s="42">
        <v>1.672860357567498E-4</v>
      </c>
      <c r="H1220" s="39">
        <v>171.654</v>
      </c>
      <c r="I1220" s="39">
        <v>294.26400000000001</v>
      </c>
      <c r="J1220" s="39"/>
    </row>
    <row r="1221" spans="2:10" x14ac:dyDescent="0.2">
      <c r="B1221" s="4" t="s">
        <v>2273</v>
      </c>
      <c r="C1221" s="5" t="s">
        <v>2274</v>
      </c>
      <c r="D1221" s="6" t="s">
        <v>66</v>
      </c>
      <c r="E1221" s="6" t="s">
        <v>33</v>
      </c>
      <c r="F1221" s="53">
        <v>477</v>
      </c>
      <c r="G1221" s="42">
        <v>1.672860357567498E-4</v>
      </c>
      <c r="H1221" s="39">
        <v>174.03399999999999</v>
      </c>
      <c r="I1221" s="39">
        <v>298.34399999999999</v>
      </c>
      <c r="J1221" s="39"/>
    </row>
    <row r="1222" spans="2:10" ht="25.5" x14ac:dyDescent="0.2">
      <c r="B1222" s="4" t="s">
        <v>2275</v>
      </c>
      <c r="C1222" s="5" t="s">
        <v>2276</v>
      </c>
      <c r="D1222" s="6" t="s">
        <v>66</v>
      </c>
      <c r="E1222" s="6" t="s">
        <v>33</v>
      </c>
      <c r="F1222" s="53">
        <v>183</v>
      </c>
      <c r="G1222" s="42">
        <v>1.672860357567498E-4</v>
      </c>
      <c r="H1222" s="39">
        <v>66.74499999999999</v>
      </c>
      <c r="I1222" s="39">
        <v>114.41999999999999</v>
      </c>
      <c r="J1222" s="39"/>
    </row>
    <row r="1223" spans="2:10" ht="25.5" x14ac:dyDescent="0.2">
      <c r="B1223" s="4" t="s">
        <v>2277</v>
      </c>
      <c r="C1223" s="5" t="s">
        <v>2278</v>
      </c>
      <c r="D1223" s="6" t="s">
        <v>66</v>
      </c>
      <c r="E1223" s="6" t="s">
        <v>33</v>
      </c>
      <c r="F1223" s="53">
        <v>133</v>
      </c>
      <c r="G1223" s="42">
        <v>1.672860357567498E-4</v>
      </c>
      <c r="H1223" s="39">
        <v>48.537999999999997</v>
      </c>
      <c r="I1223" s="39">
        <v>83.207999999999998</v>
      </c>
      <c r="J1223" s="39"/>
    </row>
    <row r="1224" spans="2:10" x14ac:dyDescent="0.2">
      <c r="B1224" s="4" t="s">
        <v>2279</v>
      </c>
      <c r="C1224" s="5" t="s">
        <v>2280</v>
      </c>
      <c r="D1224" s="6" t="s">
        <v>66</v>
      </c>
      <c r="E1224" s="6" t="s">
        <v>33</v>
      </c>
      <c r="F1224" s="53">
        <v>299.5</v>
      </c>
      <c r="G1224" s="42">
        <v>1.672860357567498E-4</v>
      </c>
      <c r="H1224" s="39">
        <v>109.26299999999999</v>
      </c>
      <c r="I1224" s="39">
        <v>187.30799999999999</v>
      </c>
      <c r="J1224" s="39"/>
    </row>
    <row r="1225" spans="2:10" ht="25.5" x14ac:dyDescent="0.2">
      <c r="B1225" s="4" t="s">
        <v>2281</v>
      </c>
      <c r="C1225" s="5" t="s">
        <v>2282</v>
      </c>
      <c r="D1225" s="6" t="s">
        <v>66</v>
      </c>
      <c r="E1225" s="6" t="s">
        <v>33</v>
      </c>
      <c r="F1225" s="53">
        <v>288</v>
      </c>
      <c r="G1225" s="42">
        <v>1.672860357567498E-4</v>
      </c>
      <c r="H1225" s="39">
        <v>105.056</v>
      </c>
      <c r="I1225" s="39">
        <v>180.096</v>
      </c>
      <c r="J1225" s="39"/>
    </row>
    <row r="1226" spans="2:10" x14ac:dyDescent="0.2">
      <c r="B1226" s="4" t="s">
        <v>2283</v>
      </c>
      <c r="C1226" s="5" t="s">
        <v>2284</v>
      </c>
      <c r="D1226" s="6" t="s">
        <v>66</v>
      </c>
      <c r="E1226" s="6" t="s">
        <v>33</v>
      </c>
      <c r="F1226" s="53">
        <v>316</v>
      </c>
      <c r="G1226" s="42">
        <v>1.672860357567498E-4</v>
      </c>
      <c r="H1226" s="39">
        <v>115.26199999999999</v>
      </c>
      <c r="I1226" s="39">
        <v>197.59199999999998</v>
      </c>
      <c r="J1226" s="39"/>
    </row>
    <row r="1227" spans="2:10" x14ac:dyDescent="0.2">
      <c r="B1227" s="4" t="s">
        <v>2285</v>
      </c>
      <c r="C1227" s="5" t="s">
        <v>2286</v>
      </c>
      <c r="D1227" s="6" t="s">
        <v>66</v>
      </c>
      <c r="E1227" s="6" t="s">
        <v>33</v>
      </c>
      <c r="F1227" s="53">
        <v>316</v>
      </c>
      <c r="G1227" s="42">
        <v>1.672860357567498E-4</v>
      </c>
      <c r="H1227" s="39">
        <v>115.26199999999999</v>
      </c>
      <c r="I1227" s="39">
        <v>197.59199999999998</v>
      </c>
      <c r="J1227" s="39"/>
    </row>
    <row r="1228" spans="2:10" x14ac:dyDescent="0.2">
      <c r="B1228" s="4" t="s">
        <v>2287</v>
      </c>
      <c r="C1228" s="5" t="s">
        <v>2288</v>
      </c>
      <c r="D1228" s="6" t="s">
        <v>66</v>
      </c>
      <c r="E1228" s="6" t="s">
        <v>33</v>
      </c>
      <c r="F1228" s="53">
        <v>345.5</v>
      </c>
      <c r="G1228" s="42">
        <v>1.672860357567498E-4</v>
      </c>
      <c r="H1228" s="39">
        <v>126.07</v>
      </c>
      <c r="I1228" s="39">
        <v>216.11999999999998</v>
      </c>
      <c r="J1228" s="39"/>
    </row>
    <row r="1229" spans="2:10" x14ac:dyDescent="0.2">
      <c r="B1229" s="4" t="s">
        <v>2289</v>
      </c>
      <c r="C1229" s="5" t="s">
        <v>2290</v>
      </c>
      <c r="D1229" s="6" t="s">
        <v>66</v>
      </c>
      <c r="E1229" s="6" t="s">
        <v>33</v>
      </c>
      <c r="F1229" s="53">
        <v>231.5</v>
      </c>
      <c r="G1229" s="42">
        <v>1.672860357567498E-4</v>
      </c>
      <c r="H1229" s="39">
        <v>84.405999999999992</v>
      </c>
      <c r="I1229" s="39">
        <v>144.696</v>
      </c>
      <c r="J1229" s="39"/>
    </row>
    <row r="1230" spans="2:10" ht="25.5" x14ac:dyDescent="0.2">
      <c r="B1230" s="4" t="s">
        <v>2291</v>
      </c>
      <c r="C1230" s="5" t="s">
        <v>2292</v>
      </c>
      <c r="D1230" s="6" t="s">
        <v>66</v>
      </c>
      <c r="E1230" s="6" t="s">
        <v>33</v>
      </c>
      <c r="F1230" s="53">
        <v>247</v>
      </c>
      <c r="G1230" s="42">
        <v>1.672860357567498E-4</v>
      </c>
      <c r="H1230" s="39">
        <v>90.34899999999999</v>
      </c>
      <c r="I1230" s="39">
        <v>154.88399999999999</v>
      </c>
      <c r="J1230" s="39"/>
    </row>
    <row r="1231" spans="2:10" x14ac:dyDescent="0.2">
      <c r="B1231" s="4" t="s">
        <v>2293</v>
      </c>
      <c r="C1231" s="5" t="s">
        <v>2294</v>
      </c>
      <c r="D1231" s="6" t="s">
        <v>66</v>
      </c>
      <c r="E1231" s="6" t="s">
        <v>33</v>
      </c>
      <c r="F1231" s="53">
        <v>48</v>
      </c>
      <c r="G1231" s="42">
        <v>1.673E-4</v>
      </c>
      <c r="H1231" s="39">
        <v>17.646999999999998</v>
      </c>
      <c r="I1231" s="39">
        <v>30.251999999999999</v>
      </c>
      <c r="J1231" s="39"/>
    </row>
    <row r="1232" spans="2:10" x14ac:dyDescent="0.2">
      <c r="B1232" s="4" t="s">
        <v>2295</v>
      </c>
      <c r="C1232" s="5" t="s">
        <v>2296</v>
      </c>
      <c r="D1232" s="6" t="s">
        <v>66</v>
      </c>
      <c r="E1232" s="6" t="s">
        <v>33</v>
      </c>
      <c r="F1232" s="53">
        <v>46</v>
      </c>
      <c r="G1232" s="42">
        <v>1.672860357567498E-4</v>
      </c>
      <c r="H1232" s="39">
        <v>16.806999999999999</v>
      </c>
      <c r="I1232" s="39">
        <v>28.812000000000001</v>
      </c>
      <c r="J1232" s="39"/>
    </row>
    <row r="1233" spans="2:10" x14ac:dyDescent="0.2">
      <c r="B1233" s="4" t="s">
        <v>2297</v>
      </c>
      <c r="C1233" s="5" t="s">
        <v>2298</v>
      </c>
      <c r="D1233" s="6" t="s">
        <v>66</v>
      </c>
      <c r="E1233" s="6" t="s">
        <v>33</v>
      </c>
      <c r="F1233" s="53">
        <v>43.5</v>
      </c>
      <c r="G1233" s="42">
        <v>1.672860357567498E-4</v>
      </c>
      <c r="H1233" s="39">
        <v>15.966999999999999</v>
      </c>
      <c r="I1233" s="39">
        <v>27.371999999999996</v>
      </c>
      <c r="J1233" s="39"/>
    </row>
    <row r="1234" spans="2:10" x14ac:dyDescent="0.2">
      <c r="B1234" s="4" t="s">
        <v>2299</v>
      </c>
      <c r="C1234" s="5" t="s">
        <v>2300</v>
      </c>
      <c r="D1234" s="6" t="s">
        <v>66</v>
      </c>
      <c r="E1234" s="6" t="s">
        <v>33</v>
      </c>
      <c r="F1234" s="53">
        <v>47</v>
      </c>
      <c r="G1234" s="42">
        <v>1.672860357567498E-4</v>
      </c>
      <c r="H1234" s="39">
        <v>17.149999999999999</v>
      </c>
      <c r="I1234" s="39">
        <v>29.4</v>
      </c>
      <c r="J1234" s="39"/>
    </row>
    <row r="1235" spans="2:10" ht="38.25" x14ac:dyDescent="0.2">
      <c r="B1235" s="4" t="s">
        <v>2301</v>
      </c>
      <c r="C1235" s="5" t="s">
        <v>2302</v>
      </c>
      <c r="D1235" s="6" t="s">
        <v>66</v>
      </c>
      <c r="E1235" s="6" t="s">
        <v>33</v>
      </c>
      <c r="F1235" s="53">
        <v>1382</v>
      </c>
      <c r="G1235" s="42">
        <v>1.674E-4</v>
      </c>
      <c r="H1235" s="39">
        <v>503.99999999999994</v>
      </c>
      <c r="I1235" s="39">
        <v>864</v>
      </c>
      <c r="J1235" s="39"/>
    </row>
    <row r="1236" spans="2:10" x14ac:dyDescent="0.2">
      <c r="B1236" s="4" t="s">
        <v>2303</v>
      </c>
      <c r="C1236" s="5" t="s">
        <v>2304</v>
      </c>
      <c r="D1236" s="6" t="s">
        <v>66</v>
      </c>
      <c r="E1236" s="6" t="s">
        <v>33</v>
      </c>
      <c r="F1236" s="53">
        <v>524</v>
      </c>
      <c r="G1236" s="42">
        <v>1.674E-4</v>
      </c>
      <c r="H1236" s="39">
        <v>191.13499999999999</v>
      </c>
      <c r="I1236" s="39">
        <v>327.66000000000003</v>
      </c>
      <c r="J1236" s="39"/>
    </row>
    <row r="1237" spans="2:10" x14ac:dyDescent="0.2">
      <c r="B1237" s="4" t="s">
        <v>2305</v>
      </c>
      <c r="C1237" s="5" t="s">
        <v>2306</v>
      </c>
      <c r="D1237" s="6" t="s">
        <v>66</v>
      </c>
      <c r="E1237" s="6" t="s">
        <v>33</v>
      </c>
      <c r="F1237" s="53">
        <v>588</v>
      </c>
      <c r="G1237" s="42">
        <v>1.674E-4</v>
      </c>
      <c r="H1237" s="39">
        <v>214.46599999999998</v>
      </c>
      <c r="I1237" s="39">
        <v>367.65600000000001</v>
      </c>
      <c r="J1237" s="39"/>
    </row>
    <row r="1238" spans="2:10" x14ac:dyDescent="0.2">
      <c r="B1238" s="4" t="s">
        <v>2307</v>
      </c>
      <c r="C1238" s="5" t="s">
        <v>2308</v>
      </c>
      <c r="D1238" s="6" t="s">
        <v>66</v>
      </c>
      <c r="E1238" s="6" t="s">
        <v>33</v>
      </c>
      <c r="F1238" s="53">
        <v>667</v>
      </c>
      <c r="G1238" s="42">
        <v>1.674E-4</v>
      </c>
      <c r="H1238" s="39">
        <v>243.36199999999999</v>
      </c>
      <c r="I1238" s="39">
        <v>417.19200000000001</v>
      </c>
      <c r="J1238" s="39"/>
    </row>
    <row r="1239" spans="2:10" x14ac:dyDescent="0.2">
      <c r="B1239" s="4" t="s">
        <v>2309</v>
      </c>
      <c r="C1239" s="5" t="s">
        <v>2310</v>
      </c>
      <c r="D1239" s="6" t="s">
        <v>66</v>
      </c>
      <c r="E1239" s="6" t="s">
        <v>33</v>
      </c>
      <c r="F1239" s="53">
        <v>816.5</v>
      </c>
      <c r="G1239" s="42">
        <v>1.674E-4</v>
      </c>
      <c r="H1239" s="39">
        <v>297.80799999999999</v>
      </c>
      <c r="I1239" s="39">
        <v>510.52799999999996</v>
      </c>
      <c r="J1239" s="39"/>
    </row>
    <row r="1240" spans="2:10" x14ac:dyDescent="0.2">
      <c r="B1240" s="4" t="s">
        <v>2311</v>
      </c>
      <c r="C1240" s="5" t="s">
        <v>2312</v>
      </c>
      <c r="D1240" s="6" t="s">
        <v>66</v>
      </c>
      <c r="E1240" s="6" t="s">
        <v>33</v>
      </c>
      <c r="F1240" s="53">
        <v>987.5</v>
      </c>
      <c r="G1240" s="42">
        <v>1.674E-4</v>
      </c>
      <c r="H1240" s="39">
        <v>360.03800000000001</v>
      </c>
      <c r="I1240" s="39">
        <v>617.20799999999997</v>
      </c>
      <c r="J1240" s="39"/>
    </row>
    <row r="1241" spans="2:10" ht="25.5" x14ac:dyDescent="0.2">
      <c r="B1241" s="4" t="s">
        <v>2313</v>
      </c>
      <c r="C1241" s="5" t="s">
        <v>2314</v>
      </c>
      <c r="D1241" s="6" t="s">
        <v>66</v>
      </c>
      <c r="E1241" s="6" t="s">
        <v>33</v>
      </c>
      <c r="F1241" s="53">
        <v>53</v>
      </c>
      <c r="G1241" s="42">
        <v>1.672860357567498E-4</v>
      </c>
      <c r="H1241" s="39">
        <v>19.334</v>
      </c>
      <c r="I1241" s="39">
        <v>33.143999999999998</v>
      </c>
      <c r="J1241" s="39"/>
    </row>
    <row r="1242" spans="2:10" x14ac:dyDescent="0.2">
      <c r="B1242" s="4" t="s">
        <v>2315</v>
      </c>
      <c r="C1242" s="5" t="s">
        <v>2316</v>
      </c>
      <c r="D1242" s="6" t="s">
        <v>66</v>
      </c>
      <c r="E1242" s="6" t="s">
        <v>33</v>
      </c>
      <c r="F1242" s="53">
        <v>67</v>
      </c>
      <c r="G1242" s="42">
        <v>1.672860357567498E-4</v>
      </c>
      <c r="H1242" s="39">
        <v>24.555999999999997</v>
      </c>
      <c r="I1242" s="39">
        <v>42.095999999999997</v>
      </c>
      <c r="J1242" s="39"/>
    </row>
    <row r="1243" spans="2:10" x14ac:dyDescent="0.2">
      <c r="B1243" s="4" t="s">
        <v>2317</v>
      </c>
      <c r="C1243" s="5" t="s">
        <v>2318</v>
      </c>
      <c r="D1243" s="6" t="s">
        <v>66</v>
      </c>
      <c r="E1243" s="6" t="s">
        <v>33</v>
      </c>
      <c r="F1243" s="53">
        <v>79.5</v>
      </c>
      <c r="G1243" s="42">
        <v>1.672860357567498E-4</v>
      </c>
      <c r="H1243" s="39">
        <v>29.113</v>
      </c>
      <c r="I1243" s="39">
        <v>49.908000000000001</v>
      </c>
      <c r="J1243" s="39"/>
    </row>
    <row r="1244" spans="2:10" x14ac:dyDescent="0.2">
      <c r="B1244" s="4" t="s">
        <v>2319</v>
      </c>
      <c r="C1244" s="5" t="s">
        <v>2320</v>
      </c>
      <c r="D1244" s="6" t="s">
        <v>66</v>
      </c>
      <c r="E1244" s="6" t="s">
        <v>33</v>
      </c>
      <c r="F1244" s="53">
        <v>88</v>
      </c>
      <c r="G1244" s="42">
        <v>1.672860357567498E-4</v>
      </c>
      <c r="H1244" s="39">
        <v>32.227999999999994</v>
      </c>
      <c r="I1244" s="39">
        <v>55.247999999999998</v>
      </c>
      <c r="J1244" s="39"/>
    </row>
    <row r="1245" spans="2:10" x14ac:dyDescent="0.2">
      <c r="B1245" s="4" t="s">
        <v>2321</v>
      </c>
      <c r="C1245" s="5" t="s">
        <v>2322</v>
      </c>
      <c r="D1245" s="6" t="s">
        <v>66</v>
      </c>
      <c r="E1245" s="6" t="s">
        <v>33</v>
      </c>
      <c r="F1245" s="53">
        <v>57.5</v>
      </c>
      <c r="G1245" s="42">
        <v>1.672860357567498E-4</v>
      </c>
      <c r="H1245" s="39">
        <v>16.806999999999999</v>
      </c>
      <c r="I1245" s="39">
        <v>28.812000000000001</v>
      </c>
      <c r="J1245" s="39"/>
    </row>
    <row r="1246" spans="2:10" x14ac:dyDescent="0.2">
      <c r="B1246" s="4" t="s">
        <v>2323</v>
      </c>
      <c r="C1246" s="5" t="s">
        <v>2324</v>
      </c>
      <c r="D1246" s="6" t="s">
        <v>66</v>
      </c>
      <c r="E1246" s="6" t="s">
        <v>33</v>
      </c>
      <c r="F1246" s="53">
        <v>82</v>
      </c>
      <c r="G1246" s="42">
        <v>1.672860357567498E-4</v>
      </c>
      <c r="H1246" s="39">
        <v>21.007000000000001</v>
      </c>
      <c r="I1246" s="39">
        <v>36.012</v>
      </c>
      <c r="J1246" s="39"/>
    </row>
    <row r="1247" spans="2:10" x14ac:dyDescent="0.2">
      <c r="B1247" s="4" t="s">
        <v>2325</v>
      </c>
      <c r="C1247" s="5" t="s">
        <v>2326</v>
      </c>
      <c r="D1247" s="6" t="s">
        <v>66</v>
      </c>
      <c r="E1247" s="6" t="s">
        <v>33</v>
      </c>
      <c r="F1247" s="53">
        <v>172.5</v>
      </c>
      <c r="G1247" s="42">
        <v>1.672860357567498E-4</v>
      </c>
      <c r="H1247" s="39">
        <v>25.214000000000002</v>
      </c>
      <c r="I1247" s="39">
        <v>43.224000000000004</v>
      </c>
      <c r="J1247" s="39"/>
    </row>
    <row r="1248" spans="2:10" x14ac:dyDescent="0.2">
      <c r="B1248" s="4" t="s">
        <v>2327</v>
      </c>
      <c r="C1248" s="5" t="s">
        <v>2328</v>
      </c>
      <c r="D1248" s="6" t="s">
        <v>66</v>
      </c>
      <c r="E1248" s="6" t="s">
        <v>33</v>
      </c>
      <c r="F1248" s="53">
        <v>422</v>
      </c>
      <c r="G1248" s="42">
        <v>1.672860357567498E-4</v>
      </c>
      <c r="H1248" s="39">
        <v>29.414000000000001</v>
      </c>
      <c r="I1248" s="39">
        <v>50.423999999999999</v>
      </c>
      <c r="J1248" s="39"/>
    </row>
    <row r="1249" spans="2:10" x14ac:dyDescent="0.2">
      <c r="B1249" s="4" t="s">
        <v>2329</v>
      </c>
      <c r="C1249" s="5" t="s">
        <v>2330</v>
      </c>
      <c r="D1249" s="6" t="s">
        <v>66</v>
      </c>
      <c r="E1249" s="6" t="s">
        <v>33</v>
      </c>
      <c r="F1249" s="53">
        <v>518</v>
      </c>
      <c r="G1249" s="42">
        <v>1.672860357567498E-4</v>
      </c>
      <c r="H1249" s="39">
        <v>43.931999999999995</v>
      </c>
      <c r="I1249" s="39">
        <v>75.311999999999998</v>
      </c>
      <c r="J1249" s="39"/>
    </row>
    <row r="1250" spans="2:10" ht="25.5" x14ac:dyDescent="0.2">
      <c r="B1250" s="4" t="s">
        <v>2331</v>
      </c>
      <c r="C1250" s="5" t="s">
        <v>2332</v>
      </c>
      <c r="D1250" s="6" t="s">
        <v>66</v>
      </c>
      <c r="E1250" s="6" t="s">
        <v>33</v>
      </c>
      <c r="F1250" s="53">
        <v>96</v>
      </c>
      <c r="G1250" s="42">
        <v>1.672860357567498E-4</v>
      </c>
      <c r="H1250" s="39">
        <v>35.006999999999998</v>
      </c>
      <c r="I1250" s="39">
        <v>60.011999999999993</v>
      </c>
      <c r="J1250" s="39"/>
    </row>
    <row r="1251" spans="2:10" x14ac:dyDescent="0.2">
      <c r="B1251" s="4" t="s">
        <v>2333</v>
      </c>
      <c r="C1251" s="5" t="s">
        <v>1924</v>
      </c>
      <c r="D1251" s="6" t="s">
        <v>66</v>
      </c>
      <c r="E1251" s="6" t="s">
        <v>33</v>
      </c>
      <c r="F1251" s="53">
        <v>129.5</v>
      </c>
      <c r="G1251" s="42">
        <v>1.672860357567498E-4</v>
      </c>
      <c r="H1251" s="39">
        <v>47.340999999999994</v>
      </c>
      <c r="I1251" s="39">
        <v>81.155999999999992</v>
      </c>
      <c r="J1251" s="39"/>
    </row>
    <row r="1252" spans="2:10" x14ac:dyDescent="0.2">
      <c r="B1252" s="4" t="s">
        <v>2334</v>
      </c>
      <c r="C1252" s="5" t="s">
        <v>1922</v>
      </c>
      <c r="D1252" s="6" t="s">
        <v>66</v>
      </c>
      <c r="E1252" s="6" t="s">
        <v>33</v>
      </c>
      <c r="F1252" s="53">
        <v>149</v>
      </c>
      <c r="G1252" s="42">
        <v>1.672860357567498E-4</v>
      </c>
      <c r="H1252" s="39">
        <v>54.340999999999994</v>
      </c>
      <c r="I1252" s="39">
        <v>93.155999999999992</v>
      </c>
      <c r="J1252" s="39"/>
    </row>
    <row r="1253" spans="2:10" x14ac:dyDescent="0.2">
      <c r="B1253" s="4" t="s">
        <v>2335</v>
      </c>
      <c r="C1253" s="5" t="s">
        <v>2336</v>
      </c>
      <c r="D1253" s="6" t="s">
        <v>66</v>
      </c>
      <c r="E1253" s="6" t="s">
        <v>33</v>
      </c>
      <c r="F1253" s="53">
        <v>234</v>
      </c>
      <c r="G1253" s="42">
        <v>1.672860357567498E-4</v>
      </c>
      <c r="H1253" s="39">
        <v>85.343999999999994</v>
      </c>
      <c r="I1253" s="39">
        <v>146.304</v>
      </c>
      <c r="J1253" s="39"/>
    </row>
    <row r="1254" spans="2:10" x14ac:dyDescent="0.2">
      <c r="B1254" s="4" t="s">
        <v>2337</v>
      </c>
      <c r="C1254" s="5" t="s">
        <v>1916</v>
      </c>
      <c r="D1254" s="6" t="s">
        <v>66</v>
      </c>
      <c r="E1254" s="6" t="s">
        <v>33</v>
      </c>
      <c r="F1254" s="53">
        <v>300</v>
      </c>
      <c r="G1254" s="42">
        <v>1.672860357567498E-4</v>
      </c>
      <c r="H1254" s="39">
        <v>110.34799999999998</v>
      </c>
      <c r="I1254" s="39">
        <v>189.16799999999998</v>
      </c>
      <c r="J1254" s="39"/>
    </row>
    <row r="1255" spans="2:10" ht="25.5" x14ac:dyDescent="0.2">
      <c r="B1255" s="4" t="s">
        <v>2338</v>
      </c>
      <c r="C1255" s="5" t="s">
        <v>2339</v>
      </c>
      <c r="D1255" s="6" t="s">
        <v>66</v>
      </c>
      <c r="E1255" s="6" t="s">
        <v>33</v>
      </c>
      <c r="F1255" s="53">
        <v>145</v>
      </c>
      <c r="G1255" s="42">
        <v>1.672860357567498E-4</v>
      </c>
      <c r="H1255" s="39">
        <v>52.891999999999996</v>
      </c>
      <c r="I1255" s="39">
        <v>90.671999999999997</v>
      </c>
      <c r="J1255" s="39"/>
    </row>
    <row r="1256" spans="2:10" ht="25.5" x14ac:dyDescent="0.2">
      <c r="B1256" s="4" t="s">
        <v>2340</v>
      </c>
      <c r="C1256" s="5" t="s">
        <v>2341</v>
      </c>
      <c r="D1256" s="6" t="s">
        <v>66</v>
      </c>
      <c r="E1256" s="6" t="s">
        <v>33</v>
      </c>
      <c r="F1256" s="53">
        <v>21</v>
      </c>
      <c r="G1256" s="42">
        <v>1.672860357567498E-4</v>
      </c>
      <c r="H1256" s="39">
        <v>7.6579999999999995</v>
      </c>
      <c r="I1256" s="39">
        <v>13.127999999999998</v>
      </c>
      <c r="J1256" s="39"/>
    </row>
    <row r="1257" spans="2:10" ht="90" customHeight="1" x14ac:dyDescent="0.2">
      <c r="B1257" s="4" t="s">
        <v>2342</v>
      </c>
      <c r="C1257" s="5" t="s">
        <v>2343</v>
      </c>
      <c r="D1257" s="6" t="s">
        <v>66</v>
      </c>
      <c r="E1257" s="6" t="s">
        <v>33</v>
      </c>
      <c r="F1257" s="53">
        <v>2438</v>
      </c>
      <c r="G1257" s="42">
        <v>1.673E-4</v>
      </c>
      <c r="H1257" s="39">
        <v>889</v>
      </c>
      <c r="I1257" s="39">
        <v>1524</v>
      </c>
      <c r="J1257" s="39"/>
    </row>
    <row r="1258" spans="2:10" x14ac:dyDescent="0.2">
      <c r="B1258" s="4" t="s">
        <v>2344</v>
      </c>
      <c r="C1258" s="5" t="s">
        <v>2345</v>
      </c>
      <c r="D1258" s="6" t="s">
        <v>66</v>
      </c>
      <c r="E1258" s="6" t="s">
        <v>33</v>
      </c>
      <c r="F1258" s="53">
        <v>2925</v>
      </c>
      <c r="G1258" s="42">
        <v>1.673E-4</v>
      </c>
      <c r="H1258" s="39">
        <v>1066.5059999999999</v>
      </c>
      <c r="I1258" s="39">
        <v>1828.2959999999998</v>
      </c>
      <c r="J1258" s="39"/>
    </row>
    <row r="1259" spans="2:10" x14ac:dyDescent="0.2">
      <c r="B1259" s="4" t="s">
        <v>2346</v>
      </c>
      <c r="C1259" s="5" t="s">
        <v>2347</v>
      </c>
      <c r="D1259" s="6" t="s">
        <v>66</v>
      </c>
      <c r="E1259" s="6" t="s">
        <v>33</v>
      </c>
      <c r="F1259" s="53">
        <v>3365</v>
      </c>
      <c r="G1259" s="42">
        <v>1.673E-4</v>
      </c>
      <c r="H1259" s="39">
        <v>1228.5069999999998</v>
      </c>
      <c r="I1259" s="39">
        <v>2106.0119999999997</v>
      </c>
      <c r="J1259" s="39"/>
    </row>
    <row r="1260" spans="2:10" x14ac:dyDescent="0.2">
      <c r="B1260" s="4" t="s">
        <v>2348</v>
      </c>
      <c r="C1260" s="5" t="s">
        <v>2349</v>
      </c>
      <c r="D1260" s="6" t="s">
        <v>66</v>
      </c>
      <c r="E1260" s="6" t="s">
        <v>33</v>
      </c>
      <c r="F1260" s="53">
        <v>4610</v>
      </c>
      <c r="G1260" s="42">
        <v>1.673E-4</v>
      </c>
      <c r="H1260" s="39">
        <v>1680.9309999999998</v>
      </c>
      <c r="I1260" s="39">
        <v>2881.596</v>
      </c>
      <c r="J1260" s="39"/>
    </row>
    <row r="1261" spans="2:10" x14ac:dyDescent="0.2">
      <c r="B1261" s="4" t="s">
        <v>2350</v>
      </c>
      <c r="C1261" s="5" t="s">
        <v>2351</v>
      </c>
      <c r="D1261" s="6"/>
      <c r="E1261" s="6"/>
      <c r="F1261" s="50"/>
      <c r="G1261" s="42">
        <v>1.673E-4</v>
      </c>
      <c r="H1261" s="39" t="s">
        <v>49</v>
      </c>
      <c r="I1261" s="39" t="s">
        <v>49</v>
      </c>
      <c r="J1261" s="39"/>
    </row>
    <row r="1262" spans="2:10" ht="25.5" x14ac:dyDescent="0.2">
      <c r="B1262" s="4" t="s">
        <v>2352</v>
      </c>
      <c r="C1262" s="5" t="s">
        <v>2353</v>
      </c>
      <c r="D1262" s="6" t="s">
        <v>66</v>
      </c>
      <c r="E1262" s="6" t="s">
        <v>33</v>
      </c>
      <c r="F1262" s="53">
        <v>76.5</v>
      </c>
      <c r="G1262" s="42">
        <v>1.672860357567498E-4</v>
      </c>
      <c r="H1262" s="39" t="s">
        <v>49</v>
      </c>
      <c r="I1262" s="39" t="s">
        <v>49</v>
      </c>
      <c r="J1262" s="39"/>
    </row>
    <row r="1263" spans="2:10" x14ac:dyDescent="0.2">
      <c r="B1263" s="4" t="s">
        <v>2354</v>
      </c>
      <c r="C1263" s="5" t="s">
        <v>2355</v>
      </c>
      <c r="D1263" s="6" t="s">
        <v>66</v>
      </c>
      <c r="E1263" s="6" t="s">
        <v>33</v>
      </c>
      <c r="F1263" s="53">
        <v>48</v>
      </c>
      <c r="G1263" s="42">
        <v>1.672860357567498E-4</v>
      </c>
      <c r="H1263" s="39">
        <v>17.5</v>
      </c>
      <c r="I1263" s="39">
        <v>30</v>
      </c>
      <c r="J1263" s="39"/>
    </row>
    <row r="1264" spans="2:10" ht="25.5" x14ac:dyDescent="0.2">
      <c r="B1264" s="4" t="s">
        <v>2356</v>
      </c>
      <c r="C1264" s="5" t="s">
        <v>2357</v>
      </c>
      <c r="D1264" s="6" t="s">
        <v>66</v>
      </c>
      <c r="E1264" s="6" t="s">
        <v>33</v>
      </c>
      <c r="F1264" s="53">
        <v>112.5</v>
      </c>
      <c r="G1264" s="42">
        <v>1.672860357567498E-4</v>
      </c>
      <c r="H1264" s="39">
        <v>41.173999999999999</v>
      </c>
      <c r="I1264" s="39">
        <v>70.584000000000003</v>
      </c>
      <c r="J1264" s="39"/>
    </row>
    <row r="1265" spans="2:10" x14ac:dyDescent="0.2">
      <c r="B1265" s="4" t="s">
        <v>2358</v>
      </c>
      <c r="C1265" s="5" t="s">
        <v>2355</v>
      </c>
      <c r="D1265" s="6" t="s">
        <v>66</v>
      </c>
      <c r="E1265" s="6" t="s">
        <v>33</v>
      </c>
      <c r="F1265" s="53">
        <v>57.5</v>
      </c>
      <c r="G1265" s="42">
        <v>1.672860357567498E-4</v>
      </c>
      <c r="H1265" s="39">
        <v>21.007000000000001</v>
      </c>
      <c r="I1265" s="39">
        <v>36.012</v>
      </c>
      <c r="J1265" s="39"/>
    </row>
    <row r="1266" spans="2:10" ht="25.5" x14ac:dyDescent="0.2">
      <c r="B1266" s="4" t="s">
        <v>2359</v>
      </c>
      <c r="C1266" s="5" t="s">
        <v>2360</v>
      </c>
      <c r="D1266" s="6" t="s">
        <v>66</v>
      </c>
      <c r="E1266" s="6" t="s">
        <v>33</v>
      </c>
      <c r="F1266" s="53">
        <v>80.5</v>
      </c>
      <c r="G1266" s="42">
        <v>1.672860357567498E-4</v>
      </c>
      <c r="H1266" s="39">
        <v>29.414000000000001</v>
      </c>
      <c r="I1266" s="39">
        <v>50.423999999999999</v>
      </c>
      <c r="J1266" s="39"/>
    </row>
    <row r="1267" spans="2:10" x14ac:dyDescent="0.2">
      <c r="B1267" s="4" t="s">
        <v>2361</v>
      </c>
      <c r="C1267" s="5" t="s">
        <v>2355</v>
      </c>
      <c r="D1267" s="6" t="s">
        <v>66</v>
      </c>
      <c r="E1267" s="6" t="s">
        <v>33</v>
      </c>
      <c r="F1267" s="53">
        <v>46</v>
      </c>
      <c r="G1267" s="42">
        <v>1.672860357567498E-4</v>
      </c>
      <c r="H1267" s="39">
        <v>16.806999999999999</v>
      </c>
      <c r="I1267" s="39">
        <v>28.812000000000001</v>
      </c>
      <c r="J1267" s="39"/>
    </row>
    <row r="1268" spans="2:10" x14ac:dyDescent="0.2">
      <c r="B1268" s="4" t="s">
        <v>2362</v>
      </c>
      <c r="C1268" s="5" t="s">
        <v>2363</v>
      </c>
      <c r="D1268" s="6" t="s">
        <v>66</v>
      </c>
      <c r="E1268" s="6" t="s">
        <v>33</v>
      </c>
      <c r="F1268" s="53">
        <v>31</v>
      </c>
      <c r="G1268" s="42">
        <v>1.672860357567498E-4</v>
      </c>
      <c r="H1268" s="39">
        <v>11.347</v>
      </c>
      <c r="I1268" s="39">
        <v>19.452000000000002</v>
      </c>
      <c r="J1268" s="39"/>
    </row>
    <row r="1269" spans="2:10" x14ac:dyDescent="0.2">
      <c r="B1269" s="4" t="s">
        <v>2364</v>
      </c>
      <c r="C1269" s="5" t="s">
        <v>2365</v>
      </c>
      <c r="D1269" s="6" t="s">
        <v>66</v>
      </c>
      <c r="E1269" s="6" t="s">
        <v>33</v>
      </c>
      <c r="F1269" s="53">
        <v>31.5</v>
      </c>
      <c r="G1269" s="42">
        <v>1.672860357567498E-4</v>
      </c>
      <c r="H1269" s="39">
        <v>18.907</v>
      </c>
      <c r="I1269" s="39">
        <v>32.411999999999999</v>
      </c>
      <c r="J1269" s="39"/>
    </row>
    <row r="1270" spans="2:10" x14ac:dyDescent="0.2">
      <c r="B1270" s="4" t="s">
        <v>2366</v>
      </c>
      <c r="C1270" s="5" t="s">
        <v>2367</v>
      </c>
      <c r="D1270" s="6" t="s">
        <v>66</v>
      </c>
      <c r="E1270" s="6" t="s">
        <v>33</v>
      </c>
      <c r="F1270" s="53">
        <v>92</v>
      </c>
      <c r="G1270" s="42">
        <v>1.672860357567498E-4</v>
      </c>
      <c r="H1270" s="39">
        <v>33.613999999999997</v>
      </c>
      <c r="I1270" s="39">
        <v>57.624000000000002</v>
      </c>
      <c r="J1270" s="39"/>
    </row>
    <row r="1271" spans="2:10" x14ac:dyDescent="0.2">
      <c r="B1271" s="4" t="s">
        <v>2368</v>
      </c>
      <c r="C1271" s="5" t="s">
        <v>2369</v>
      </c>
      <c r="D1271" s="6" t="s">
        <v>66</v>
      </c>
      <c r="E1271" s="6" t="s">
        <v>33</v>
      </c>
      <c r="F1271" s="53">
        <v>69</v>
      </c>
      <c r="G1271" s="42">
        <v>1.672860357567498E-4</v>
      </c>
      <c r="H1271" s="39">
        <v>25.214000000000002</v>
      </c>
      <c r="I1271" s="39">
        <v>43.224000000000004</v>
      </c>
      <c r="J1271" s="39"/>
    </row>
    <row r="1272" spans="2:10" x14ac:dyDescent="0.2">
      <c r="B1272" s="4" t="s">
        <v>2370</v>
      </c>
      <c r="C1272" s="5" t="s">
        <v>2371</v>
      </c>
      <c r="D1272" s="6" t="s">
        <v>66</v>
      </c>
      <c r="E1272" s="6" t="s">
        <v>33</v>
      </c>
      <c r="F1272" s="53">
        <v>172.5</v>
      </c>
      <c r="G1272" s="42">
        <v>1.672860357567498E-4</v>
      </c>
      <c r="H1272" s="39">
        <v>63.027999999999999</v>
      </c>
      <c r="I1272" s="39">
        <v>108.048</v>
      </c>
      <c r="J1272" s="39"/>
    </row>
    <row r="1273" spans="2:10" x14ac:dyDescent="0.2">
      <c r="B1273" s="4" t="s">
        <v>2372</v>
      </c>
      <c r="C1273" s="5" t="s">
        <v>2373</v>
      </c>
      <c r="D1273" s="6" t="s">
        <v>66</v>
      </c>
      <c r="E1273" s="6" t="s">
        <v>33</v>
      </c>
      <c r="F1273" s="53">
        <v>50.5</v>
      </c>
      <c r="G1273" s="42">
        <v>1.672860357567498E-4</v>
      </c>
      <c r="H1273" s="39">
        <v>18.486999999999998</v>
      </c>
      <c r="I1273" s="39">
        <v>31.692</v>
      </c>
      <c r="J1273" s="39"/>
    </row>
    <row r="1274" spans="2:10" x14ac:dyDescent="0.2">
      <c r="B1274" s="4" t="s">
        <v>2374</v>
      </c>
      <c r="C1274" s="5" t="s">
        <v>2375</v>
      </c>
      <c r="D1274" s="6" t="s">
        <v>66</v>
      </c>
      <c r="E1274" s="6" t="s">
        <v>33</v>
      </c>
      <c r="F1274" s="53">
        <v>103</v>
      </c>
      <c r="G1274" s="42">
        <v>1.672860357567498E-4</v>
      </c>
      <c r="H1274" s="39">
        <v>37.820999999999998</v>
      </c>
      <c r="I1274" s="39">
        <v>64.835999999999999</v>
      </c>
      <c r="J1274" s="39"/>
    </row>
    <row r="1275" spans="2:10" x14ac:dyDescent="0.2">
      <c r="B1275" s="4" t="s">
        <v>2376</v>
      </c>
      <c r="C1275" s="5" t="s">
        <v>2377</v>
      </c>
      <c r="D1275" s="6" t="s">
        <v>66</v>
      </c>
      <c r="E1275" s="6" t="s">
        <v>33</v>
      </c>
      <c r="F1275" s="53">
        <v>41</v>
      </c>
      <c r="G1275" s="42">
        <v>1.672860357567498E-4</v>
      </c>
      <c r="H1275" s="39">
        <v>15.126999999999999</v>
      </c>
      <c r="I1275" s="39">
        <v>25.931999999999999</v>
      </c>
      <c r="J1275" s="39"/>
    </row>
    <row r="1276" spans="2:10" x14ac:dyDescent="0.2">
      <c r="B1276" s="4" t="s">
        <v>2378</v>
      </c>
      <c r="C1276" s="5" t="s">
        <v>2379</v>
      </c>
      <c r="D1276" s="6" t="s">
        <v>32</v>
      </c>
      <c r="E1276" s="6" t="s">
        <v>33</v>
      </c>
      <c r="F1276" s="53">
        <v>57.5</v>
      </c>
      <c r="G1276" s="42">
        <v>1.672860357567498E-4</v>
      </c>
      <c r="H1276" s="39">
        <v>21.007000000000001</v>
      </c>
      <c r="I1276" s="39">
        <v>36.012</v>
      </c>
      <c r="J1276" s="39"/>
    </row>
    <row r="1277" spans="2:10" x14ac:dyDescent="0.2">
      <c r="B1277" s="4" t="s">
        <v>2380</v>
      </c>
      <c r="C1277" s="5" t="s">
        <v>2381</v>
      </c>
      <c r="D1277" s="6" t="s">
        <v>32</v>
      </c>
      <c r="E1277" s="6" t="s">
        <v>33</v>
      </c>
      <c r="F1277" s="53">
        <v>86</v>
      </c>
      <c r="G1277" s="42">
        <v>1.672860357567498E-4</v>
      </c>
      <c r="H1277" s="39">
        <v>31.513999999999999</v>
      </c>
      <c r="I1277" s="39">
        <v>54.024000000000001</v>
      </c>
      <c r="J1277" s="39"/>
    </row>
    <row r="1278" spans="2:10" ht="25.5" x14ac:dyDescent="0.2">
      <c r="B1278" s="4" t="s">
        <v>2382</v>
      </c>
      <c r="C1278" s="5" t="s">
        <v>2383</v>
      </c>
      <c r="D1278" s="6" t="s">
        <v>42</v>
      </c>
      <c r="E1278" s="6" t="s">
        <v>33</v>
      </c>
      <c r="F1278" s="53">
        <v>86</v>
      </c>
      <c r="G1278" s="42">
        <v>1.672860357567498E-4</v>
      </c>
      <c r="H1278" s="39">
        <v>29.414000000000001</v>
      </c>
      <c r="I1278" s="39">
        <v>50.423999999999999</v>
      </c>
      <c r="J1278" s="39"/>
    </row>
    <row r="1279" spans="2:10" ht="38.25" x14ac:dyDescent="0.2">
      <c r="B1279" s="4" t="s">
        <v>2384</v>
      </c>
      <c r="C1279" s="5" t="s">
        <v>2385</v>
      </c>
      <c r="D1279" s="6" t="s">
        <v>66</v>
      </c>
      <c r="E1279" s="6" t="s">
        <v>33</v>
      </c>
      <c r="F1279" s="53">
        <v>518.5</v>
      </c>
      <c r="G1279" s="42">
        <v>1.672860357567498E-4</v>
      </c>
      <c r="H1279" s="39">
        <v>189.09799999999998</v>
      </c>
      <c r="I1279" s="39">
        <v>324.16799999999995</v>
      </c>
      <c r="J1279" s="39"/>
    </row>
    <row r="1280" spans="2:10" ht="25.5" x14ac:dyDescent="0.2">
      <c r="B1280" s="4" t="s">
        <v>2386</v>
      </c>
      <c r="C1280" s="5" t="s">
        <v>2387</v>
      </c>
      <c r="D1280" s="6" t="s">
        <v>66</v>
      </c>
      <c r="E1280" s="6" t="s">
        <v>33</v>
      </c>
      <c r="F1280" s="53">
        <v>178.5</v>
      </c>
      <c r="G1280" s="42">
        <v>1.672860357567498E-4</v>
      </c>
      <c r="H1280" s="39">
        <v>65.225999999999999</v>
      </c>
      <c r="I1280" s="39">
        <v>111.816</v>
      </c>
      <c r="J1280" s="39"/>
    </row>
    <row r="1281" spans="2:10" ht="25.5" x14ac:dyDescent="0.2">
      <c r="B1281" s="4" t="s">
        <v>2388</v>
      </c>
      <c r="C1281" s="5" t="s">
        <v>2389</v>
      </c>
      <c r="D1281" s="6" t="s">
        <v>66</v>
      </c>
      <c r="E1281" s="6" t="s">
        <v>33</v>
      </c>
      <c r="F1281" s="53">
        <v>216.5</v>
      </c>
      <c r="G1281" s="42">
        <v>1.672860357567498E-4</v>
      </c>
      <c r="H1281" s="39">
        <v>79.106999999999999</v>
      </c>
      <c r="I1281" s="39">
        <v>135.61199999999999</v>
      </c>
      <c r="J1281" s="39"/>
    </row>
    <row r="1282" spans="2:10" ht="25.5" x14ac:dyDescent="0.2">
      <c r="B1282" s="4" t="s">
        <v>2390</v>
      </c>
      <c r="C1282" s="5" t="s">
        <v>2391</v>
      </c>
      <c r="D1282" s="6" t="s">
        <v>66</v>
      </c>
      <c r="E1282" s="6" t="s">
        <v>33</v>
      </c>
      <c r="F1282" s="53">
        <v>345.5</v>
      </c>
      <c r="G1282" s="42">
        <v>1.672860357567498E-4</v>
      </c>
      <c r="H1282" s="39">
        <v>126.07</v>
      </c>
      <c r="I1282" s="39">
        <v>216.11999999999998</v>
      </c>
      <c r="J1282" s="39"/>
    </row>
    <row r="1283" spans="2:10" x14ac:dyDescent="0.2">
      <c r="B1283" s="4" t="s">
        <v>2392</v>
      </c>
      <c r="C1283" s="5" t="s">
        <v>2393</v>
      </c>
      <c r="D1283" s="6"/>
      <c r="E1283" s="6"/>
      <c r="F1283" s="50"/>
      <c r="G1283" s="42">
        <v>1.672860357567498E-4</v>
      </c>
      <c r="H1283" s="39" t="s">
        <v>49</v>
      </c>
      <c r="I1283" s="39" t="s">
        <v>49</v>
      </c>
      <c r="J1283" s="39"/>
    </row>
    <row r="1284" spans="2:10" ht="25.5" x14ac:dyDescent="0.2">
      <c r="B1284" s="4" t="s">
        <v>2394</v>
      </c>
      <c r="C1284" s="5" t="s">
        <v>2395</v>
      </c>
      <c r="D1284" s="6" t="s">
        <v>32</v>
      </c>
      <c r="E1284" s="6" t="s">
        <v>20</v>
      </c>
      <c r="F1284" s="53">
        <v>20.5</v>
      </c>
      <c r="G1284" s="42">
        <v>1.672860357567498E-4</v>
      </c>
      <c r="H1284" s="39">
        <v>7.56</v>
      </c>
      <c r="I1284" s="39">
        <v>12.96</v>
      </c>
      <c r="J1284" s="39"/>
    </row>
    <row r="1285" spans="2:10" x14ac:dyDescent="0.2">
      <c r="B1285" s="4" t="s">
        <v>2396</v>
      </c>
      <c r="C1285" s="5" t="s">
        <v>2397</v>
      </c>
      <c r="D1285" s="6" t="s">
        <v>66</v>
      </c>
      <c r="E1285" s="6" t="s">
        <v>20</v>
      </c>
      <c r="F1285" s="53">
        <v>92</v>
      </c>
      <c r="G1285" s="42">
        <v>1.672860357567498E-4</v>
      </c>
      <c r="H1285" s="39">
        <v>33.613999999999997</v>
      </c>
      <c r="I1285" s="39">
        <v>57.624000000000002</v>
      </c>
      <c r="J1285" s="39"/>
    </row>
    <row r="1286" spans="2:10" x14ac:dyDescent="0.2">
      <c r="B1286" s="4" t="s">
        <v>2398</v>
      </c>
      <c r="C1286" s="5" t="s">
        <v>2399</v>
      </c>
      <c r="D1286" s="6" t="s">
        <v>66</v>
      </c>
      <c r="E1286" s="6" t="s">
        <v>20</v>
      </c>
      <c r="F1286" s="53">
        <v>69</v>
      </c>
      <c r="G1286" s="42">
        <v>1.672860357567498E-4</v>
      </c>
      <c r="H1286" s="39">
        <v>25.214000000000002</v>
      </c>
      <c r="I1286" s="39">
        <v>43.224000000000004</v>
      </c>
      <c r="J1286" s="39"/>
    </row>
    <row r="1287" spans="2:10" x14ac:dyDescent="0.2">
      <c r="B1287" s="4" t="s">
        <v>2400</v>
      </c>
      <c r="C1287" s="5" t="s">
        <v>2401</v>
      </c>
      <c r="D1287" s="6" t="s">
        <v>66</v>
      </c>
      <c r="E1287" s="6" t="s">
        <v>20</v>
      </c>
      <c r="F1287" s="53">
        <v>69</v>
      </c>
      <c r="G1287" s="42">
        <v>1.672860357567498E-4</v>
      </c>
      <c r="H1287" s="39">
        <v>25.214000000000002</v>
      </c>
      <c r="I1287" s="39">
        <v>43.224000000000004</v>
      </c>
      <c r="J1287" s="39"/>
    </row>
    <row r="1288" spans="2:10" x14ac:dyDescent="0.2">
      <c r="B1288" s="4" t="s">
        <v>2402</v>
      </c>
      <c r="C1288" s="5" t="s">
        <v>2403</v>
      </c>
      <c r="D1288" s="6" t="s">
        <v>66</v>
      </c>
      <c r="E1288" s="6" t="s">
        <v>20</v>
      </c>
      <c r="F1288" s="53">
        <v>69</v>
      </c>
      <c r="G1288" s="42">
        <v>1.672860357567498E-4</v>
      </c>
      <c r="H1288" s="39">
        <v>25.214000000000002</v>
      </c>
      <c r="I1288" s="39">
        <v>43.224000000000004</v>
      </c>
      <c r="J1288" s="39"/>
    </row>
    <row r="1289" spans="2:10" x14ac:dyDescent="0.2">
      <c r="B1289" s="4" t="s">
        <v>2404</v>
      </c>
      <c r="C1289" s="5" t="s">
        <v>2405</v>
      </c>
      <c r="D1289" s="6" t="s">
        <v>66</v>
      </c>
      <c r="E1289" s="6" t="s">
        <v>20</v>
      </c>
      <c r="F1289" s="53">
        <v>60</v>
      </c>
      <c r="G1289" s="42">
        <v>1.672860357567498E-4</v>
      </c>
      <c r="H1289" s="39">
        <v>22.224999999999998</v>
      </c>
      <c r="I1289" s="39">
        <v>38.1</v>
      </c>
      <c r="J1289" s="39"/>
    </row>
    <row r="1290" spans="2:10" ht="38.25" x14ac:dyDescent="0.2">
      <c r="B1290" s="4" t="s">
        <v>2406</v>
      </c>
      <c r="C1290" s="5" t="s">
        <v>2407</v>
      </c>
      <c r="D1290" s="6"/>
      <c r="E1290" s="6"/>
      <c r="F1290" s="50"/>
      <c r="G1290" s="42">
        <v>1.672860357567498E-4</v>
      </c>
      <c r="H1290" s="39" t="s">
        <v>49</v>
      </c>
      <c r="I1290" s="39" t="s">
        <v>49</v>
      </c>
      <c r="J1290" s="39"/>
    </row>
    <row r="1291" spans="2:10" x14ac:dyDescent="0.2">
      <c r="B1291" s="4" t="s">
        <v>2408</v>
      </c>
      <c r="C1291" s="5" t="s">
        <v>2409</v>
      </c>
      <c r="D1291" s="6" t="s">
        <v>66</v>
      </c>
      <c r="E1291" s="6" t="s">
        <v>20</v>
      </c>
      <c r="F1291" s="53">
        <v>425</v>
      </c>
      <c r="G1291" s="42">
        <v>1.672860357567498E-4</v>
      </c>
      <c r="H1291" s="39">
        <v>155.904</v>
      </c>
      <c r="I1291" s="39">
        <v>267.26400000000001</v>
      </c>
      <c r="J1291" s="39"/>
    </row>
    <row r="1292" spans="2:10" x14ac:dyDescent="0.2">
      <c r="B1292" s="4" t="s">
        <v>2410</v>
      </c>
      <c r="C1292" s="5" t="s">
        <v>2411</v>
      </c>
      <c r="D1292" s="6" t="s">
        <v>2412</v>
      </c>
      <c r="E1292" s="6" t="s">
        <v>20</v>
      </c>
      <c r="F1292" s="53">
        <v>105</v>
      </c>
      <c r="G1292" s="42">
        <v>1.672860357567498E-4</v>
      </c>
      <c r="H1292" s="39">
        <v>38.975999999999999</v>
      </c>
      <c r="I1292" s="39">
        <v>66.816000000000003</v>
      </c>
      <c r="J1292" s="39"/>
    </row>
    <row r="1293" spans="2:10" ht="38.25" x14ac:dyDescent="0.2">
      <c r="B1293" s="4" t="s">
        <v>2413</v>
      </c>
      <c r="C1293" s="5" t="s">
        <v>2414</v>
      </c>
      <c r="D1293" s="6"/>
      <c r="E1293" s="6"/>
      <c r="F1293" s="50"/>
      <c r="G1293" s="42">
        <v>1.672860357567498E-4</v>
      </c>
      <c r="H1293" s="39" t="s">
        <v>49</v>
      </c>
      <c r="I1293" s="39" t="s">
        <v>49</v>
      </c>
      <c r="J1293" s="39"/>
    </row>
    <row r="1294" spans="2:10" x14ac:dyDescent="0.2">
      <c r="B1294" s="4" t="s">
        <v>2415</v>
      </c>
      <c r="C1294" s="5" t="s">
        <v>2409</v>
      </c>
      <c r="D1294" s="6" t="s">
        <v>66</v>
      </c>
      <c r="E1294" s="6" t="s">
        <v>20</v>
      </c>
      <c r="F1294" s="53">
        <v>810</v>
      </c>
      <c r="G1294" s="42">
        <v>1.672860357567498E-4</v>
      </c>
      <c r="H1294" s="39">
        <v>296.29599999999994</v>
      </c>
      <c r="I1294" s="39">
        <v>507.93599999999992</v>
      </c>
      <c r="J1294" s="39"/>
    </row>
    <row r="1295" spans="2:10" x14ac:dyDescent="0.2">
      <c r="B1295" s="4" t="s">
        <v>2416</v>
      </c>
      <c r="C1295" s="5" t="s">
        <v>2417</v>
      </c>
      <c r="D1295" s="6" t="s">
        <v>19</v>
      </c>
      <c r="E1295" s="6" t="s">
        <v>20</v>
      </c>
      <c r="F1295" s="53">
        <v>175</v>
      </c>
      <c r="G1295" s="42">
        <v>1.672860357567498E-4</v>
      </c>
      <c r="H1295" s="39">
        <v>65.534000000000006</v>
      </c>
      <c r="I1295" s="39">
        <v>112.34400000000001</v>
      </c>
      <c r="J1295" s="39"/>
    </row>
    <row r="1296" spans="2:10" ht="51" x14ac:dyDescent="0.2">
      <c r="B1296" s="4" t="s">
        <v>2418</v>
      </c>
      <c r="C1296" s="5" t="s">
        <v>2419</v>
      </c>
      <c r="D1296" s="6"/>
      <c r="E1296" s="6"/>
      <c r="F1296" s="50"/>
      <c r="G1296" s="42">
        <v>1.672860357567498E-4</v>
      </c>
      <c r="H1296" s="39" t="s">
        <v>49</v>
      </c>
      <c r="I1296" s="39" t="s">
        <v>49</v>
      </c>
      <c r="J1296" s="39"/>
    </row>
    <row r="1297" spans="2:10" x14ac:dyDescent="0.2">
      <c r="B1297" s="4" t="s">
        <v>2420</v>
      </c>
      <c r="C1297" s="5" t="s">
        <v>2409</v>
      </c>
      <c r="D1297" s="6" t="s">
        <v>66</v>
      </c>
      <c r="E1297" s="6" t="s">
        <v>20</v>
      </c>
      <c r="F1297" s="53">
        <v>863</v>
      </c>
      <c r="G1297" s="42">
        <v>1.672860357567498E-4</v>
      </c>
      <c r="H1297" s="39">
        <v>420.23099999999999</v>
      </c>
      <c r="I1297" s="39">
        <v>720.39600000000007</v>
      </c>
      <c r="J1297" s="39"/>
    </row>
    <row r="1298" spans="2:10" x14ac:dyDescent="0.2">
      <c r="B1298" s="4" t="s">
        <v>2421</v>
      </c>
      <c r="C1298" s="5" t="s">
        <v>2417</v>
      </c>
      <c r="D1298" s="6" t="s">
        <v>19</v>
      </c>
      <c r="E1298" s="6" t="s">
        <v>20</v>
      </c>
      <c r="F1298" s="53">
        <v>233.5</v>
      </c>
      <c r="G1298" s="42">
        <v>1.672860357567498E-4</v>
      </c>
      <c r="H1298" s="39">
        <v>85.176000000000002</v>
      </c>
      <c r="I1298" s="39">
        <v>146.01599999999999</v>
      </c>
      <c r="J1298" s="39"/>
    </row>
    <row r="1299" spans="2:10" ht="51" x14ac:dyDescent="0.2">
      <c r="B1299" s="4" t="s">
        <v>2422</v>
      </c>
      <c r="C1299" s="5" t="s">
        <v>2423</v>
      </c>
      <c r="D1299" s="6" t="s">
        <v>66</v>
      </c>
      <c r="E1299" s="6" t="s">
        <v>20</v>
      </c>
      <c r="F1299" s="53">
        <v>1392</v>
      </c>
      <c r="G1299" s="42">
        <v>1.672860357567498E-4</v>
      </c>
      <c r="H1299" s="39">
        <v>577.5</v>
      </c>
      <c r="I1299" s="39">
        <v>990</v>
      </c>
      <c r="J1299" s="39"/>
    </row>
    <row r="1300" spans="2:10" x14ac:dyDescent="0.2">
      <c r="B1300" s="4" t="s">
        <v>2424</v>
      </c>
      <c r="C1300" s="5" t="s">
        <v>2425</v>
      </c>
      <c r="D1300" s="6"/>
      <c r="E1300" s="6"/>
      <c r="F1300" s="50"/>
      <c r="G1300" s="42">
        <v>1.672860357567498E-4</v>
      </c>
      <c r="H1300" s="39" t="s">
        <v>49</v>
      </c>
      <c r="I1300" s="39" t="s">
        <v>49</v>
      </c>
      <c r="J1300" s="39"/>
    </row>
    <row r="1301" spans="2:10" ht="25.5" x14ac:dyDescent="0.2">
      <c r="B1301" s="4" t="s">
        <v>2426</v>
      </c>
      <c r="C1301" s="5" t="s">
        <v>2427</v>
      </c>
      <c r="D1301" s="6"/>
      <c r="E1301" s="6"/>
      <c r="F1301" s="50"/>
      <c r="G1301" s="42">
        <v>1.672860357567498E-4</v>
      </c>
      <c r="H1301" s="39" t="s">
        <v>49</v>
      </c>
      <c r="I1301" s="39" t="s">
        <v>49</v>
      </c>
      <c r="J1301" s="39"/>
    </row>
    <row r="1302" spans="2:10" x14ac:dyDescent="0.2">
      <c r="B1302" s="4" t="s">
        <v>2428</v>
      </c>
      <c r="C1302" s="5" t="s">
        <v>2429</v>
      </c>
      <c r="D1302" s="6" t="s">
        <v>66</v>
      </c>
      <c r="E1302" s="6" t="s">
        <v>33</v>
      </c>
      <c r="F1302" s="53">
        <v>115</v>
      </c>
      <c r="G1302" s="42">
        <v>1.672860357567498E-4</v>
      </c>
      <c r="H1302" s="39">
        <v>42.021000000000001</v>
      </c>
      <c r="I1302" s="39">
        <v>72.036000000000001</v>
      </c>
      <c r="J1302" s="39"/>
    </row>
    <row r="1303" spans="2:10" x14ac:dyDescent="0.2">
      <c r="B1303" s="4" t="s">
        <v>2430</v>
      </c>
      <c r="C1303" s="5" t="s">
        <v>2431</v>
      </c>
      <c r="D1303" s="6" t="s">
        <v>66</v>
      </c>
      <c r="E1303" s="6" t="s">
        <v>33</v>
      </c>
      <c r="F1303" s="53">
        <v>182</v>
      </c>
      <c r="G1303" s="42">
        <v>1.672860357567498E-4</v>
      </c>
      <c r="H1303" s="39">
        <v>66.394999999999996</v>
      </c>
      <c r="I1303" s="39">
        <v>113.82</v>
      </c>
      <c r="J1303" s="39"/>
    </row>
    <row r="1304" spans="2:10" x14ac:dyDescent="0.2">
      <c r="B1304" s="4" t="s">
        <v>2432</v>
      </c>
      <c r="C1304" s="5" t="s">
        <v>2433</v>
      </c>
      <c r="D1304" s="6" t="s">
        <v>66</v>
      </c>
      <c r="E1304" s="6" t="s">
        <v>33</v>
      </c>
      <c r="F1304" s="53">
        <v>195</v>
      </c>
      <c r="G1304" s="42">
        <v>1.672860357567498E-4</v>
      </c>
      <c r="H1304" s="39">
        <v>71.434999999999988</v>
      </c>
      <c r="I1304" s="39">
        <v>122.46</v>
      </c>
      <c r="J1304" s="39"/>
    </row>
    <row r="1305" spans="2:10" ht="25.5" x14ac:dyDescent="0.2">
      <c r="B1305" s="4" t="s">
        <v>2434</v>
      </c>
      <c r="C1305" s="5" t="s">
        <v>2435</v>
      </c>
      <c r="D1305" s="6"/>
      <c r="E1305" s="6"/>
      <c r="F1305" s="50"/>
      <c r="G1305" s="42">
        <v>1.672860357567498E-4</v>
      </c>
      <c r="H1305" s="39" t="s">
        <v>49</v>
      </c>
      <c r="I1305" s="39" t="s">
        <v>49</v>
      </c>
      <c r="J1305" s="39"/>
    </row>
    <row r="1306" spans="2:10" x14ac:dyDescent="0.2">
      <c r="B1306" s="4" t="s">
        <v>2436</v>
      </c>
      <c r="C1306" s="5" t="s">
        <v>2429</v>
      </c>
      <c r="D1306" s="6" t="s">
        <v>66</v>
      </c>
      <c r="E1306" s="6" t="s">
        <v>33</v>
      </c>
      <c r="F1306" s="53">
        <v>138</v>
      </c>
      <c r="G1306" s="42">
        <v>1.672860357567498E-4</v>
      </c>
      <c r="H1306" s="39">
        <v>50.420999999999999</v>
      </c>
      <c r="I1306" s="39">
        <v>86.435999999999993</v>
      </c>
      <c r="J1306" s="39"/>
    </row>
    <row r="1307" spans="2:10" x14ac:dyDescent="0.2">
      <c r="B1307" s="4" t="s">
        <v>2437</v>
      </c>
      <c r="C1307" s="5" t="s">
        <v>2431</v>
      </c>
      <c r="D1307" s="6" t="s">
        <v>66</v>
      </c>
      <c r="E1307" s="6" t="s">
        <v>33</v>
      </c>
      <c r="F1307" s="53">
        <v>205</v>
      </c>
      <c r="G1307" s="42">
        <v>1.672860357567498E-4</v>
      </c>
      <c r="H1307" s="39">
        <v>75.641999999999996</v>
      </c>
      <c r="I1307" s="39">
        <v>129.672</v>
      </c>
      <c r="J1307" s="39"/>
    </row>
    <row r="1308" spans="2:10" x14ac:dyDescent="0.2">
      <c r="B1308" s="4" t="s">
        <v>2438</v>
      </c>
      <c r="C1308" s="5" t="s">
        <v>2433</v>
      </c>
      <c r="D1308" s="6" t="s">
        <v>66</v>
      </c>
      <c r="E1308" s="6" t="s">
        <v>33</v>
      </c>
      <c r="F1308" s="53">
        <v>235</v>
      </c>
      <c r="G1308" s="42">
        <v>1.672860357567498E-4</v>
      </c>
      <c r="H1308" s="39">
        <v>86.603999999999999</v>
      </c>
      <c r="I1308" s="39">
        <v>148.464</v>
      </c>
      <c r="J1308" s="39"/>
    </row>
    <row r="1309" spans="2:10" x14ac:dyDescent="0.2">
      <c r="B1309" s="4" t="s">
        <v>2439</v>
      </c>
      <c r="C1309" s="5" t="s">
        <v>2440</v>
      </c>
      <c r="D1309" s="6" t="s">
        <v>66</v>
      </c>
      <c r="E1309" s="6" t="s">
        <v>33</v>
      </c>
      <c r="F1309" s="53">
        <v>415</v>
      </c>
      <c r="G1309" s="42">
        <v>1.672860357567498E-4</v>
      </c>
      <c r="H1309" s="39">
        <v>151.68299999999999</v>
      </c>
      <c r="I1309" s="39">
        <v>260.02799999999996</v>
      </c>
      <c r="J1309" s="39"/>
    </row>
    <row r="1310" spans="2:10" ht="25.5" x14ac:dyDescent="0.2">
      <c r="B1310" s="4" t="s">
        <v>2441</v>
      </c>
      <c r="C1310" s="5" t="s">
        <v>2442</v>
      </c>
      <c r="D1310" s="6"/>
      <c r="E1310" s="6"/>
      <c r="F1310" s="50"/>
      <c r="G1310" s="42">
        <v>1.672860357567498E-4</v>
      </c>
      <c r="H1310" s="39" t="s">
        <v>49</v>
      </c>
      <c r="I1310" s="39" t="s">
        <v>49</v>
      </c>
      <c r="J1310" s="39"/>
    </row>
    <row r="1311" spans="2:10" x14ac:dyDescent="0.2">
      <c r="B1311" s="4" t="s">
        <v>2443</v>
      </c>
      <c r="C1311" s="5" t="s">
        <v>2429</v>
      </c>
      <c r="D1311" s="6" t="s">
        <v>66</v>
      </c>
      <c r="E1311" s="6" t="s">
        <v>33</v>
      </c>
      <c r="F1311" s="53">
        <v>148</v>
      </c>
      <c r="G1311" s="42">
        <v>1.672860357567498E-4</v>
      </c>
      <c r="H1311" s="39">
        <v>54.137999999999998</v>
      </c>
      <c r="I1311" s="39">
        <v>92.808000000000007</v>
      </c>
      <c r="J1311" s="39"/>
    </row>
    <row r="1312" spans="2:10" x14ac:dyDescent="0.2">
      <c r="B1312" s="4" t="s">
        <v>2444</v>
      </c>
      <c r="C1312" s="5" t="s">
        <v>2431</v>
      </c>
      <c r="D1312" s="6" t="s">
        <v>66</v>
      </c>
      <c r="E1312" s="6" t="s">
        <v>33</v>
      </c>
      <c r="F1312" s="53">
        <v>243.5</v>
      </c>
      <c r="G1312" s="42">
        <v>1.672860357567498E-4</v>
      </c>
      <c r="H1312" s="39">
        <v>88.878999999999991</v>
      </c>
      <c r="I1312" s="39">
        <v>152.364</v>
      </c>
      <c r="J1312" s="39"/>
    </row>
    <row r="1313" spans="2:10" x14ac:dyDescent="0.2">
      <c r="B1313" s="4" t="s">
        <v>2445</v>
      </c>
      <c r="C1313" s="5" t="s">
        <v>2433</v>
      </c>
      <c r="D1313" s="6" t="s">
        <v>66</v>
      </c>
      <c r="E1313" s="6" t="s">
        <v>33</v>
      </c>
      <c r="F1313" s="53">
        <v>334</v>
      </c>
      <c r="G1313" s="42">
        <v>1.672860357567498E-4</v>
      </c>
      <c r="H1313" s="39">
        <v>121.8</v>
      </c>
      <c r="I1313" s="39">
        <v>208.79999999999998</v>
      </c>
      <c r="J1313" s="39"/>
    </row>
    <row r="1314" spans="2:10" ht="25.5" x14ac:dyDescent="0.2">
      <c r="B1314" s="4" t="s">
        <v>2446</v>
      </c>
      <c r="C1314" s="5" t="s">
        <v>2447</v>
      </c>
      <c r="D1314" s="6"/>
      <c r="E1314" s="6"/>
      <c r="F1314" s="50"/>
      <c r="G1314" s="42">
        <v>1.672860357567498E-4</v>
      </c>
      <c r="H1314" s="39" t="s">
        <v>49</v>
      </c>
      <c r="I1314" s="39" t="s">
        <v>49</v>
      </c>
      <c r="J1314" s="39"/>
    </row>
    <row r="1315" spans="2:10" x14ac:dyDescent="0.2">
      <c r="B1315" s="4" t="s">
        <v>2448</v>
      </c>
      <c r="C1315" s="5" t="s">
        <v>2449</v>
      </c>
      <c r="D1315" s="6" t="s">
        <v>66</v>
      </c>
      <c r="E1315" s="6" t="s">
        <v>33</v>
      </c>
      <c r="F1315" s="53">
        <v>160</v>
      </c>
      <c r="G1315" s="42">
        <v>1.672860357567498E-4</v>
      </c>
      <c r="H1315" s="39">
        <v>58.834999999999994</v>
      </c>
      <c r="I1315" s="39">
        <v>100.86</v>
      </c>
      <c r="J1315" s="39"/>
    </row>
    <row r="1316" spans="2:10" x14ac:dyDescent="0.2">
      <c r="B1316" s="4" t="s">
        <v>2450</v>
      </c>
      <c r="C1316" s="5" t="s">
        <v>2451</v>
      </c>
      <c r="D1316" s="6" t="s">
        <v>66</v>
      </c>
      <c r="E1316" s="6" t="s">
        <v>33</v>
      </c>
      <c r="F1316" s="53">
        <v>242</v>
      </c>
      <c r="G1316" s="42">
        <v>1.672860357567498E-4</v>
      </c>
      <c r="H1316" s="39">
        <v>88.248999999999995</v>
      </c>
      <c r="I1316" s="39">
        <v>151.28399999999999</v>
      </c>
      <c r="J1316" s="39"/>
    </row>
    <row r="1317" spans="2:10" ht="25.5" x14ac:dyDescent="0.2">
      <c r="B1317" s="4" t="s">
        <v>2452</v>
      </c>
      <c r="C1317" s="5" t="s">
        <v>2453</v>
      </c>
      <c r="D1317" s="6" t="s">
        <v>66</v>
      </c>
      <c r="E1317" s="6" t="s">
        <v>33</v>
      </c>
      <c r="F1317" s="53">
        <v>391.5</v>
      </c>
      <c r="G1317" s="42">
        <v>1.672860357567498E-4</v>
      </c>
      <c r="H1317" s="39">
        <v>142.87700000000001</v>
      </c>
      <c r="I1317" s="39">
        <v>244.93200000000002</v>
      </c>
      <c r="J1317" s="39"/>
    </row>
    <row r="1318" spans="2:10" ht="25.5" x14ac:dyDescent="0.2">
      <c r="B1318" s="4" t="s">
        <v>2454</v>
      </c>
      <c r="C1318" s="5" t="s">
        <v>2455</v>
      </c>
      <c r="D1318" s="6" t="s">
        <v>66</v>
      </c>
      <c r="E1318" s="6" t="s">
        <v>33</v>
      </c>
      <c r="F1318" s="53">
        <v>195</v>
      </c>
      <c r="G1318" s="42">
        <v>1.672860357567498E-4</v>
      </c>
      <c r="H1318" s="39">
        <v>71.11999999999999</v>
      </c>
      <c r="I1318" s="39">
        <v>121.91999999999999</v>
      </c>
      <c r="J1318" s="39"/>
    </row>
    <row r="1319" spans="2:10" ht="25.5" x14ac:dyDescent="0.2">
      <c r="B1319" s="4" t="s">
        <v>2456</v>
      </c>
      <c r="C1319" s="5" t="s">
        <v>2457</v>
      </c>
      <c r="D1319" s="6"/>
      <c r="E1319" s="6"/>
      <c r="F1319" s="50"/>
      <c r="G1319" s="42">
        <v>1.672860357567498E-4</v>
      </c>
      <c r="H1319" s="39" t="s">
        <v>49</v>
      </c>
      <c r="I1319" s="39" t="s">
        <v>49</v>
      </c>
      <c r="J1319" s="39"/>
    </row>
    <row r="1320" spans="2:10" x14ac:dyDescent="0.2">
      <c r="B1320" s="4" t="s">
        <v>2458</v>
      </c>
      <c r="C1320" s="5" t="s">
        <v>2459</v>
      </c>
      <c r="D1320" s="6" t="s">
        <v>32</v>
      </c>
      <c r="E1320" s="6" t="s">
        <v>33</v>
      </c>
      <c r="F1320" s="53">
        <v>107.5</v>
      </c>
      <c r="G1320" s="42">
        <v>1.672860357567498E-4</v>
      </c>
      <c r="H1320" s="39">
        <v>12.6</v>
      </c>
      <c r="I1320" s="39">
        <v>21.599999999999998</v>
      </c>
      <c r="J1320" s="39"/>
    </row>
    <row r="1321" spans="2:10" x14ac:dyDescent="0.2">
      <c r="B1321" s="4" t="s">
        <v>2460</v>
      </c>
      <c r="C1321" s="5" t="s">
        <v>2461</v>
      </c>
      <c r="D1321" s="6" t="s">
        <v>32</v>
      </c>
      <c r="E1321" s="6" t="s">
        <v>33</v>
      </c>
      <c r="F1321" s="53">
        <v>172.5</v>
      </c>
      <c r="G1321" s="42">
        <v>1.672860357567498E-4</v>
      </c>
      <c r="H1321" s="39">
        <v>14.707000000000001</v>
      </c>
      <c r="I1321" s="39">
        <v>25.212</v>
      </c>
      <c r="J1321" s="39"/>
    </row>
    <row r="1322" spans="2:10" x14ac:dyDescent="0.2">
      <c r="B1322" s="4" t="s">
        <v>2462</v>
      </c>
      <c r="C1322" s="5" t="s">
        <v>2463</v>
      </c>
      <c r="D1322" s="6" t="s">
        <v>32</v>
      </c>
      <c r="E1322" s="6" t="s">
        <v>33</v>
      </c>
      <c r="F1322" s="53">
        <v>67</v>
      </c>
      <c r="G1322" s="42">
        <v>1.672860357567498E-4</v>
      </c>
      <c r="H1322" s="39">
        <v>21.007000000000001</v>
      </c>
      <c r="I1322" s="39">
        <v>36.012</v>
      </c>
      <c r="J1322" s="39"/>
    </row>
    <row r="1323" spans="2:10" ht="38.25" x14ac:dyDescent="0.2">
      <c r="B1323" s="4" t="s">
        <v>2464</v>
      </c>
      <c r="C1323" s="5" t="s">
        <v>2465</v>
      </c>
      <c r="D1323" s="6" t="s">
        <v>42</v>
      </c>
      <c r="E1323" s="6" t="s">
        <v>33</v>
      </c>
      <c r="F1323" s="53">
        <v>57.5</v>
      </c>
      <c r="G1323" s="42">
        <v>1.672860357567498E-4</v>
      </c>
      <c r="H1323" s="39">
        <v>21.007000000000001</v>
      </c>
      <c r="I1323" s="39">
        <v>36.012</v>
      </c>
      <c r="J1323" s="39"/>
    </row>
    <row r="1324" spans="2:10" ht="38.25" x14ac:dyDescent="0.2">
      <c r="B1324" s="4" t="s">
        <v>2466</v>
      </c>
      <c r="C1324" s="5" t="s">
        <v>2467</v>
      </c>
      <c r="D1324" s="6" t="s">
        <v>42</v>
      </c>
      <c r="E1324" s="6" t="s">
        <v>33</v>
      </c>
      <c r="F1324" s="53">
        <v>103.5</v>
      </c>
      <c r="G1324" s="42">
        <v>1.672860357567498E-4</v>
      </c>
      <c r="H1324" s="39">
        <v>37.820999999999998</v>
      </c>
      <c r="I1324" s="39">
        <v>64.835999999999999</v>
      </c>
      <c r="J1324" s="39"/>
    </row>
    <row r="1325" spans="2:10" ht="25.5" x14ac:dyDescent="0.2">
      <c r="B1325" s="4" t="s">
        <v>2468</v>
      </c>
      <c r="C1325" s="5" t="s">
        <v>2469</v>
      </c>
      <c r="D1325" s="6" t="s">
        <v>42</v>
      </c>
      <c r="E1325" s="6" t="s">
        <v>33</v>
      </c>
      <c r="F1325" s="53">
        <v>64.14</v>
      </c>
      <c r="G1325" s="42">
        <v>1.672860357567498E-4</v>
      </c>
      <c r="H1325" s="39">
        <v>23.386999999999997</v>
      </c>
      <c r="I1325" s="39">
        <v>40.091999999999992</v>
      </c>
      <c r="J1325" s="39"/>
    </row>
    <row r="1326" spans="2:10" ht="51" x14ac:dyDescent="0.2">
      <c r="B1326" s="8" t="s">
        <v>2470</v>
      </c>
      <c r="C1326" s="5" t="s">
        <v>2471</v>
      </c>
      <c r="D1326" s="6"/>
      <c r="E1326" s="6"/>
      <c r="F1326" s="50"/>
      <c r="G1326" s="40" t="e">
        <f>#REF!/(COUNTA(#REF!))</f>
        <v>#REF!</v>
      </c>
      <c r="H1326" s="39" t="s">
        <v>49</v>
      </c>
      <c r="I1326" s="39" t="s">
        <v>49</v>
      </c>
      <c r="J1326" s="39"/>
    </row>
    <row r="1327" spans="2:10" ht="38.25" x14ac:dyDescent="0.2">
      <c r="B1327" s="4" t="s">
        <v>2472</v>
      </c>
      <c r="C1327" s="5" t="s">
        <v>2473</v>
      </c>
      <c r="D1327" s="6" t="s">
        <v>32</v>
      </c>
      <c r="E1327" s="6" t="s">
        <v>33</v>
      </c>
      <c r="F1327" s="53">
        <v>125.87</v>
      </c>
      <c r="G1327" s="42">
        <v>4.2615500000000002E-3</v>
      </c>
      <c r="H1327" s="39">
        <v>45.891999999999996</v>
      </c>
      <c r="I1327" s="39">
        <v>78.671999999999997</v>
      </c>
      <c r="J1327" s="39"/>
    </row>
    <row r="1328" spans="2:10" ht="38.25" x14ac:dyDescent="0.2">
      <c r="B1328" s="4" t="s">
        <v>2474</v>
      </c>
      <c r="C1328" s="5" t="s">
        <v>2475</v>
      </c>
      <c r="D1328" s="6" t="s">
        <v>32</v>
      </c>
      <c r="E1328" s="6" t="s">
        <v>33</v>
      </c>
      <c r="F1328" s="53">
        <v>92.16</v>
      </c>
      <c r="G1328" s="42">
        <v>4.2615500000000002E-3</v>
      </c>
      <c r="H1328" s="39">
        <v>33.599999999999994</v>
      </c>
      <c r="I1328" s="39">
        <v>57.599999999999994</v>
      </c>
      <c r="J1328" s="39"/>
    </row>
    <row r="1329" spans="2:10" ht="38.25" x14ac:dyDescent="0.2">
      <c r="B1329" s="4" t="s">
        <v>2476</v>
      </c>
      <c r="C1329" s="5" t="s">
        <v>2477</v>
      </c>
      <c r="D1329" s="6" t="s">
        <v>32</v>
      </c>
      <c r="E1329" s="6" t="s">
        <v>33</v>
      </c>
      <c r="F1329" s="53">
        <v>52.42</v>
      </c>
      <c r="G1329" s="42">
        <v>4.2615500000000002E-3</v>
      </c>
      <c r="H1329" s="39">
        <v>19.11</v>
      </c>
      <c r="I1329" s="39">
        <v>32.76</v>
      </c>
      <c r="J1329" s="39"/>
    </row>
    <row r="1330" spans="2:10" ht="25.5" x14ac:dyDescent="0.2">
      <c r="B1330" s="4" t="s">
        <v>2478</v>
      </c>
      <c r="C1330" s="5" t="s">
        <v>2479</v>
      </c>
      <c r="D1330" s="6" t="s">
        <v>66</v>
      </c>
      <c r="E1330" s="6" t="s">
        <v>33</v>
      </c>
      <c r="F1330" s="53">
        <v>32.340000000000003</v>
      </c>
      <c r="G1330" s="42">
        <v>4.2615500000000002E-3</v>
      </c>
      <c r="H1330" s="39">
        <v>11.787999999999998</v>
      </c>
      <c r="I1330" s="39">
        <v>20.207999999999998</v>
      </c>
      <c r="J1330" s="39"/>
    </row>
    <row r="1331" spans="2:10" ht="38.25" x14ac:dyDescent="0.2">
      <c r="B1331" s="4" t="s">
        <v>2480</v>
      </c>
      <c r="C1331" s="5" t="s">
        <v>2481</v>
      </c>
      <c r="D1331" s="6" t="s">
        <v>66</v>
      </c>
      <c r="E1331" s="6" t="s">
        <v>33</v>
      </c>
      <c r="F1331" s="53">
        <v>12</v>
      </c>
      <c r="G1331" s="42">
        <v>4.2615500000000002E-3</v>
      </c>
      <c r="H1331" s="39">
        <v>4.4099999999999993</v>
      </c>
      <c r="I1331" s="39">
        <v>7.56</v>
      </c>
      <c r="J1331" s="39"/>
    </row>
    <row r="1332" spans="2:10" ht="25.5" x14ac:dyDescent="0.2">
      <c r="B1332" s="4" t="s">
        <v>2482</v>
      </c>
      <c r="C1332" s="5" t="s">
        <v>2483</v>
      </c>
      <c r="D1332" s="6" t="s">
        <v>32</v>
      </c>
      <c r="E1332" s="6" t="s">
        <v>33</v>
      </c>
      <c r="F1332" s="53">
        <v>27.2</v>
      </c>
      <c r="G1332" s="42">
        <v>4.2615500000000002E-3</v>
      </c>
      <c r="H1332" s="39">
        <v>9.988999999999999</v>
      </c>
      <c r="I1332" s="39">
        <v>17.123999999999999</v>
      </c>
      <c r="J1332" s="39"/>
    </row>
    <row r="1333" spans="2:10" ht="25.5" x14ac:dyDescent="0.2">
      <c r="B1333" s="4" t="s">
        <v>2484</v>
      </c>
      <c r="C1333" s="5" t="s">
        <v>2485</v>
      </c>
      <c r="D1333" s="6" t="s">
        <v>32</v>
      </c>
      <c r="E1333" s="6" t="s">
        <v>33</v>
      </c>
      <c r="F1333" s="53">
        <v>99.5</v>
      </c>
      <c r="G1333" s="42">
        <v>4.2615500000000002E-3</v>
      </c>
      <c r="H1333" s="39">
        <v>36.4</v>
      </c>
      <c r="I1333" s="39">
        <v>62.4</v>
      </c>
      <c r="J1333" s="39"/>
    </row>
    <row r="1334" spans="2:10" ht="25.5" x14ac:dyDescent="0.2">
      <c r="B1334" s="4" t="s">
        <v>2486</v>
      </c>
      <c r="C1334" s="5" t="s">
        <v>2487</v>
      </c>
      <c r="D1334" s="6" t="s">
        <v>32</v>
      </c>
      <c r="E1334" s="6" t="s">
        <v>33</v>
      </c>
      <c r="F1334" s="53">
        <v>163</v>
      </c>
      <c r="G1334" s="42">
        <v>4.3745499999866258E-3</v>
      </c>
      <c r="H1334" s="45">
        <v>59.499999999999993</v>
      </c>
      <c r="I1334" s="39">
        <v>102</v>
      </c>
      <c r="J1334" s="39"/>
    </row>
    <row r="1335" spans="2:10" x14ac:dyDescent="0.2">
      <c r="B1335" s="4" t="s">
        <v>2488</v>
      </c>
      <c r="C1335" s="5" t="s">
        <v>2489</v>
      </c>
      <c r="D1335" s="6" t="s">
        <v>42</v>
      </c>
      <c r="E1335" s="6" t="s">
        <v>20</v>
      </c>
      <c r="F1335" s="53">
        <v>8.4</v>
      </c>
      <c r="G1335" s="42">
        <v>4.2615500000000002E-3</v>
      </c>
      <c r="H1335" s="39">
        <v>3.0939999999999999</v>
      </c>
      <c r="I1335" s="39">
        <v>5.3039999999999994</v>
      </c>
      <c r="J1335" s="39"/>
    </row>
    <row r="1336" spans="2:10" ht="38.25" x14ac:dyDescent="0.2">
      <c r="B1336" s="4" t="s">
        <v>2490</v>
      </c>
      <c r="C1336" s="5" t="s">
        <v>2491</v>
      </c>
      <c r="D1336" s="6" t="s">
        <v>66</v>
      </c>
      <c r="E1336" s="6" t="s">
        <v>33</v>
      </c>
      <c r="F1336" s="53">
        <v>1152</v>
      </c>
      <c r="G1336" s="42">
        <v>4.2615500000000002E-3</v>
      </c>
      <c r="H1336" s="45">
        <v>420</v>
      </c>
      <c r="I1336" s="39">
        <v>720</v>
      </c>
      <c r="J1336" s="39"/>
    </row>
    <row r="1337" spans="2:10" ht="38.25" x14ac:dyDescent="0.2">
      <c r="B1337" s="4" t="s">
        <v>2492</v>
      </c>
      <c r="C1337" s="5" t="s">
        <v>2493</v>
      </c>
      <c r="D1337" s="6" t="s">
        <v>66</v>
      </c>
      <c r="E1337" s="6" t="s">
        <v>33</v>
      </c>
      <c r="F1337" s="53">
        <v>1824</v>
      </c>
      <c r="G1337" s="42">
        <v>4.2615500000000002E-3</v>
      </c>
      <c r="H1337" s="39">
        <v>700</v>
      </c>
      <c r="I1337" s="39">
        <v>1200</v>
      </c>
      <c r="J1337" s="39"/>
    </row>
    <row r="1338" spans="2:10" ht="25.5" x14ac:dyDescent="0.2">
      <c r="B1338" s="4" t="s">
        <v>2494</v>
      </c>
      <c r="C1338" s="5" t="s">
        <v>2495</v>
      </c>
      <c r="D1338" s="6" t="s">
        <v>66</v>
      </c>
      <c r="E1338" s="6" t="s">
        <v>33</v>
      </c>
      <c r="F1338" s="53">
        <v>461</v>
      </c>
      <c r="G1338" s="42">
        <v>4.2615500000000002E-3</v>
      </c>
      <c r="H1338" s="39">
        <v>168.09099999999998</v>
      </c>
      <c r="I1338" s="39">
        <v>288.15600000000001</v>
      </c>
      <c r="J1338" s="39"/>
    </row>
    <row r="1339" spans="2:10" ht="25.5" x14ac:dyDescent="0.2">
      <c r="B1339" s="4" t="s">
        <v>2496</v>
      </c>
      <c r="C1339" s="5" t="s">
        <v>2497</v>
      </c>
      <c r="D1339" s="6" t="s">
        <v>66</v>
      </c>
      <c r="E1339" s="6" t="s">
        <v>33</v>
      </c>
      <c r="F1339" s="53">
        <v>576</v>
      </c>
      <c r="G1339" s="42">
        <v>4.2615500000000002E-3</v>
      </c>
      <c r="H1339" s="39">
        <v>210</v>
      </c>
      <c r="I1339" s="39">
        <v>360</v>
      </c>
      <c r="J1339" s="39"/>
    </row>
    <row r="1340" spans="2:10" ht="25.5" x14ac:dyDescent="0.2">
      <c r="B1340" s="4" t="s">
        <v>2498</v>
      </c>
      <c r="C1340" s="5" t="s">
        <v>2499</v>
      </c>
      <c r="D1340" s="6" t="s">
        <v>32</v>
      </c>
      <c r="E1340" s="6" t="s">
        <v>33</v>
      </c>
      <c r="F1340" s="53">
        <v>92</v>
      </c>
      <c r="G1340" s="42">
        <v>4.2615500000000002E-3</v>
      </c>
      <c r="H1340" s="39">
        <v>33.599999999999994</v>
      </c>
      <c r="I1340" s="39">
        <v>57.599999999999994</v>
      </c>
      <c r="J1340" s="39"/>
    </row>
    <row r="1341" spans="2:10" ht="25.5" x14ac:dyDescent="0.2">
      <c r="B1341" s="4" t="s">
        <v>2500</v>
      </c>
      <c r="C1341" s="5" t="s">
        <v>2501</v>
      </c>
      <c r="D1341" s="6" t="s">
        <v>66</v>
      </c>
      <c r="E1341" s="6" t="s">
        <v>33</v>
      </c>
      <c r="F1341" s="53">
        <v>1152</v>
      </c>
      <c r="G1341" s="42">
        <v>4.2615500000000002E-3</v>
      </c>
      <c r="H1341" s="39">
        <v>420</v>
      </c>
      <c r="I1341" s="39">
        <v>720</v>
      </c>
      <c r="J1341" s="39"/>
    </row>
    <row r="1342" spans="2:10" ht="25.5" x14ac:dyDescent="0.2">
      <c r="B1342" s="4" t="s">
        <v>2502</v>
      </c>
      <c r="C1342" s="5" t="s">
        <v>2503</v>
      </c>
      <c r="D1342" s="6" t="s">
        <v>66</v>
      </c>
      <c r="E1342" s="6" t="s">
        <v>33</v>
      </c>
      <c r="F1342" s="53">
        <v>460</v>
      </c>
      <c r="G1342" s="42">
        <v>4.2615500000000002E-3</v>
      </c>
      <c r="H1342" s="39">
        <v>168</v>
      </c>
      <c r="I1342" s="39">
        <v>288</v>
      </c>
      <c r="J1342" s="39"/>
    </row>
    <row r="1343" spans="2:10" x14ac:dyDescent="0.2">
      <c r="B1343" s="4" t="s">
        <v>2504</v>
      </c>
      <c r="C1343" s="5" t="s">
        <v>2505</v>
      </c>
      <c r="D1343" s="6" t="s">
        <v>42</v>
      </c>
      <c r="E1343" s="6" t="s">
        <v>33</v>
      </c>
      <c r="F1343" s="53">
        <v>18.5</v>
      </c>
      <c r="G1343" s="42">
        <v>4.2615500000000002E-3</v>
      </c>
      <c r="H1343" s="39">
        <v>6.7759999999999998</v>
      </c>
      <c r="I1343" s="39">
        <v>11.616</v>
      </c>
      <c r="J1343" s="39"/>
    </row>
    <row r="1344" spans="2:10" x14ac:dyDescent="0.2">
      <c r="B1344" s="4" t="s">
        <v>2506</v>
      </c>
      <c r="C1344" s="5" t="s">
        <v>2507</v>
      </c>
      <c r="D1344" s="6" t="s">
        <v>42</v>
      </c>
      <c r="E1344" s="6" t="s">
        <v>20</v>
      </c>
      <c r="F1344" s="53">
        <v>28.5</v>
      </c>
      <c r="G1344" s="42">
        <v>4.2615500000000002E-3</v>
      </c>
      <c r="H1344" s="39">
        <v>10.5</v>
      </c>
      <c r="I1344" s="39">
        <v>18</v>
      </c>
      <c r="J1344" s="39"/>
    </row>
    <row r="1345" spans="2:10" x14ac:dyDescent="0.2">
      <c r="B1345" s="4" t="s">
        <v>2508</v>
      </c>
      <c r="C1345" s="5" t="s">
        <v>2509</v>
      </c>
      <c r="D1345" s="6" t="s">
        <v>32</v>
      </c>
      <c r="E1345" s="6" t="s">
        <v>33</v>
      </c>
      <c r="F1345" s="53">
        <v>230</v>
      </c>
      <c r="G1345" s="42">
        <v>4.2615500000000002E-3</v>
      </c>
      <c r="H1345" s="39">
        <v>168.09099999999998</v>
      </c>
      <c r="I1345" s="39">
        <v>288.15600000000001</v>
      </c>
      <c r="J1345" s="39"/>
    </row>
    <row r="1346" spans="2:10" ht="63.75" x14ac:dyDescent="0.2">
      <c r="B1346" s="4" t="s">
        <v>2510</v>
      </c>
      <c r="C1346" s="5" t="s">
        <v>2511</v>
      </c>
      <c r="D1346" s="6" t="s">
        <v>42</v>
      </c>
      <c r="E1346" s="6" t="s">
        <v>33</v>
      </c>
      <c r="F1346" s="53">
        <v>96</v>
      </c>
      <c r="G1346" s="42">
        <v>4.2615405299999999E-3</v>
      </c>
      <c r="H1346" s="39">
        <v>96.25</v>
      </c>
      <c r="I1346" s="39">
        <v>165</v>
      </c>
      <c r="J1346" s="39"/>
    </row>
    <row r="1347" spans="2:10" ht="63.75" x14ac:dyDescent="0.2">
      <c r="B1347" s="4" t="s">
        <v>2512</v>
      </c>
      <c r="C1347" s="5" t="s">
        <v>2513</v>
      </c>
      <c r="D1347" s="6" t="s">
        <v>42</v>
      </c>
      <c r="E1347" s="6" t="s">
        <v>33</v>
      </c>
      <c r="F1347" s="53">
        <v>96</v>
      </c>
      <c r="G1347" s="42">
        <v>4.2615405299999999E-3</v>
      </c>
      <c r="H1347" s="39">
        <v>96.25</v>
      </c>
      <c r="I1347" s="39">
        <v>165</v>
      </c>
      <c r="J1347" s="39"/>
    </row>
    <row r="1348" spans="2:10" ht="38.25" x14ac:dyDescent="0.2">
      <c r="B1348" s="8" t="s">
        <v>2514</v>
      </c>
      <c r="C1348" s="5" t="s">
        <v>2515</v>
      </c>
      <c r="D1348" s="6"/>
      <c r="E1348" s="6"/>
      <c r="F1348" s="50"/>
      <c r="G1348" s="40" t="e">
        <f>#REF!/(COUNTA(#REF!))</f>
        <v>#REF!</v>
      </c>
      <c r="H1348" s="39" t="s">
        <v>49</v>
      </c>
      <c r="I1348" s="39" t="s">
        <v>49</v>
      </c>
      <c r="J1348" s="39"/>
    </row>
    <row r="1349" spans="2:10" x14ac:dyDescent="0.2">
      <c r="B1349" s="4" t="s">
        <v>2516</v>
      </c>
      <c r="C1349" s="5" t="s">
        <v>2517</v>
      </c>
      <c r="D1349" s="6" t="s">
        <v>42</v>
      </c>
      <c r="E1349" s="6" t="s">
        <v>33</v>
      </c>
      <c r="F1349" s="53">
        <v>13.5</v>
      </c>
      <c r="G1349" s="42">
        <v>1.30228E-4</v>
      </c>
      <c r="H1349" s="39">
        <v>5.04</v>
      </c>
      <c r="I1349" s="39">
        <v>8.64</v>
      </c>
      <c r="J1349" s="39"/>
    </row>
    <row r="1350" spans="2:10" ht="25.5" x14ac:dyDescent="0.2">
      <c r="B1350" s="4" t="s">
        <v>2518</v>
      </c>
      <c r="C1350" s="5" t="s">
        <v>2519</v>
      </c>
      <c r="D1350" s="6" t="s">
        <v>19</v>
      </c>
      <c r="E1350" s="6" t="s">
        <v>20</v>
      </c>
      <c r="F1350" s="53">
        <v>6.5</v>
      </c>
      <c r="G1350" s="42">
        <v>1.30228E-4</v>
      </c>
      <c r="H1350" s="39">
        <v>2.4499999999999997</v>
      </c>
      <c r="I1350" s="39">
        <v>4.2</v>
      </c>
      <c r="J1350" s="39"/>
    </row>
    <row r="1351" spans="2:10" x14ac:dyDescent="0.2">
      <c r="B1351" s="4" t="s">
        <v>2520</v>
      </c>
      <c r="C1351" s="5" t="s">
        <v>2521</v>
      </c>
      <c r="D1351" s="6" t="s">
        <v>42</v>
      </c>
      <c r="E1351" s="6" t="s">
        <v>33</v>
      </c>
      <c r="F1351" s="53">
        <v>3.3</v>
      </c>
      <c r="G1351" s="42">
        <v>1.30228E-4</v>
      </c>
      <c r="H1351" s="39">
        <v>1.2249999999999999</v>
      </c>
      <c r="I1351" s="39">
        <v>2.1</v>
      </c>
      <c r="J1351" s="39"/>
    </row>
    <row r="1352" spans="2:10" x14ac:dyDescent="0.2">
      <c r="B1352" s="4" t="s">
        <v>2522</v>
      </c>
      <c r="C1352" s="5" t="s">
        <v>2523</v>
      </c>
      <c r="D1352" s="6" t="s">
        <v>19</v>
      </c>
      <c r="E1352" s="6" t="s">
        <v>20</v>
      </c>
      <c r="F1352" s="53">
        <v>765</v>
      </c>
      <c r="G1352" s="42">
        <v>1.30228E-4</v>
      </c>
      <c r="H1352" s="39">
        <v>12.6</v>
      </c>
      <c r="I1352" s="39">
        <v>21.599999999999998</v>
      </c>
      <c r="J1352" s="39"/>
    </row>
    <row r="1353" spans="2:10" x14ac:dyDescent="0.2">
      <c r="B1353" s="4" t="s">
        <v>2524</v>
      </c>
      <c r="C1353" s="5" t="s">
        <v>2525</v>
      </c>
      <c r="D1353" s="6" t="s">
        <v>42</v>
      </c>
      <c r="E1353" s="6" t="s">
        <v>20</v>
      </c>
      <c r="F1353" s="53">
        <v>3</v>
      </c>
      <c r="G1353" s="42">
        <v>1.30228E-4</v>
      </c>
      <c r="H1353" s="39">
        <v>1.113</v>
      </c>
      <c r="I1353" s="39">
        <v>1.9079999999999999</v>
      </c>
      <c r="J1353" s="39"/>
    </row>
    <row r="1354" spans="2:10" x14ac:dyDescent="0.2">
      <c r="B1354" s="4" t="s">
        <v>2526</v>
      </c>
      <c r="C1354" s="5" t="s">
        <v>2527</v>
      </c>
      <c r="D1354" s="6" t="s">
        <v>32</v>
      </c>
      <c r="E1354" s="6" t="s">
        <v>20</v>
      </c>
      <c r="F1354" s="53">
        <v>5.5</v>
      </c>
      <c r="G1354" s="42">
        <v>1.30228E-4</v>
      </c>
      <c r="H1354" s="39">
        <v>2.0999999999999996</v>
      </c>
      <c r="I1354" s="39">
        <v>3.5999999999999996</v>
      </c>
      <c r="J1354" s="39"/>
    </row>
    <row r="1355" spans="2:10" ht="38.25" x14ac:dyDescent="0.2">
      <c r="B1355" s="4" t="s">
        <v>2528</v>
      </c>
      <c r="C1355" s="5" t="s">
        <v>2529</v>
      </c>
      <c r="D1355" s="6" t="s">
        <v>66</v>
      </c>
      <c r="E1355" s="6" t="s">
        <v>20</v>
      </c>
      <c r="F1355" s="53">
        <v>304</v>
      </c>
      <c r="G1355" s="42">
        <v>1.30228E-4</v>
      </c>
      <c r="H1355" s="39">
        <v>111.125</v>
      </c>
      <c r="I1355" s="39">
        <v>190.5</v>
      </c>
      <c r="J1355" s="39"/>
    </row>
    <row r="1356" spans="2:10" ht="38.25" x14ac:dyDescent="0.2">
      <c r="B1356" s="4" t="s">
        <v>2530</v>
      </c>
      <c r="C1356" s="5" t="s">
        <v>2531</v>
      </c>
      <c r="D1356" s="6" t="s">
        <v>66</v>
      </c>
      <c r="E1356" s="6" t="s">
        <v>20</v>
      </c>
      <c r="F1356" s="53">
        <v>532</v>
      </c>
      <c r="G1356" s="42">
        <v>1.30228E-4</v>
      </c>
      <c r="H1356" s="39">
        <v>194.14500000000001</v>
      </c>
      <c r="I1356" s="39">
        <v>332.82</v>
      </c>
      <c r="J1356" s="39"/>
    </row>
    <row r="1357" spans="2:10" x14ac:dyDescent="0.2">
      <c r="B1357" s="4" t="s">
        <v>2667</v>
      </c>
      <c r="C1357" s="5" t="s">
        <v>2674</v>
      </c>
      <c r="D1357" s="6" t="s">
        <v>42</v>
      </c>
      <c r="E1357" s="6" t="s">
        <v>20</v>
      </c>
      <c r="F1357" s="53">
        <v>3</v>
      </c>
      <c r="G1357" s="42"/>
      <c r="H1357" s="39"/>
      <c r="I1357" s="39"/>
      <c r="J1357" s="39"/>
    </row>
    <row r="1358" spans="2:10" x14ac:dyDescent="0.2">
      <c r="B1358" s="8" t="s">
        <v>2532</v>
      </c>
      <c r="C1358" s="5" t="s">
        <v>2533</v>
      </c>
      <c r="D1358" s="6"/>
      <c r="E1358" s="6"/>
      <c r="F1358" s="50"/>
      <c r="G1358" s="40" t="e">
        <f>#REF!/(COUNTA(#REF!))</f>
        <v>#REF!</v>
      </c>
      <c r="H1358" s="39" t="s">
        <v>49</v>
      </c>
      <c r="I1358" s="39" t="s">
        <v>49</v>
      </c>
      <c r="J1358" s="39"/>
    </row>
    <row r="1359" spans="2:10" x14ac:dyDescent="0.2">
      <c r="B1359" s="4" t="s">
        <v>2534</v>
      </c>
      <c r="C1359" s="5" t="s">
        <v>2535</v>
      </c>
      <c r="D1359" s="6"/>
      <c r="E1359" s="6"/>
      <c r="F1359" s="50"/>
      <c r="G1359" s="42">
        <v>1.3345318479555204E-3</v>
      </c>
      <c r="H1359" s="39" t="s">
        <v>49</v>
      </c>
      <c r="I1359" s="39" t="s">
        <v>49</v>
      </c>
      <c r="J1359" s="39"/>
    </row>
    <row r="1360" spans="2:10" ht="25.5" x14ac:dyDescent="0.2">
      <c r="B1360" s="4" t="s">
        <v>2536</v>
      </c>
      <c r="C1360" s="5" t="s">
        <v>2537</v>
      </c>
      <c r="D1360" s="6" t="s">
        <v>42</v>
      </c>
      <c r="E1360" s="6" t="s">
        <v>20</v>
      </c>
      <c r="F1360" s="53">
        <v>18</v>
      </c>
      <c r="G1360" s="42">
        <v>1.3345399999999999E-3</v>
      </c>
      <c r="H1360" s="39">
        <v>6.6639999999999997</v>
      </c>
      <c r="I1360" s="39">
        <v>11.423999999999999</v>
      </c>
      <c r="J1360" s="39"/>
    </row>
    <row r="1361" spans="2:10" x14ac:dyDescent="0.2">
      <c r="B1361" s="4" t="s">
        <v>2538</v>
      </c>
      <c r="C1361" s="5" t="s">
        <v>2539</v>
      </c>
      <c r="D1361" s="6" t="s">
        <v>2412</v>
      </c>
      <c r="E1361" s="6" t="s">
        <v>20</v>
      </c>
      <c r="F1361" s="53">
        <v>80.5</v>
      </c>
      <c r="G1361" s="42">
        <v>1.3345399999999999E-3</v>
      </c>
      <c r="H1361" s="39">
        <v>29.414000000000001</v>
      </c>
      <c r="I1361" s="39">
        <v>50.423999999999999</v>
      </c>
      <c r="J1361" s="39"/>
    </row>
    <row r="1362" spans="2:10" x14ac:dyDescent="0.2">
      <c r="B1362" s="4" t="s">
        <v>2540</v>
      </c>
      <c r="C1362" s="5" t="s">
        <v>2541</v>
      </c>
      <c r="D1362" s="6" t="s">
        <v>2412</v>
      </c>
      <c r="E1362" s="6" t="s">
        <v>20</v>
      </c>
      <c r="F1362" s="53">
        <v>57.5</v>
      </c>
      <c r="G1362" s="42">
        <v>1.3345399999999999E-3</v>
      </c>
      <c r="H1362" s="39">
        <v>21.007000000000001</v>
      </c>
      <c r="I1362" s="39">
        <v>36.012</v>
      </c>
      <c r="J1362" s="39"/>
    </row>
    <row r="1363" spans="2:10" x14ac:dyDescent="0.2">
      <c r="B1363" s="4" t="s">
        <v>2542</v>
      </c>
      <c r="C1363" s="5" t="s">
        <v>2543</v>
      </c>
      <c r="D1363" s="6" t="s">
        <v>2412</v>
      </c>
      <c r="E1363" s="6" t="s">
        <v>20</v>
      </c>
      <c r="F1363" s="53">
        <v>149.5</v>
      </c>
      <c r="G1363" s="42">
        <v>1.3345399999999999E-3</v>
      </c>
      <c r="H1363" s="39">
        <v>54.628</v>
      </c>
      <c r="I1363" s="39">
        <v>93.64800000000001</v>
      </c>
      <c r="J1363" s="39"/>
    </row>
    <row r="1364" spans="2:10" x14ac:dyDescent="0.2">
      <c r="B1364" s="4" t="s">
        <v>2544</v>
      </c>
      <c r="C1364" s="5" t="s">
        <v>2545</v>
      </c>
      <c r="D1364" s="6" t="s">
        <v>2412</v>
      </c>
      <c r="E1364" s="6" t="s">
        <v>20</v>
      </c>
      <c r="F1364" s="53">
        <v>42.5</v>
      </c>
      <c r="G1364" s="42">
        <v>1.3345399999999999E-3</v>
      </c>
      <c r="H1364" s="39">
        <v>15.588999999999999</v>
      </c>
      <c r="I1364" s="39">
        <v>26.724</v>
      </c>
      <c r="J1364" s="39"/>
    </row>
    <row r="1365" spans="2:10" x14ac:dyDescent="0.2">
      <c r="B1365" s="4" t="s">
        <v>2546</v>
      </c>
      <c r="C1365" s="5" t="s">
        <v>2547</v>
      </c>
      <c r="D1365" s="6" t="s">
        <v>2412</v>
      </c>
      <c r="E1365" s="6" t="s">
        <v>20</v>
      </c>
      <c r="F1365" s="53">
        <v>46</v>
      </c>
      <c r="G1365" s="42">
        <v>1.3345399999999999E-3</v>
      </c>
      <c r="H1365" s="39">
        <v>16.806999999999999</v>
      </c>
      <c r="I1365" s="39">
        <v>28.812000000000001</v>
      </c>
      <c r="J1365" s="39"/>
    </row>
    <row r="1366" spans="2:10" x14ac:dyDescent="0.2">
      <c r="B1366" s="4" t="s">
        <v>2548</v>
      </c>
      <c r="C1366" s="5" t="s">
        <v>2549</v>
      </c>
      <c r="D1366" s="6" t="s">
        <v>2412</v>
      </c>
      <c r="E1366" s="6" t="s">
        <v>20</v>
      </c>
      <c r="F1366" s="53">
        <v>92</v>
      </c>
      <c r="G1366" s="42">
        <v>1.3345399999999999E-3</v>
      </c>
      <c r="H1366" s="39">
        <v>33.613999999999997</v>
      </c>
      <c r="I1366" s="39">
        <v>57.624000000000002</v>
      </c>
      <c r="J1366" s="39"/>
    </row>
    <row r="1367" spans="2:10" x14ac:dyDescent="0.2">
      <c r="B1367" s="4" t="s">
        <v>2550</v>
      </c>
      <c r="C1367" s="5" t="s">
        <v>2551</v>
      </c>
      <c r="D1367" s="6" t="s">
        <v>2412</v>
      </c>
      <c r="E1367" s="6" t="s">
        <v>20</v>
      </c>
      <c r="F1367" s="53">
        <v>64</v>
      </c>
      <c r="G1367" s="42">
        <v>1.3345399999999999E-3</v>
      </c>
      <c r="H1367" s="39">
        <v>23.386999999999997</v>
      </c>
      <c r="I1367" s="39">
        <v>40.091999999999992</v>
      </c>
      <c r="J1367" s="39"/>
    </row>
    <row r="1368" spans="2:10" x14ac:dyDescent="0.2">
      <c r="B1368" s="4" t="s">
        <v>2552</v>
      </c>
      <c r="C1368" s="5" t="s">
        <v>2553</v>
      </c>
      <c r="D1368" s="6" t="s">
        <v>2412</v>
      </c>
      <c r="E1368" s="6" t="s">
        <v>20</v>
      </c>
      <c r="F1368" s="53">
        <v>103.5</v>
      </c>
      <c r="G1368" s="42">
        <v>1.3345399999999999E-3</v>
      </c>
      <c r="H1368" s="39">
        <v>37.820999999999998</v>
      </c>
      <c r="I1368" s="39">
        <v>64.835999999999999</v>
      </c>
      <c r="J1368" s="39"/>
    </row>
    <row r="1369" spans="2:10" x14ac:dyDescent="0.2">
      <c r="B1369" s="4" t="s">
        <v>2554</v>
      </c>
      <c r="C1369" s="5" t="s">
        <v>2555</v>
      </c>
      <c r="D1369" s="6" t="s">
        <v>2412</v>
      </c>
      <c r="E1369" s="6" t="s">
        <v>20</v>
      </c>
      <c r="F1369" s="53">
        <v>32</v>
      </c>
      <c r="G1369" s="42">
        <v>1.3345399999999999E-3</v>
      </c>
      <c r="H1369" s="39">
        <v>11.69</v>
      </c>
      <c r="I1369" s="39">
        <v>20.04</v>
      </c>
      <c r="J1369" s="39"/>
    </row>
    <row r="1370" spans="2:10" x14ac:dyDescent="0.2">
      <c r="B1370" s="4" t="s">
        <v>2556</v>
      </c>
      <c r="C1370" s="5" t="s">
        <v>2557</v>
      </c>
      <c r="D1370" s="6" t="s">
        <v>2412</v>
      </c>
      <c r="E1370" s="6" t="s">
        <v>20</v>
      </c>
      <c r="F1370" s="53">
        <v>10.5</v>
      </c>
      <c r="G1370" s="42">
        <v>1.3345399999999999E-3</v>
      </c>
      <c r="H1370" s="39">
        <v>3.899</v>
      </c>
      <c r="I1370" s="39">
        <v>6.6840000000000002</v>
      </c>
      <c r="J1370" s="39"/>
    </row>
    <row r="1371" spans="2:10" ht="25.5" x14ac:dyDescent="0.2">
      <c r="B1371" s="4" t="s">
        <v>2558</v>
      </c>
      <c r="C1371" s="5" t="s">
        <v>2559</v>
      </c>
      <c r="D1371" s="6" t="s">
        <v>2412</v>
      </c>
      <c r="E1371" s="6" t="s">
        <v>20</v>
      </c>
      <c r="F1371" s="53">
        <v>10.5</v>
      </c>
      <c r="G1371" s="42">
        <v>1.3345399999999999E-3</v>
      </c>
      <c r="H1371" s="39">
        <v>3.899</v>
      </c>
      <c r="I1371" s="39">
        <v>6.6840000000000002</v>
      </c>
      <c r="J1371" s="39"/>
    </row>
    <row r="1372" spans="2:10" x14ac:dyDescent="0.2">
      <c r="B1372" s="4" t="s">
        <v>2560</v>
      </c>
      <c r="C1372" s="5" t="s">
        <v>2561</v>
      </c>
      <c r="D1372" s="6" t="s">
        <v>2412</v>
      </c>
      <c r="E1372" s="6" t="s">
        <v>20</v>
      </c>
      <c r="F1372" s="53">
        <v>21</v>
      </c>
      <c r="G1372" s="42">
        <v>1.3345399999999999E-3</v>
      </c>
      <c r="H1372" s="39">
        <v>7.7209999999999992</v>
      </c>
      <c r="I1372" s="39">
        <v>13.235999999999999</v>
      </c>
      <c r="J1372" s="39"/>
    </row>
    <row r="1373" spans="2:10" x14ac:dyDescent="0.2">
      <c r="B1373" s="4" t="s">
        <v>2562</v>
      </c>
      <c r="C1373" s="5" t="s">
        <v>2563</v>
      </c>
      <c r="D1373" s="6" t="s">
        <v>2412</v>
      </c>
      <c r="E1373" s="6" t="s">
        <v>20</v>
      </c>
      <c r="F1373" s="53">
        <v>15</v>
      </c>
      <c r="G1373" s="42">
        <v>1.3345399999999999E-3</v>
      </c>
      <c r="H1373" s="39">
        <v>5.5579999999999998</v>
      </c>
      <c r="I1373" s="39">
        <v>9.5280000000000005</v>
      </c>
      <c r="J1373" s="39"/>
    </row>
    <row r="1374" spans="2:10" x14ac:dyDescent="0.2">
      <c r="B1374" s="4" t="s">
        <v>2564</v>
      </c>
      <c r="C1374" s="5" t="s">
        <v>2565</v>
      </c>
      <c r="D1374" s="6" t="s">
        <v>2412</v>
      </c>
      <c r="E1374" s="6" t="s">
        <v>20</v>
      </c>
      <c r="F1374" s="53">
        <v>24</v>
      </c>
      <c r="G1374" s="42">
        <v>1.3345399999999999E-3</v>
      </c>
      <c r="H1374" s="39">
        <v>8.8409999999999993</v>
      </c>
      <c r="I1374" s="39">
        <v>15.156000000000001</v>
      </c>
      <c r="J1374" s="39"/>
    </row>
    <row r="1375" spans="2:10" x14ac:dyDescent="0.2">
      <c r="B1375" s="4" t="s">
        <v>2566</v>
      </c>
      <c r="C1375" s="5" t="s">
        <v>2567</v>
      </c>
      <c r="D1375" s="6" t="s">
        <v>2412</v>
      </c>
      <c r="E1375" s="6" t="s">
        <v>20</v>
      </c>
      <c r="F1375" s="53">
        <v>30</v>
      </c>
      <c r="G1375" s="42">
        <v>1.3345399999999999E-3</v>
      </c>
      <c r="H1375" s="39">
        <v>11.108999999999998</v>
      </c>
      <c r="I1375" s="39">
        <v>19.043999999999997</v>
      </c>
      <c r="J1375" s="39"/>
    </row>
    <row r="1376" spans="2:10" x14ac:dyDescent="0.2">
      <c r="B1376" s="4" t="s">
        <v>2568</v>
      </c>
      <c r="C1376" s="5" t="s">
        <v>2569</v>
      </c>
      <c r="D1376" s="6" t="s">
        <v>2412</v>
      </c>
      <c r="E1376" s="6" t="s">
        <v>20</v>
      </c>
      <c r="F1376" s="53">
        <v>36.5</v>
      </c>
      <c r="G1376" s="42">
        <v>1.3345399999999999E-3</v>
      </c>
      <c r="H1376" s="39">
        <v>13.334999999999999</v>
      </c>
      <c r="I1376" s="39">
        <v>22.86</v>
      </c>
      <c r="J1376" s="39"/>
    </row>
    <row r="1377" spans="2:10" x14ac:dyDescent="0.2">
      <c r="B1377" s="4" t="s">
        <v>2570</v>
      </c>
      <c r="C1377" s="5" t="s">
        <v>2571</v>
      </c>
      <c r="D1377" s="6" t="s">
        <v>2412</v>
      </c>
      <c r="E1377" s="6" t="s">
        <v>20</v>
      </c>
      <c r="F1377" s="53">
        <v>54</v>
      </c>
      <c r="G1377" s="42">
        <v>1.3345399999999999E-3</v>
      </c>
      <c r="H1377" s="39">
        <v>19.795999999999999</v>
      </c>
      <c r="I1377" s="39">
        <v>33.936</v>
      </c>
      <c r="J1377" s="39"/>
    </row>
    <row r="1378" spans="2:10" x14ac:dyDescent="0.2">
      <c r="B1378" s="4" t="s">
        <v>2572</v>
      </c>
      <c r="C1378" s="5" t="s">
        <v>2573</v>
      </c>
      <c r="D1378" s="6" t="s">
        <v>2412</v>
      </c>
      <c r="E1378" s="6" t="s">
        <v>20</v>
      </c>
      <c r="F1378" s="53">
        <v>10.5</v>
      </c>
      <c r="G1378" s="42">
        <v>1.3345399999999999E-3</v>
      </c>
      <c r="H1378" s="39">
        <v>3.899</v>
      </c>
      <c r="I1378" s="39">
        <v>6.6840000000000002</v>
      </c>
      <c r="J1378" s="39"/>
    </row>
    <row r="1379" spans="2:10" x14ac:dyDescent="0.2">
      <c r="B1379" s="4" t="s">
        <v>2574</v>
      </c>
      <c r="C1379" s="5" t="s">
        <v>2575</v>
      </c>
      <c r="D1379" s="6" t="s">
        <v>2412</v>
      </c>
      <c r="E1379" s="6" t="s">
        <v>20</v>
      </c>
      <c r="F1379" s="53">
        <v>91</v>
      </c>
      <c r="G1379" s="42">
        <v>1.3345399999999999E-3</v>
      </c>
      <c r="H1379" s="39">
        <v>33.333999999999996</v>
      </c>
      <c r="I1379" s="39">
        <v>57.143999999999998</v>
      </c>
      <c r="J1379" s="39"/>
    </row>
    <row r="1380" spans="2:10" x14ac:dyDescent="0.2">
      <c r="B1380" s="4" t="s">
        <v>2576</v>
      </c>
      <c r="C1380" s="5" t="s">
        <v>2577</v>
      </c>
      <c r="D1380" s="6" t="s">
        <v>2412</v>
      </c>
      <c r="E1380" s="6" t="s">
        <v>20</v>
      </c>
      <c r="F1380" s="53">
        <v>115</v>
      </c>
      <c r="G1380" s="42">
        <v>1.3345399999999999E-3</v>
      </c>
      <c r="H1380" s="39">
        <v>42.021000000000001</v>
      </c>
      <c r="I1380" s="39">
        <v>72.036000000000001</v>
      </c>
      <c r="J1380" s="39"/>
    </row>
    <row r="1381" spans="2:10" x14ac:dyDescent="0.2">
      <c r="B1381" s="4" t="s">
        <v>2578</v>
      </c>
      <c r="C1381" s="5" t="s">
        <v>2579</v>
      </c>
      <c r="D1381" s="6" t="s">
        <v>2412</v>
      </c>
      <c r="E1381" s="6" t="s">
        <v>20</v>
      </c>
      <c r="F1381" s="53">
        <v>138</v>
      </c>
      <c r="G1381" s="42">
        <v>1.3345399999999999E-3</v>
      </c>
      <c r="H1381" s="39">
        <v>50.420999999999999</v>
      </c>
      <c r="I1381" s="39">
        <v>86.435999999999993</v>
      </c>
      <c r="J1381" s="39"/>
    </row>
    <row r="1382" spans="2:10" x14ac:dyDescent="0.2">
      <c r="B1382" s="4" t="s">
        <v>2580</v>
      </c>
      <c r="C1382" s="5" t="s">
        <v>2581</v>
      </c>
      <c r="D1382" s="6" t="s">
        <v>2412</v>
      </c>
      <c r="E1382" s="6" t="s">
        <v>20</v>
      </c>
      <c r="F1382" s="53">
        <v>96</v>
      </c>
      <c r="G1382" s="42">
        <v>1.3345399999999999E-3</v>
      </c>
      <c r="H1382" s="39">
        <v>35</v>
      </c>
      <c r="I1382" s="39">
        <v>60</v>
      </c>
      <c r="J1382" s="39"/>
    </row>
    <row r="1383" spans="2:10" x14ac:dyDescent="0.2">
      <c r="B1383" s="4" t="s">
        <v>2582</v>
      </c>
      <c r="C1383" s="5" t="s">
        <v>2583</v>
      </c>
      <c r="D1383" s="6" t="s">
        <v>2412</v>
      </c>
      <c r="E1383" s="6" t="s">
        <v>20</v>
      </c>
      <c r="F1383" s="53">
        <v>115</v>
      </c>
      <c r="G1383" s="42">
        <v>1.3345399999999999E-3</v>
      </c>
      <c r="H1383" s="39">
        <v>42</v>
      </c>
      <c r="I1383" s="39">
        <v>72</v>
      </c>
      <c r="J1383" s="39"/>
    </row>
    <row r="1384" spans="2:10" x14ac:dyDescent="0.2">
      <c r="B1384" s="4" t="s">
        <v>2584</v>
      </c>
      <c r="C1384" s="5" t="s">
        <v>2585</v>
      </c>
      <c r="D1384" s="6" t="s">
        <v>2412</v>
      </c>
      <c r="E1384" s="6" t="s">
        <v>20</v>
      </c>
      <c r="F1384" s="53">
        <v>130.5</v>
      </c>
      <c r="G1384" s="42">
        <v>1.3345399999999999E-3</v>
      </c>
      <c r="H1384" s="39">
        <v>47.599999999999994</v>
      </c>
      <c r="I1384" s="39">
        <v>81.599999999999994</v>
      </c>
      <c r="J1384" s="39"/>
    </row>
    <row r="1385" spans="2:10" x14ac:dyDescent="0.2">
      <c r="B1385" s="4" t="s">
        <v>2586</v>
      </c>
      <c r="C1385" s="5" t="s">
        <v>2587</v>
      </c>
      <c r="D1385" s="6" t="s">
        <v>2412</v>
      </c>
      <c r="E1385" s="6" t="s">
        <v>20</v>
      </c>
      <c r="F1385" s="53">
        <v>96</v>
      </c>
      <c r="G1385" s="42">
        <v>1.3345399999999999E-3</v>
      </c>
      <c r="H1385" s="39">
        <v>35</v>
      </c>
      <c r="I1385" s="39">
        <v>60</v>
      </c>
      <c r="J1385" s="39"/>
    </row>
    <row r="1386" spans="2:10" x14ac:dyDescent="0.2">
      <c r="B1386" s="4" t="s">
        <v>2586</v>
      </c>
      <c r="C1386" s="5" t="s">
        <v>2588</v>
      </c>
      <c r="D1386" s="6" t="s">
        <v>2412</v>
      </c>
      <c r="E1386" s="6" t="s">
        <v>20</v>
      </c>
      <c r="F1386" s="53">
        <v>96</v>
      </c>
      <c r="G1386" s="42">
        <v>1.3345500000000001E-3</v>
      </c>
      <c r="H1386" s="39">
        <v>21</v>
      </c>
      <c r="I1386" s="39">
        <v>36</v>
      </c>
      <c r="J1386" s="39"/>
    </row>
    <row r="1387" spans="2:10" x14ac:dyDescent="0.2">
      <c r="B1387" s="4" t="s">
        <v>2589</v>
      </c>
      <c r="C1387" s="5" t="s">
        <v>2590</v>
      </c>
      <c r="D1387" s="6"/>
      <c r="E1387" s="6"/>
      <c r="F1387" s="50"/>
      <c r="G1387" s="42">
        <v>1.3345399999999999E-3</v>
      </c>
      <c r="H1387" s="39" t="s">
        <v>49</v>
      </c>
      <c r="I1387" s="39" t="s">
        <v>49</v>
      </c>
      <c r="J1387" s="39"/>
    </row>
    <row r="1388" spans="2:10" x14ac:dyDescent="0.2">
      <c r="B1388" s="4" t="s">
        <v>2591</v>
      </c>
      <c r="C1388" s="5" t="s">
        <v>2592</v>
      </c>
      <c r="D1388" s="6" t="s">
        <v>66</v>
      </c>
      <c r="E1388" s="6" t="s">
        <v>20</v>
      </c>
      <c r="F1388" s="53">
        <v>15</v>
      </c>
      <c r="G1388" s="42">
        <v>1.3345399999999999E-3</v>
      </c>
      <c r="H1388" s="39">
        <v>5.6</v>
      </c>
      <c r="I1388" s="39">
        <v>9.6</v>
      </c>
      <c r="J1388" s="39"/>
    </row>
    <row r="1389" spans="2:10" x14ac:dyDescent="0.2">
      <c r="B1389" s="4" t="s">
        <v>2593</v>
      </c>
      <c r="C1389" s="5" t="s">
        <v>2594</v>
      </c>
      <c r="D1389" s="6" t="s">
        <v>19</v>
      </c>
      <c r="E1389" s="6" t="s">
        <v>20</v>
      </c>
      <c r="F1389" s="53">
        <v>88</v>
      </c>
      <c r="G1389" s="42">
        <v>1.3345399999999999E-3</v>
      </c>
      <c r="H1389" s="39">
        <v>32.199999999999996</v>
      </c>
      <c r="I1389" s="39">
        <v>55.199999999999996</v>
      </c>
      <c r="J1389" s="39"/>
    </row>
    <row r="1390" spans="2:10" x14ac:dyDescent="0.2">
      <c r="B1390" s="4" t="s">
        <v>2595</v>
      </c>
      <c r="C1390" s="5" t="s">
        <v>2596</v>
      </c>
      <c r="D1390" s="6" t="s">
        <v>2597</v>
      </c>
      <c r="E1390" s="6" t="s">
        <v>20</v>
      </c>
      <c r="F1390" s="53">
        <v>19</v>
      </c>
      <c r="G1390" s="42">
        <v>1.3345399999999999E-3</v>
      </c>
      <c r="H1390" s="39">
        <v>7</v>
      </c>
      <c r="I1390" s="39">
        <v>12</v>
      </c>
      <c r="J1390" s="39"/>
    </row>
    <row r="1391" spans="2:10" x14ac:dyDescent="0.2">
      <c r="B1391" s="4" t="s">
        <v>2598</v>
      </c>
      <c r="C1391" s="5" t="s">
        <v>2599</v>
      </c>
      <c r="D1391" s="6" t="s">
        <v>2597</v>
      </c>
      <c r="E1391" s="6" t="s">
        <v>20</v>
      </c>
      <c r="F1391" s="53">
        <v>46</v>
      </c>
      <c r="G1391" s="42">
        <v>1.3345399999999999E-3</v>
      </c>
      <c r="H1391" s="39">
        <v>16.806999999999999</v>
      </c>
      <c r="I1391" s="39">
        <v>28.812000000000001</v>
      </c>
      <c r="J1391" s="39"/>
    </row>
    <row r="1392" spans="2:10" x14ac:dyDescent="0.2">
      <c r="B1392" s="4" t="s">
        <v>2600</v>
      </c>
      <c r="C1392" s="5" t="s">
        <v>2601</v>
      </c>
      <c r="D1392" s="6" t="s">
        <v>19</v>
      </c>
      <c r="E1392" s="6" t="s">
        <v>20</v>
      </c>
      <c r="F1392" s="53">
        <v>88</v>
      </c>
      <c r="G1392" s="42">
        <v>1.3345399999999999E-3</v>
      </c>
      <c r="H1392" s="39">
        <v>32.199999999999996</v>
      </c>
      <c r="I1392" s="39">
        <v>55.199999999999996</v>
      </c>
      <c r="J1392" s="39"/>
    </row>
    <row r="1393" spans="2:10" x14ac:dyDescent="0.2">
      <c r="B1393" s="4" t="s">
        <v>2602</v>
      </c>
      <c r="C1393" s="5" t="s">
        <v>2603</v>
      </c>
      <c r="D1393" s="6" t="s">
        <v>19</v>
      </c>
      <c r="E1393" s="6" t="s">
        <v>20</v>
      </c>
      <c r="F1393" s="53">
        <v>69</v>
      </c>
      <c r="G1393" s="42">
        <v>1.3345399999999999E-3</v>
      </c>
      <c r="H1393" s="39">
        <v>25.2</v>
      </c>
      <c r="I1393" s="39">
        <v>43.199999999999996</v>
      </c>
      <c r="J1393" s="39"/>
    </row>
    <row r="1394" spans="2:10" x14ac:dyDescent="0.2">
      <c r="B1394" s="4" t="s">
        <v>2604</v>
      </c>
      <c r="C1394" s="5" t="s">
        <v>2605</v>
      </c>
      <c r="D1394" s="6" t="s">
        <v>19</v>
      </c>
      <c r="E1394" s="6" t="s">
        <v>20</v>
      </c>
      <c r="F1394" s="53">
        <v>36.5</v>
      </c>
      <c r="G1394" s="42">
        <v>1.3345399999999999E-3</v>
      </c>
      <c r="H1394" s="39">
        <v>13.334999999999999</v>
      </c>
      <c r="I1394" s="39">
        <v>22.86</v>
      </c>
      <c r="J1394" s="39"/>
    </row>
    <row r="1395" spans="2:10" x14ac:dyDescent="0.2">
      <c r="B1395" s="4" t="s">
        <v>2606</v>
      </c>
      <c r="C1395" s="5" t="s">
        <v>2607</v>
      </c>
      <c r="D1395" s="6" t="s">
        <v>19</v>
      </c>
      <c r="E1395" s="6" t="s">
        <v>20</v>
      </c>
      <c r="F1395" s="53">
        <v>111</v>
      </c>
      <c r="G1395" s="42">
        <v>1.3345500000000001E-3</v>
      </c>
      <c r="H1395" s="39">
        <v>40.599999999999994</v>
      </c>
      <c r="I1395" s="39">
        <v>69.599999999999994</v>
      </c>
      <c r="J1395" s="39"/>
    </row>
    <row r="1396" spans="2:10" x14ac:dyDescent="0.2">
      <c r="B1396" s="8" t="s">
        <v>2608</v>
      </c>
      <c r="C1396" s="5" t="s">
        <v>2609</v>
      </c>
      <c r="D1396" s="6"/>
      <c r="E1396" s="6"/>
      <c r="F1396" s="50"/>
      <c r="G1396" s="40" t="e">
        <f>#REF!/(COUNTA(#REF!))</f>
        <v>#REF!</v>
      </c>
      <c r="H1396" s="39" t="s">
        <v>49</v>
      </c>
      <c r="I1396" s="39" t="s">
        <v>49</v>
      </c>
      <c r="J1396" s="39"/>
    </row>
    <row r="1397" spans="2:10" x14ac:dyDescent="0.2">
      <c r="B1397" s="4" t="s">
        <v>2610</v>
      </c>
      <c r="C1397" s="5" t="s">
        <v>2611</v>
      </c>
      <c r="D1397" s="6"/>
      <c r="E1397" s="6"/>
      <c r="F1397" s="50"/>
      <c r="G1397" s="42">
        <v>1.2042222793545978E-3</v>
      </c>
      <c r="H1397" s="39" t="s">
        <v>49</v>
      </c>
      <c r="I1397" s="39" t="s">
        <v>49</v>
      </c>
      <c r="J1397" s="39"/>
    </row>
    <row r="1398" spans="2:10" x14ac:dyDescent="0.2">
      <c r="B1398" s="4" t="s">
        <v>2612</v>
      </c>
      <c r="C1398" s="5" t="s">
        <v>2613</v>
      </c>
      <c r="D1398" s="6" t="s">
        <v>2412</v>
      </c>
      <c r="E1398" s="6" t="s">
        <v>20</v>
      </c>
      <c r="F1398" s="53">
        <v>34.56</v>
      </c>
      <c r="G1398" s="42">
        <v>1.2042222793545978E-3</v>
      </c>
      <c r="H1398" s="39">
        <v>12.6</v>
      </c>
      <c r="I1398" s="39">
        <v>21.599999999999998</v>
      </c>
      <c r="J1398" s="39"/>
    </row>
    <row r="1399" spans="2:10" x14ac:dyDescent="0.2">
      <c r="B1399" s="4" t="s">
        <v>2614</v>
      </c>
      <c r="C1399" s="5" t="s">
        <v>2615</v>
      </c>
      <c r="D1399" s="6" t="s">
        <v>2412</v>
      </c>
      <c r="E1399" s="6" t="s">
        <v>20</v>
      </c>
      <c r="F1399" s="53">
        <v>32.64</v>
      </c>
      <c r="G1399" s="42">
        <v>1.2042222793545978E-3</v>
      </c>
      <c r="H1399" s="39">
        <v>11.899999999999999</v>
      </c>
      <c r="I1399" s="39">
        <v>20.399999999999999</v>
      </c>
      <c r="J1399" s="39"/>
    </row>
    <row r="1400" spans="2:10" x14ac:dyDescent="0.2">
      <c r="B1400" s="4" t="s">
        <v>2616</v>
      </c>
      <c r="C1400" s="5" t="s">
        <v>2617</v>
      </c>
      <c r="D1400" s="6" t="s">
        <v>2412</v>
      </c>
      <c r="E1400" s="6" t="s">
        <v>20</v>
      </c>
      <c r="F1400" s="53">
        <v>28.8</v>
      </c>
      <c r="G1400" s="42">
        <v>1.2042222793545978E-3</v>
      </c>
      <c r="H1400" s="39">
        <v>10.5</v>
      </c>
      <c r="I1400" s="39">
        <v>18</v>
      </c>
      <c r="J1400" s="39"/>
    </row>
    <row r="1401" spans="2:10" x14ac:dyDescent="0.2">
      <c r="B1401" s="4" t="s">
        <v>2618</v>
      </c>
      <c r="C1401" s="5" t="s">
        <v>2619</v>
      </c>
      <c r="D1401" s="6"/>
      <c r="E1401" s="6"/>
      <c r="F1401" s="50"/>
      <c r="G1401" s="42">
        <v>1.2042222793545978E-3</v>
      </c>
      <c r="H1401" s="39" t="s">
        <v>49</v>
      </c>
      <c r="I1401" s="39" t="s">
        <v>49</v>
      </c>
      <c r="J1401" s="39"/>
    </row>
    <row r="1402" spans="2:10" x14ac:dyDescent="0.2">
      <c r="B1402" s="4" t="s">
        <v>2620</v>
      </c>
      <c r="C1402" s="5" t="s">
        <v>2613</v>
      </c>
      <c r="D1402" s="6" t="s">
        <v>2412</v>
      </c>
      <c r="E1402" s="6" t="s">
        <v>20</v>
      </c>
      <c r="F1402" s="53">
        <v>51.84</v>
      </c>
      <c r="G1402" s="42">
        <v>1.2042222793545978E-3</v>
      </c>
      <c r="H1402" s="39">
        <v>18.899999999999999</v>
      </c>
      <c r="I1402" s="39">
        <v>32.4</v>
      </c>
      <c r="J1402" s="39"/>
    </row>
    <row r="1403" spans="2:10" x14ac:dyDescent="0.2">
      <c r="B1403" s="4" t="s">
        <v>2621</v>
      </c>
      <c r="C1403" s="5" t="s">
        <v>2615</v>
      </c>
      <c r="D1403" s="6" t="s">
        <v>2412</v>
      </c>
      <c r="E1403" s="6" t="s">
        <v>20</v>
      </c>
      <c r="F1403" s="53">
        <v>48.96</v>
      </c>
      <c r="G1403" s="42">
        <v>1.2042222793545978E-3</v>
      </c>
      <c r="H1403" s="39">
        <v>17.849999999999998</v>
      </c>
      <c r="I1403" s="39">
        <v>30.599999999999998</v>
      </c>
      <c r="J1403" s="39"/>
    </row>
    <row r="1404" spans="2:10" x14ac:dyDescent="0.2">
      <c r="B1404" s="4" t="s">
        <v>2622</v>
      </c>
      <c r="C1404" s="5" t="s">
        <v>2617</v>
      </c>
      <c r="D1404" s="6" t="s">
        <v>2412</v>
      </c>
      <c r="E1404" s="6" t="s">
        <v>20</v>
      </c>
      <c r="F1404" s="53">
        <v>43.2</v>
      </c>
      <c r="G1404" s="42">
        <v>1.2042222793548999E-3</v>
      </c>
      <c r="H1404" s="39">
        <v>15.749999999999998</v>
      </c>
      <c r="I1404" s="39">
        <v>27</v>
      </c>
      <c r="J1404" s="39"/>
    </row>
    <row r="1405" spans="2:10" ht="18" customHeight="1" x14ac:dyDescent="0.2">
      <c r="B1405" s="33"/>
      <c r="C1405" s="34"/>
      <c r="D1405" s="35"/>
      <c r="E1405" s="35"/>
      <c r="F1405" s="36"/>
      <c r="G1405" s="39"/>
      <c r="H1405" s="39"/>
      <c r="I1405" s="39"/>
      <c r="J1405" s="39"/>
    </row>
    <row r="1406" spans="2:10" ht="22.5" customHeight="1" x14ac:dyDescent="0.2">
      <c r="B1406" s="46"/>
      <c r="C1406" s="47"/>
      <c r="D1406" s="48"/>
      <c r="E1406" s="48"/>
      <c r="F1406" s="54"/>
      <c r="G1406" s="39"/>
      <c r="H1406" s="39"/>
      <c r="I1406" s="39"/>
      <c r="J1406" s="39"/>
    </row>
  </sheetData>
  <mergeCells count="2">
    <mergeCell ref="B1:F1"/>
    <mergeCell ref="B2:F2"/>
  </mergeCells>
  <phoneticPr fontId="8" type="noConversion"/>
  <conditionalFormatting sqref="C4:C686 B518 C688:C1261 C1264:C1406">
    <cfRule type="expression" dxfId="4" priority="10">
      <formula>$D4=""</formula>
    </cfRule>
  </conditionalFormatting>
  <conditionalFormatting sqref="C1262">
    <cfRule type="expression" dxfId="3" priority="18">
      <formula>$D1263=""</formula>
    </cfRule>
  </conditionalFormatting>
  <conditionalFormatting sqref="C1263">
    <cfRule type="expression" dxfId="2" priority="19">
      <formula>#REF!=""</formula>
    </cfRule>
  </conditionalFormatting>
  <conditionalFormatting sqref="F4:F1404">
    <cfRule type="expression" dxfId="1" priority="20" stopIfTrue="1">
      <formula>#REF!="Preço excedido"</formula>
    </cfRule>
    <cfRule type="expression" dxfId="0" priority="21" stopIfTrue="1">
      <formula>#REF!="Preço inválido"</formula>
    </cfRule>
  </conditionalFormatting>
  <pageMargins left="1.1417322834645669" right="0.55118110236220474" top="1.1811023622047245" bottom="0.78740157480314965" header="0.51181102362204722" footer="0.51181102362204722"/>
  <pageSetup paperSize="8" scale="79" fitToHeight="0" orientation="portrait" r:id="rId1"/>
  <headerFooter>
    <oddHeader>&amp;L&amp;G</oddHeader>
    <oddFooter>&amp;CPág. &amp;P/&amp;N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A551-35BB-42E0-B78F-1F5BFF871338}">
  <sheetPr>
    <pageSetUpPr fitToPage="1"/>
  </sheetPr>
  <dimension ref="A1:D24"/>
  <sheetViews>
    <sheetView showGridLines="0" zoomScaleNormal="100" workbookViewId="0">
      <selection activeCell="B28" sqref="B28"/>
    </sheetView>
  </sheetViews>
  <sheetFormatPr defaultColWidth="8.85546875" defaultRowHeight="12.75" x14ac:dyDescent="0.2"/>
  <cols>
    <col min="1" max="1" width="17.85546875" customWidth="1"/>
    <col min="2" max="2" width="60.7109375" customWidth="1"/>
    <col min="3" max="3" width="7.42578125" customWidth="1"/>
    <col min="4" max="4" width="10.7109375" customWidth="1"/>
  </cols>
  <sheetData>
    <row r="1" spans="1:4" ht="28.15" customHeight="1" x14ac:dyDescent="0.2">
      <c r="A1" s="60" t="s">
        <v>2623</v>
      </c>
      <c r="B1" s="60"/>
      <c r="C1" s="60"/>
      <c r="D1" s="60"/>
    </row>
    <row r="2" spans="1:4" ht="25.15" customHeight="1" x14ac:dyDescent="0.2">
      <c r="A2" s="61" t="s">
        <v>2682</v>
      </c>
      <c r="B2" s="61"/>
      <c r="C2" s="61"/>
      <c r="D2" s="37" t="s">
        <v>2680</v>
      </c>
    </row>
    <row r="3" spans="1:4" ht="30.6" customHeight="1" x14ac:dyDescent="0.2">
      <c r="A3" s="57" t="s">
        <v>2624</v>
      </c>
      <c r="B3" s="58"/>
      <c r="C3" s="58"/>
      <c r="D3" s="59"/>
    </row>
    <row r="4" spans="1:4" ht="17.45" customHeight="1" x14ac:dyDescent="0.2">
      <c r="A4" s="24" t="s">
        <v>1</v>
      </c>
      <c r="B4" s="24" t="s">
        <v>2</v>
      </c>
      <c r="C4" s="24" t="s">
        <v>3</v>
      </c>
      <c r="D4" s="24" t="s">
        <v>2625</v>
      </c>
    </row>
    <row r="5" spans="1:4" x14ac:dyDescent="0.2">
      <c r="A5" s="4" t="s">
        <v>2626</v>
      </c>
      <c r="B5" s="5" t="s">
        <v>225</v>
      </c>
      <c r="C5" s="6"/>
      <c r="D5" s="28"/>
    </row>
    <row r="6" spans="1:4" ht="25.5" x14ac:dyDescent="0.2">
      <c r="A6" s="4" t="s">
        <v>2627</v>
      </c>
      <c r="B6" s="5" t="s">
        <v>2628</v>
      </c>
      <c r="C6" s="6" t="s">
        <v>2629</v>
      </c>
      <c r="D6" s="28">
        <v>100</v>
      </c>
    </row>
    <row r="7" spans="1:4" ht="25.5" x14ac:dyDescent="0.2">
      <c r="A7" s="4" t="s">
        <v>2630</v>
      </c>
      <c r="B7" s="5" t="s">
        <v>2631</v>
      </c>
      <c r="C7" s="6"/>
      <c r="D7" s="28"/>
    </row>
    <row r="8" spans="1:4" x14ac:dyDescent="0.2">
      <c r="A8" s="4" t="s">
        <v>2632</v>
      </c>
      <c r="B8" s="5" t="s">
        <v>2633</v>
      </c>
      <c r="C8" s="6" t="s">
        <v>2634</v>
      </c>
      <c r="D8" s="28">
        <v>55</v>
      </c>
    </row>
    <row r="9" spans="1:4" x14ac:dyDescent="0.2">
      <c r="A9" s="4" t="s">
        <v>2635</v>
      </c>
      <c r="B9" s="5" t="s">
        <v>2636</v>
      </c>
      <c r="C9" s="6" t="s">
        <v>2634</v>
      </c>
      <c r="D9" s="28">
        <v>70</v>
      </c>
    </row>
    <row r="10" spans="1:4" x14ac:dyDescent="0.2">
      <c r="A10" s="4" t="s">
        <v>2637</v>
      </c>
      <c r="B10" s="5" t="s">
        <v>2638</v>
      </c>
      <c r="C10" s="6" t="s">
        <v>2634</v>
      </c>
      <c r="D10" s="28">
        <v>107</v>
      </c>
    </row>
    <row r="11" spans="1:4" x14ac:dyDescent="0.2">
      <c r="A11" s="4" t="s">
        <v>2639</v>
      </c>
      <c r="B11" s="5" t="s">
        <v>2640</v>
      </c>
      <c r="C11" s="6" t="s">
        <v>2634</v>
      </c>
      <c r="D11" s="28">
        <v>140</v>
      </c>
    </row>
    <row r="12" spans="1:4" ht="25.5" x14ac:dyDescent="0.2">
      <c r="A12" s="4" t="s">
        <v>2641</v>
      </c>
      <c r="B12" s="5" t="s">
        <v>2642</v>
      </c>
      <c r="C12" s="6" t="s">
        <v>2634</v>
      </c>
      <c r="D12" s="28">
        <v>177</v>
      </c>
    </row>
    <row r="13" spans="1:4" ht="25.5" x14ac:dyDescent="0.2">
      <c r="A13" s="4" t="s">
        <v>2643</v>
      </c>
      <c r="B13" s="5" t="s">
        <v>2644</v>
      </c>
      <c r="C13" s="6" t="s">
        <v>2634</v>
      </c>
      <c r="D13" s="28">
        <v>210</v>
      </c>
    </row>
    <row r="14" spans="1:4" ht="27.6" customHeight="1" x14ac:dyDescent="0.2">
      <c r="A14" s="4" t="s">
        <v>2645</v>
      </c>
      <c r="B14" s="5" t="s">
        <v>2646</v>
      </c>
      <c r="C14" s="6" t="s">
        <v>2634</v>
      </c>
      <c r="D14" s="28">
        <v>247</v>
      </c>
    </row>
    <row r="15" spans="1:4" ht="25.5" x14ac:dyDescent="0.2">
      <c r="A15" s="4" t="s">
        <v>2647</v>
      </c>
      <c r="B15" s="5" t="s">
        <v>2648</v>
      </c>
      <c r="C15" s="6" t="s">
        <v>2634</v>
      </c>
      <c r="D15" s="28">
        <v>281</v>
      </c>
    </row>
    <row r="16" spans="1:4" x14ac:dyDescent="0.2">
      <c r="A16" s="4" t="s">
        <v>2649</v>
      </c>
      <c r="B16" s="5" t="s">
        <v>2650</v>
      </c>
      <c r="C16" s="6" t="s">
        <v>2634</v>
      </c>
      <c r="D16" s="28">
        <v>62</v>
      </c>
    </row>
    <row r="17" spans="1:4" x14ac:dyDescent="0.2">
      <c r="A17" s="4" t="s">
        <v>2651</v>
      </c>
      <c r="B17" s="5" t="s">
        <v>2652</v>
      </c>
      <c r="C17" s="6" t="s">
        <v>2634</v>
      </c>
      <c r="D17" s="28">
        <v>78</v>
      </c>
    </row>
    <row r="18" spans="1:4" x14ac:dyDescent="0.2">
      <c r="A18" s="4" t="s">
        <v>2653</v>
      </c>
      <c r="B18" s="5" t="s">
        <v>2654</v>
      </c>
      <c r="C18" s="6" t="s">
        <v>2634</v>
      </c>
      <c r="D18" s="28">
        <v>120</v>
      </c>
    </row>
    <row r="19" spans="1:4" x14ac:dyDescent="0.2">
      <c r="A19" s="4" t="s">
        <v>2655</v>
      </c>
      <c r="B19" s="5" t="s">
        <v>2656</v>
      </c>
      <c r="C19" s="6" t="s">
        <v>2634</v>
      </c>
      <c r="D19" s="28">
        <v>156</v>
      </c>
    </row>
    <row r="20" spans="1:4" ht="27.6" customHeight="1" x14ac:dyDescent="0.2">
      <c r="A20" s="4" t="s">
        <v>2657</v>
      </c>
      <c r="B20" s="5" t="s">
        <v>2658</v>
      </c>
      <c r="C20" s="6" t="s">
        <v>2634</v>
      </c>
      <c r="D20" s="28">
        <v>198</v>
      </c>
    </row>
    <row r="21" spans="1:4" ht="27.6" customHeight="1" x14ac:dyDescent="0.2">
      <c r="A21" s="4" t="s">
        <v>2659</v>
      </c>
      <c r="B21" s="5" t="s">
        <v>2660</v>
      </c>
      <c r="C21" s="6" t="s">
        <v>2634</v>
      </c>
      <c r="D21" s="28">
        <v>235</v>
      </c>
    </row>
    <row r="22" spans="1:4" ht="27.6" customHeight="1" x14ac:dyDescent="0.2">
      <c r="A22" s="4" t="s">
        <v>2661</v>
      </c>
      <c r="B22" s="5" t="s">
        <v>2662</v>
      </c>
      <c r="C22" s="6" t="s">
        <v>2634</v>
      </c>
      <c r="D22" s="28">
        <v>276</v>
      </c>
    </row>
    <row r="23" spans="1:4" ht="13.15" customHeight="1" x14ac:dyDescent="0.2">
      <c r="A23" s="25" t="s">
        <v>2663</v>
      </c>
      <c r="B23" s="26" t="s">
        <v>2664</v>
      </c>
      <c r="C23" s="27" t="s">
        <v>2634</v>
      </c>
      <c r="D23" s="29">
        <v>315</v>
      </c>
    </row>
    <row r="24" spans="1:4" x14ac:dyDescent="0.2">
      <c r="A24" s="1"/>
      <c r="B24" s="1"/>
      <c r="C24" s="1"/>
      <c r="D24" s="1"/>
    </row>
  </sheetData>
  <sheetProtection algorithmName="SHA-512" hashValue="MqaYxicqqw1rdwY927I1KfACJRp31gGL428UIcAzhIES4M0pllWpiL16dndjE6saThPdsrOS5oXUbxHHkXI5iw==" saltValue="qrcMbh+OlgX2wjac9OdrCA==" spinCount="100000" sheet="1" objects="1" scenarios="1"/>
  <mergeCells count="3">
    <mergeCell ref="A3:D3"/>
    <mergeCell ref="A1:D1"/>
    <mergeCell ref="A2:C2"/>
  </mergeCells>
  <pageMargins left="0.39370078740157483" right="0.23622047244094491" top="0.94488188976377963" bottom="0.74803149606299213" header="0.31496062992125984" footer="0.31496062992125984"/>
  <pageSetup paperSize="9" fitToHeight="0" orientation="portrait" r:id="rId1"/>
  <headerFooter>
    <oddHeader>&amp;L&amp;G</oddHeader>
    <oddFooter>&amp;C&amp;8Pág. &amp;P/&amp;N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A3B65CB016D4286805A0AA3A7382E" ma:contentTypeVersion="14" ma:contentTypeDescription="Criar um novo documento." ma:contentTypeScope="" ma:versionID="0b692c042b7d515ec42ebf65cef076af">
  <xsd:schema xmlns:xsd="http://www.w3.org/2001/XMLSchema" xmlns:xs="http://www.w3.org/2001/XMLSchema" xmlns:p="http://schemas.microsoft.com/office/2006/metadata/properties" xmlns:ns2="d49f5cba-f7b4-4a37-b534-5df53eb0423a" xmlns:ns3="43e542fe-6f51-42ba-aec2-dd6a8de13612" targetNamespace="http://schemas.microsoft.com/office/2006/metadata/properties" ma:root="true" ma:fieldsID="8651f9e4a630aca3c609993a040906b5" ns2:_="" ns3:_="">
    <xsd:import namespace="d49f5cba-f7b4-4a37-b534-5df53eb0423a"/>
    <xsd:import namespace="43e542fe-6f51-42ba-aec2-dd6a8de13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f5cba-f7b4-4a37-b534-5df53eb04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c1989fe2-1ebf-4834-8e4d-c7dfed83d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Estado da aprov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2fe-6f51-42ba-aec2-dd6a8de13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a92fed-f52a-45aa-973d-b382e4749322}" ma:internalName="TaxCatchAll" ma:showField="CatchAllData" ma:web="43e542fe-6f51-42ba-aec2-dd6a8de13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9f5cba-f7b4-4a37-b534-5df53eb0423a">
      <Terms xmlns="http://schemas.microsoft.com/office/infopath/2007/PartnerControls"/>
    </lcf76f155ced4ddcb4097134ff3c332f>
    <TaxCatchAll xmlns="43e542fe-6f51-42ba-aec2-dd6a8de13612" xsi:nil="true"/>
    <_Flow_SignoffStatus xmlns="d49f5cba-f7b4-4a37-b534-5df53eb0423a" xsi:nil="true"/>
  </documentManagement>
</p:properties>
</file>

<file path=customXml/itemProps1.xml><?xml version="1.0" encoding="utf-8"?>
<ds:datastoreItem xmlns:ds="http://schemas.openxmlformats.org/officeDocument/2006/customXml" ds:itemID="{E258F75A-DBAD-4209-B811-CAAFC1625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9f5cba-f7b4-4a37-b534-5df53eb0423a"/>
    <ds:schemaRef ds:uri="43e542fe-6f51-42ba-aec2-dd6a8de13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76F91-A689-435F-A324-5431684988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2281CA-7303-426C-9038-24E1EA928D42}">
  <ds:schemaRefs>
    <ds:schemaRef ds:uri="http://schemas.microsoft.com/office/2006/metadata/properties"/>
    <ds:schemaRef ds:uri="http://schemas.microsoft.com/office/infopath/2007/PartnerControls"/>
    <ds:schemaRef ds:uri="d49f5cba-f7b4-4a37-b534-5df53eb0423a"/>
    <ds:schemaRef ds:uri="43e542fe-6f51-42ba-aec2-dd6a8de136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5</vt:i4>
      </vt:variant>
    </vt:vector>
  </HeadingPairs>
  <TitlesOfParts>
    <vt:vector size="7" baseType="lpstr">
      <vt:lpstr>LPU_MC_MPC</vt:lpstr>
      <vt:lpstr>LPU_TM_Tx</vt:lpstr>
      <vt:lpstr>LPU_MC_MPC!_Toc223014946</vt:lpstr>
      <vt:lpstr>LPU_MC_MPC!Área_de_Impressão</vt:lpstr>
      <vt:lpstr>LPU_TM_Tx!Área_de_Impressão</vt:lpstr>
      <vt:lpstr>LPU_MC_MPC!MQT</vt:lpstr>
      <vt:lpstr>LPU_MC_MPC!Títulos_de_Impressão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 1</dc:creator>
  <cp:keywords/>
  <dc:description/>
  <cp:lastModifiedBy>Abílio Joaquim de Jesus Félix</cp:lastModifiedBy>
  <cp:revision/>
  <dcterms:created xsi:type="dcterms:W3CDTF">2020-12-29T09:34:57Z</dcterms:created>
  <dcterms:modified xsi:type="dcterms:W3CDTF">2026-10-15T11:09:56Z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0x010100F31A3B65CB016D4286805A0AA3A7382E</vt:lpwstr>
  </property>
  <property fmtid="{D5CDD505-2E9C-101B-9397-08002B2CF9AE}" pid="3" name="MediaServiceImageTags">
    <vt:lpwstr/>
  </property>
</Properties>
</file>